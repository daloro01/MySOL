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oge\Google Drive\ProjectFinance\"/>
    </mc:Choice>
  </mc:AlternateContent>
  <bookViews>
    <workbookView xWindow="0" yWindow="0" windowWidth="20490" windowHeight="9105" tabRatio="667" activeTab="1"/>
  </bookViews>
  <sheets>
    <sheet name="Inputs_MySOL" sheetId="19" r:id="rId1"/>
    <sheet name="Inputs" sheetId="22" r:id="rId2"/>
    <sheet name="Proposal_Eng" sheetId="26" r:id="rId3"/>
    <sheet name="Proposal_Esp" sheetId="25" r:id="rId4"/>
    <sheet name="ContractData" sheetId="31" r:id="rId5"/>
    <sheet name="Unit_Internal" sheetId="1" r:id="rId6"/>
    <sheet name="Model" sheetId="30" r:id="rId7"/>
    <sheet name="Savings" sheetId="4" r:id="rId8"/>
    <sheet name="Components" sheetId="15" r:id="rId9"/>
    <sheet name="CFE_History_DAC" sheetId="9" r:id="rId10"/>
    <sheet name="CFE_History_Tarifa2" sheetId="18" r:id="rId11"/>
    <sheet name="CFE_History_Tarifa1" sheetId="29" r:id="rId12"/>
    <sheet name="ListData" sheetId="17" r:id="rId13"/>
  </sheets>
  <functionGroups builtInGroupCount="18"/>
  <definedNames>
    <definedName name="_Order1" hidden="1">255</definedName>
    <definedName name="_Order2" hidden="1">255</definedName>
    <definedName name="CFE_CargoFijo">Inputs_MySOL!$G$2</definedName>
    <definedName name="CFE_Hilos">Inputs!$B$17</definedName>
    <definedName name="CFE_Limite">Inputs!$B$19</definedName>
    <definedName name="CFE_RateCategory">Inputs!$B$18</definedName>
    <definedName name="CFE_RatePeriod">Inputs_MySOL!$B$25</definedName>
    <definedName name="CFE_RatePreTaxes">Inputs_MySOL!$G$3</definedName>
    <definedName name="CFE_RateWithDAP">Inputs_MySOL!$G$4</definedName>
    <definedName name="CFE_Region">Inputs!$B$20</definedName>
    <definedName name="CFE_YrIncreasePct">Inputs_MySOL!$B$6</definedName>
    <definedName name="CorpTaxRate">Inputs_MySOL!$B$5</definedName>
    <definedName name="Cust_Address">Inputs!$B$10</definedName>
    <definedName name="Cust_Bank">ContractData!$C$12</definedName>
    <definedName name="Cust_BankAcct">ContractData!$C$13</definedName>
    <definedName name="Cust_CC_Expiry">ContractData!$C$16</definedName>
    <definedName name="Cust_CC_No">ContractData!$C$15</definedName>
    <definedName name="Cust_CC_SecCode">ContractData!$C$17</definedName>
    <definedName name="Cust_CC_Type">ContractData!$C$14</definedName>
    <definedName name="Cust_CfeServNum">Inputs!$B$5</definedName>
    <definedName name="Cust_City">Inputs!$B$11</definedName>
    <definedName name="Cust_Co_DeedDated">ContractData!$C$31</definedName>
    <definedName name="Cust_Co_DeedNo">ContractData!$C$30</definedName>
    <definedName name="Cust_Co_DeedNotaryFolioNo">ContractData!$C$36</definedName>
    <definedName name="Cust_Co_DeedNotaryLoc">ContractData!$C$33</definedName>
    <definedName name="Cust_Co_DeedNotaryName">ContractData!$C$34</definedName>
    <definedName name="Cust_Co_DeedNotaryNo">ContractData!$C$32</definedName>
    <definedName name="Cust_Co_DeedNotaryRegLoc">ContractData!$C$35</definedName>
    <definedName name="Cust_Co_Rep">ContractData!$C$37</definedName>
    <definedName name="Cust_Co_Rep_DeedDated">ContractData!$C$39</definedName>
    <definedName name="Cust_Co_Rep_DeedNo">ContractData!$C$38</definedName>
    <definedName name="Cust_Co_Rep_DeedNotaryFolioNo">ContractData!$C$44</definedName>
    <definedName name="Cust_Co_Rep_DeedNotaryLoc">ContractData!$C$41</definedName>
    <definedName name="Cust_Co_Rep_DeedNotaryName">ContractData!$C$42</definedName>
    <definedName name="Cust_Co_Rep_DeedNotaryNo">ContractData!$C$40</definedName>
    <definedName name="Cust_Co_Rep_DeedNotaryRegLoc">ContractData!$C$43</definedName>
    <definedName name="Cust_Company">Inputs!$B$6</definedName>
    <definedName name="Cust_Email">ContractData!$C$7</definedName>
    <definedName name="Cust_FirstName">Inputs!$B$7</definedName>
    <definedName name="Cust_Ind_ID">ContractData!$C$27</definedName>
    <definedName name="Cust_Ind_Natl">ContractData!$C$26</definedName>
    <definedName name="Cust_InitialPymt">Inputs_MySOL!$B$27</definedName>
    <definedName name="Cust_LastName">Inputs!$B$8</definedName>
    <definedName name="Cust_LastName2">Inputs!$B$9</definedName>
    <definedName name="Cust_LeaseTermYears">Inputs!$U$3</definedName>
    <definedName name="Cust_SavingsRate">Inputs!$U$4</definedName>
    <definedName name="Cust_State">Inputs!$B$12</definedName>
    <definedName name="Cust_Telephone">ContractData!$C$6</definedName>
    <definedName name="Cust_Zip">Inputs!$B$13</definedName>
    <definedName name="CustUsage_kWhPerYear">Inputs!$B$15</definedName>
    <definedName name="DAP">Inputs!$B$21</definedName>
    <definedName name="EqInv_Equity">Inputs_MySOL!$B$8</definedName>
    <definedName name="EqInv_ReqIRR">Inputs_MySOL!$D$30</definedName>
    <definedName name="FinYrIncr">Inputs_MySOL!$B$11</definedName>
    <definedName name="InflationRate">Inputs_MySOL!$B$4</definedName>
    <definedName name="InverterLossPct">Inputs_MySOL!$G$15</definedName>
    <definedName name="IVA">Inputs_MySOL!$B$3</definedName>
    <definedName name="JO">ContractData!$C$49</definedName>
    <definedName name="JO_Co_DeedDated">ContractData!$C$58</definedName>
    <definedName name="JO_Co_DeedNo">ContractData!$C$57</definedName>
    <definedName name="JO_Co_DeedNotaryFolioNo">ContractData!$C$63</definedName>
    <definedName name="JO_Co_DeedNotaryLoc">ContractData!$C$60</definedName>
    <definedName name="JO_Co_DeedNotaryName">ContractData!$C$61</definedName>
    <definedName name="JO_Co_DeedNotaryNo">ContractData!$C$59</definedName>
    <definedName name="JO_Co_DeedNotaryRegLoc">ContractData!$C$62</definedName>
    <definedName name="JO_Co_Rep">ContractData!$C$64</definedName>
    <definedName name="JO_Co_Rep_DeedDated">ContractData!$C$66</definedName>
    <definedName name="JO_Co_Rep_DeedNo">ContractData!$C$65</definedName>
    <definedName name="JO_Co_Rep_DeedNotaryLoc">ContractData!$C$68</definedName>
    <definedName name="JO_Co_Rep_DeedNotaryName">ContractData!$C$69</definedName>
    <definedName name="JO_Co_Rep_DeedNotaryNo">ContractData!$C$67</definedName>
    <definedName name="JO_Email">ContractData!$C$50</definedName>
    <definedName name="JO_Ind_ID">ContractData!$C$54</definedName>
    <definedName name="JO_Ind_Natl">ContractData!$C$53</definedName>
    <definedName name="MXNperUSD">Inputs_MySOL!$B$2</definedName>
    <definedName name="MySol_TotalRate">Inputs_MySOL!$G$7</definedName>
    <definedName name="OpExpensePerKwUSD">Inputs_MySOL!$B$19</definedName>
    <definedName name="Panel_PTC">Inputs_MySOL!$G$13</definedName>
    <definedName name="Panel_STC">Inputs_MySOL!$G$12</definedName>
    <definedName name="priceEGaugeUSD">Components!$D$58</definedName>
    <definedName name="_xlnm.Print_Area" localSheetId="2">Proposal_Eng!$A$1:$G$53,Proposal_Eng!$A$65:$G$144,Proposal_Eng!$A$150:$G$228,Proposal_Eng!$A$231:$G$290</definedName>
    <definedName name="_xlnm.Print_Area" localSheetId="3">Proposal_Esp!$A$1:$G$53,Proposal_Esp!$A$65:$G$144,Proposal_Esp!$A$150:$G$228,Proposal_Esp!$A$231:$G$290</definedName>
    <definedName name="SolarSvcProvider">Inputs!$B$3</definedName>
    <definedName name="Sys_Factor">Inputs_MySOL!$G$19</definedName>
    <definedName name="Sys_FundPricePerWatt">Inputs_MySOL!$G$23</definedName>
    <definedName name="Sys_FundPriceTotal">Inputs_MySOL!$G$24</definedName>
    <definedName name="Sys_kWhPerYear">Inputs_MySOL!$G$18</definedName>
    <definedName name="Sys_NumPanels">Inputs_MySOL!$G$11</definedName>
    <definedName name="Sys_OtherLossPct">Inputs!$B$24</definedName>
    <definedName name="Sys_SizeWatts">Inputs_MySOL!$G$17</definedName>
    <definedName name="Sys_SunHours">Inputs!$B$23</definedName>
    <definedName name="Sys_YrDegradationRate">Inputs_MySOL!$B$17</definedName>
    <definedName name="SysSpec_CommAcc_Units">Inputs!$I$9</definedName>
    <definedName name="SysSpec_Inverters_Units">Inputs!$I$5</definedName>
    <definedName name="SysSpec_Optimizers_Units">Inputs!$I$6</definedName>
    <definedName name="SysSpec_PV_Units">Inputs!$I$4</definedName>
    <definedName name="SysSpec_SysMon_Units">Inputs!$I$7</definedName>
    <definedName name="Table_DataStart">Inputs!$L$3</definedName>
    <definedName name="Table_XAxisStart">Inputs!$L$2</definedName>
    <definedName name="Table_YAxisStart">Inputs!$K$3</definedName>
  </definedNames>
  <calcPr calcId="152511" iterateDelta="1E-4" concurrentCalc="0"/>
</workbook>
</file>

<file path=xl/calcChain.xml><?xml version="1.0" encoding="utf-8"?>
<calcChain xmlns="http://schemas.openxmlformats.org/spreadsheetml/2006/main">
  <c r="C20" i="4" l="1"/>
  <c r="G3" i="19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E20" i="4"/>
  <c r="G2" i="19"/>
  <c r="F20" i="4"/>
  <c r="G20" i="4"/>
  <c r="H20" i="4"/>
  <c r="I20" i="4"/>
  <c r="J20" i="4"/>
  <c r="G11" i="19"/>
  <c r="G18" i="19"/>
  <c r="G4" i="19"/>
  <c r="B26" i="19"/>
  <c r="G7" i="19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Z20" i="4"/>
  <c r="AA20" i="4"/>
  <c r="L20" i="4"/>
  <c r="O20" i="4"/>
  <c r="AN1" i="4"/>
  <c r="AX1" i="4"/>
  <c r="AO3" i="4"/>
  <c r="AO4" i="4"/>
  <c r="AO20" i="4"/>
  <c r="AP3" i="4"/>
  <c r="AP4" i="4"/>
  <c r="AP20" i="4"/>
  <c r="AQ3" i="4"/>
  <c r="AQ4" i="4"/>
  <c r="AQ20" i="4"/>
  <c r="AR4" i="4"/>
  <c r="AR20" i="4"/>
  <c r="AN20" i="4"/>
  <c r="AS1" i="4"/>
  <c r="AX2" i="4"/>
  <c r="AT3" i="4"/>
  <c r="AT4" i="4"/>
  <c r="AT20" i="4"/>
  <c r="AU3" i="4"/>
  <c r="AU4" i="4"/>
  <c r="AU20" i="4"/>
  <c r="AV3" i="4"/>
  <c r="AV4" i="4"/>
  <c r="AV20" i="4"/>
  <c r="AW4" i="4"/>
  <c r="AW20" i="4"/>
  <c r="AS20" i="4"/>
  <c r="AM20" i="4"/>
  <c r="AJ20" i="4"/>
  <c r="Q20" i="4"/>
  <c r="R20" i="4"/>
  <c r="S20" i="4"/>
  <c r="T20" i="4"/>
  <c r="U20" i="4"/>
  <c r="V20" i="4"/>
  <c r="W20" i="4"/>
  <c r="AC20" i="4"/>
  <c r="AD20" i="4"/>
  <c r="AE20" i="4"/>
  <c r="G84" i="25"/>
  <c r="G83" i="25"/>
  <c r="AX3" i="4"/>
  <c r="AW3" i="4"/>
  <c r="AR3" i="4"/>
  <c r="AX4" i="4"/>
  <c r="BC4" i="4"/>
  <c r="BB4" i="4"/>
  <c r="BA4" i="4"/>
  <c r="BC3" i="4"/>
  <c r="BB3" i="4"/>
  <c r="BA3" i="4"/>
  <c r="F6" i="4"/>
  <c r="C6" i="4"/>
  <c r="E6" i="4"/>
  <c r="G6" i="4"/>
  <c r="H6" i="4"/>
  <c r="I6" i="4"/>
  <c r="J6" i="4"/>
  <c r="S6" i="4"/>
  <c r="L6" i="4"/>
  <c r="O6" i="4"/>
  <c r="Q6" i="4"/>
  <c r="R6" i="4"/>
  <c r="T6" i="4"/>
  <c r="U6" i="4"/>
  <c r="V6" i="4"/>
  <c r="W6" i="4"/>
  <c r="Z6" i="4"/>
  <c r="AA6" i="4"/>
  <c r="AC6" i="4"/>
  <c r="AD6" i="4"/>
  <c r="G122" i="26"/>
  <c r="F7" i="4"/>
  <c r="C7" i="4"/>
  <c r="E7" i="4"/>
  <c r="G7" i="4"/>
  <c r="H7" i="4"/>
  <c r="I7" i="4"/>
  <c r="J7" i="4"/>
  <c r="S7" i="4"/>
  <c r="L7" i="4"/>
  <c r="O7" i="4"/>
  <c r="AO7" i="4"/>
  <c r="AP7" i="4"/>
  <c r="AQ7" i="4"/>
  <c r="AR7" i="4"/>
  <c r="AN7" i="4"/>
  <c r="AT7" i="4"/>
  <c r="AU7" i="4"/>
  <c r="AV7" i="4"/>
  <c r="AW7" i="4"/>
  <c r="AS7" i="4"/>
  <c r="AM7" i="4"/>
  <c r="AJ7" i="4"/>
  <c r="Q7" i="4"/>
  <c r="R7" i="4"/>
  <c r="T7" i="4"/>
  <c r="U7" i="4"/>
  <c r="V7" i="4"/>
  <c r="W7" i="4"/>
  <c r="Z7" i="4"/>
  <c r="AA7" i="4"/>
  <c r="AC7" i="4"/>
  <c r="AD7" i="4"/>
  <c r="G123" i="26"/>
  <c r="F8" i="4"/>
  <c r="C8" i="4"/>
  <c r="E8" i="4"/>
  <c r="G8" i="4"/>
  <c r="H8" i="4"/>
  <c r="I8" i="4"/>
  <c r="J8" i="4"/>
  <c r="S8" i="4"/>
  <c r="L8" i="4"/>
  <c r="O8" i="4"/>
  <c r="AO8" i="4"/>
  <c r="AP8" i="4"/>
  <c r="AQ8" i="4"/>
  <c r="AR8" i="4"/>
  <c r="AN8" i="4"/>
  <c r="AT8" i="4"/>
  <c r="AU8" i="4"/>
  <c r="AV8" i="4"/>
  <c r="AW8" i="4"/>
  <c r="AS8" i="4"/>
  <c r="AM8" i="4"/>
  <c r="AJ8" i="4"/>
  <c r="Q8" i="4"/>
  <c r="R8" i="4"/>
  <c r="T8" i="4"/>
  <c r="U8" i="4"/>
  <c r="V8" i="4"/>
  <c r="W8" i="4"/>
  <c r="Z8" i="4"/>
  <c r="AA8" i="4"/>
  <c r="AC8" i="4"/>
  <c r="AD8" i="4"/>
  <c r="G124" i="26"/>
  <c r="F9" i="4"/>
  <c r="C9" i="4"/>
  <c r="E9" i="4"/>
  <c r="G9" i="4"/>
  <c r="H9" i="4"/>
  <c r="I9" i="4"/>
  <c r="J9" i="4"/>
  <c r="S9" i="4"/>
  <c r="L9" i="4"/>
  <c r="O9" i="4"/>
  <c r="AO9" i="4"/>
  <c r="AP9" i="4"/>
  <c r="AQ9" i="4"/>
  <c r="AR9" i="4"/>
  <c r="AN9" i="4"/>
  <c r="AT9" i="4"/>
  <c r="AU9" i="4"/>
  <c r="AV9" i="4"/>
  <c r="AW9" i="4"/>
  <c r="AS9" i="4"/>
  <c r="AM9" i="4"/>
  <c r="AJ9" i="4"/>
  <c r="Q9" i="4"/>
  <c r="R9" i="4"/>
  <c r="T9" i="4"/>
  <c r="U9" i="4"/>
  <c r="V9" i="4"/>
  <c r="W9" i="4"/>
  <c r="Z9" i="4"/>
  <c r="AA9" i="4"/>
  <c r="AC9" i="4"/>
  <c r="AD9" i="4"/>
  <c r="G125" i="26"/>
  <c r="F10" i="4"/>
  <c r="C10" i="4"/>
  <c r="E10" i="4"/>
  <c r="G10" i="4"/>
  <c r="H10" i="4"/>
  <c r="I10" i="4"/>
  <c r="J10" i="4"/>
  <c r="S10" i="4"/>
  <c r="L10" i="4"/>
  <c r="O10" i="4"/>
  <c r="AO10" i="4"/>
  <c r="AP10" i="4"/>
  <c r="AQ10" i="4"/>
  <c r="AR10" i="4"/>
  <c r="AN10" i="4"/>
  <c r="AT10" i="4"/>
  <c r="AU10" i="4"/>
  <c r="AV10" i="4"/>
  <c r="AW10" i="4"/>
  <c r="AS10" i="4"/>
  <c r="AM10" i="4"/>
  <c r="AJ10" i="4"/>
  <c r="Q10" i="4"/>
  <c r="R10" i="4"/>
  <c r="T10" i="4"/>
  <c r="U10" i="4"/>
  <c r="V10" i="4"/>
  <c r="W10" i="4"/>
  <c r="Z10" i="4"/>
  <c r="AA10" i="4"/>
  <c r="AC10" i="4"/>
  <c r="AD10" i="4"/>
  <c r="G126" i="26"/>
  <c r="F11" i="4"/>
  <c r="C11" i="4"/>
  <c r="E11" i="4"/>
  <c r="G11" i="4"/>
  <c r="H11" i="4"/>
  <c r="I11" i="4"/>
  <c r="J11" i="4"/>
  <c r="S11" i="4"/>
  <c r="L11" i="4"/>
  <c r="O11" i="4"/>
  <c r="AO11" i="4"/>
  <c r="AP11" i="4"/>
  <c r="AQ11" i="4"/>
  <c r="AR11" i="4"/>
  <c r="AN11" i="4"/>
  <c r="AT11" i="4"/>
  <c r="AU11" i="4"/>
  <c r="AV11" i="4"/>
  <c r="AW11" i="4"/>
  <c r="AS11" i="4"/>
  <c r="AM11" i="4"/>
  <c r="AJ11" i="4"/>
  <c r="Q11" i="4"/>
  <c r="R11" i="4"/>
  <c r="T11" i="4"/>
  <c r="U11" i="4"/>
  <c r="V11" i="4"/>
  <c r="W11" i="4"/>
  <c r="Z11" i="4"/>
  <c r="AA11" i="4"/>
  <c r="AC11" i="4"/>
  <c r="AD11" i="4"/>
  <c r="G127" i="26"/>
  <c r="F12" i="4"/>
  <c r="C12" i="4"/>
  <c r="E12" i="4"/>
  <c r="G12" i="4"/>
  <c r="H12" i="4"/>
  <c r="I12" i="4"/>
  <c r="J12" i="4"/>
  <c r="S12" i="4"/>
  <c r="L12" i="4"/>
  <c r="O12" i="4"/>
  <c r="AO12" i="4"/>
  <c r="AP12" i="4"/>
  <c r="AQ12" i="4"/>
  <c r="AR12" i="4"/>
  <c r="AN12" i="4"/>
  <c r="AT12" i="4"/>
  <c r="AU12" i="4"/>
  <c r="AV12" i="4"/>
  <c r="AW12" i="4"/>
  <c r="AS12" i="4"/>
  <c r="AM12" i="4"/>
  <c r="AJ12" i="4"/>
  <c r="Q12" i="4"/>
  <c r="R12" i="4"/>
  <c r="T12" i="4"/>
  <c r="U12" i="4"/>
  <c r="V12" i="4"/>
  <c r="W12" i="4"/>
  <c r="Z12" i="4"/>
  <c r="AA12" i="4"/>
  <c r="AC12" i="4"/>
  <c r="AD12" i="4"/>
  <c r="G128" i="26"/>
  <c r="F13" i="4"/>
  <c r="C13" i="4"/>
  <c r="E13" i="4"/>
  <c r="G13" i="4"/>
  <c r="H13" i="4"/>
  <c r="I13" i="4"/>
  <c r="J13" i="4"/>
  <c r="S13" i="4"/>
  <c r="L13" i="4"/>
  <c r="O13" i="4"/>
  <c r="AO13" i="4"/>
  <c r="AP13" i="4"/>
  <c r="AQ13" i="4"/>
  <c r="AR13" i="4"/>
  <c r="AN13" i="4"/>
  <c r="AT13" i="4"/>
  <c r="AU13" i="4"/>
  <c r="AV13" i="4"/>
  <c r="AW13" i="4"/>
  <c r="AS13" i="4"/>
  <c r="AM13" i="4"/>
  <c r="AJ13" i="4"/>
  <c r="Q13" i="4"/>
  <c r="R13" i="4"/>
  <c r="T13" i="4"/>
  <c r="U13" i="4"/>
  <c r="V13" i="4"/>
  <c r="W13" i="4"/>
  <c r="Z13" i="4"/>
  <c r="AA13" i="4"/>
  <c r="AC13" i="4"/>
  <c r="AD13" i="4"/>
  <c r="G129" i="26"/>
  <c r="F14" i="4"/>
  <c r="C14" i="4"/>
  <c r="E14" i="4"/>
  <c r="G14" i="4"/>
  <c r="H14" i="4"/>
  <c r="I14" i="4"/>
  <c r="J14" i="4"/>
  <c r="S14" i="4"/>
  <c r="L14" i="4"/>
  <c r="O14" i="4"/>
  <c r="AO14" i="4"/>
  <c r="AP14" i="4"/>
  <c r="AQ14" i="4"/>
  <c r="AR14" i="4"/>
  <c r="AN14" i="4"/>
  <c r="AT14" i="4"/>
  <c r="AU14" i="4"/>
  <c r="AV14" i="4"/>
  <c r="AW14" i="4"/>
  <c r="AS14" i="4"/>
  <c r="AM14" i="4"/>
  <c r="AJ14" i="4"/>
  <c r="Q14" i="4"/>
  <c r="R14" i="4"/>
  <c r="T14" i="4"/>
  <c r="U14" i="4"/>
  <c r="V14" i="4"/>
  <c r="W14" i="4"/>
  <c r="Z14" i="4"/>
  <c r="AA14" i="4"/>
  <c r="AC14" i="4"/>
  <c r="AD14" i="4"/>
  <c r="G130" i="26"/>
  <c r="F15" i="4"/>
  <c r="C15" i="4"/>
  <c r="E15" i="4"/>
  <c r="G15" i="4"/>
  <c r="H15" i="4"/>
  <c r="I15" i="4"/>
  <c r="J15" i="4"/>
  <c r="S15" i="4"/>
  <c r="L15" i="4"/>
  <c r="O15" i="4"/>
  <c r="AO15" i="4"/>
  <c r="AP15" i="4"/>
  <c r="AQ15" i="4"/>
  <c r="AR15" i="4"/>
  <c r="AN15" i="4"/>
  <c r="AT15" i="4"/>
  <c r="AU15" i="4"/>
  <c r="AV15" i="4"/>
  <c r="AW15" i="4"/>
  <c r="AS15" i="4"/>
  <c r="AM15" i="4"/>
  <c r="AJ15" i="4"/>
  <c r="Q15" i="4"/>
  <c r="R15" i="4"/>
  <c r="T15" i="4"/>
  <c r="U15" i="4"/>
  <c r="V15" i="4"/>
  <c r="W15" i="4"/>
  <c r="Z15" i="4"/>
  <c r="AA15" i="4"/>
  <c r="AC15" i="4"/>
  <c r="AD15" i="4"/>
  <c r="G131" i="26"/>
  <c r="F16" i="4"/>
  <c r="C16" i="4"/>
  <c r="E16" i="4"/>
  <c r="G16" i="4"/>
  <c r="H16" i="4"/>
  <c r="I16" i="4"/>
  <c r="J16" i="4"/>
  <c r="S16" i="4"/>
  <c r="L16" i="4"/>
  <c r="O16" i="4"/>
  <c r="AO16" i="4"/>
  <c r="AP16" i="4"/>
  <c r="AQ16" i="4"/>
  <c r="AR16" i="4"/>
  <c r="AN16" i="4"/>
  <c r="AT16" i="4"/>
  <c r="AU16" i="4"/>
  <c r="AV16" i="4"/>
  <c r="AW16" i="4"/>
  <c r="AS16" i="4"/>
  <c r="AM16" i="4"/>
  <c r="AJ16" i="4"/>
  <c r="Q16" i="4"/>
  <c r="R16" i="4"/>
  <c r="T16" i="4"/>
  <c r="U16" i="4"/>
  <c r="V16" i="4"/>
  <c r="W16" i="4"/>
  <c r="Z16" i="4"/>
  <c r="AA16" i="4"/>
  <c r="AC16" i="4"/>
  <c r="AD16" i="4"/>
  <c r="G132" i="26"/>
  <c r="F17" i="4"/>
  <c r="C17" i="4"/>
  <c r="E17" i="4"/>
  <c r="G17" i="4"/>
  <c r="H17" i="4"/>
  <c r="I17" i="4"/>
  <c r="J17" i="4"/>
  <c r="S17" i="4"/>
  <c r="L17" i="4"/>
  <c r="O17" i="4"/>
  <c r="AO17" i="4"/>
  <c r="AP17" i="4"/>
  <c r="AQ17" i="4"/>
  <c r="AR17" i="4"/>
  <c r="AN17" i="4"/>
  <c r="AT17" i="4"/>
  <c r="AU17" i="4"/>
  <c r="AV17" i="4"/>
  <c r="AW17" i="4"/>
  <c r="AS17" i="4"/>
  <c r="AM17" i="4"/>
  <c r="AJ17" i="4"/>
  <c r="Q17" i="4"/>
  <c r="R17" i="4"/>
  <c r="T17" i="4"/>
  <c r="U17" i="4"/>
  <c r="V17" i="4"/>
  <c r="W17" i="4"/>
  <c r="Z17" i="4"/>
  <c r="AA17" i="4"/>
  <c r="AC17" i="4"/>
  <c r="AD17" i="4"/>
  <c r="G133" i="26"/>
  <c r="F18" i="4"/>
  <c r="C18" i="4"/>
  <c r="E18" i="4"/>
  <c r="G18" i="4"/>
  <c r="H18" i="4"/>
  <c r="I18" i="4"/>
  <c r="J18" i="4"/>
  <c r="S18" i="4"/>
  <c r="L18" i="4"/>
  <c r="O18" i="4"/>
  <c r="AO18" i="4"/>
  <c r="AP18" i="4"/>
  <c r="AQ18" i="4"/>
  <c r="AR18" i="4"/>
  <c r="AN18" i="4"/>
  <c r="AT18" i="4"/>
  <c r="AU18" i="4"/>
  <c r="AV18" i="4"/>
  <c r="AW18" i="4"/>
  <c r="AS18" i="4"/>
  <c r="AM18" i="4"/>
  <c r="AJ18" i="4"/>
  <c r="Q18" i="4"/>
  <c r="R18" i="4"/>
  <c r="T18" i="4"/>
  <c r="U18" i="4"/>
  <c r="V18" i="4"/>
  <c r="W18" i="4"/>
  <c r="Z18" i="4"/>
  <c r="AA18" i="4"/>
  <c r="AC18" i="4"/>
  <c r="AD18" i="4"/>
  <c r="G134" i="26"/>
  <c r="F19" i="4"/>
  <c r="C19" i="4"/>
  <c r="E19" i="4"/>
  <c r="G19" i="4"/>
  <c r="H19" i="4"/>
  <c r="I19" i="4"/>
  <c r="J19" i="4"/>
  <c r="S19" i="4"/>
  <c r="L19" i="4"/>
  <c r="O19" i="4"/>
  <c r="AO19" i="4"/>
  <c r="AP19" i="4"/>
  <c r="AQ19" i="4"/>
  <c r="AR19" i="4"/>
  <c r="AN19" i="4"/>
  <c r="AT19" i="4"/>
  <c r="AU19" i="4"/>
  <c r="AV19" i="4"/>
  <c r="AW19" i="4"/>
  <c r="AS19" i="4"/>
  <c r="AM19" i="4"/>
  <c r="AJ19" i="4"/>
  <c r="Q19" i="4"/>
  <c r="R19" i="4"/>
  <c r="T19" i="4"/>
  <c r="U19" i="4"/>
  <c r="V19" i="4"/>
  <c r="W19" i="4"/>
  <c r="Z19" i="4"/>
  <c r="AA19" i="4"/>
  <c r="AC19" i="4"/>
  <c r="AD19" i="4"/>
  <c r="G135" i="26"/>
  <c r="G136" i="26"/>
  <c r="G138" i="26"/>
  <c r="G85" i="26"/>
  <c r="A29" i="15"/>
  <c r="G15" i="19"/>
  <c r="D22" i="26"/>
  <c r="D22" i="25"/>
  <c r="G4" i="25"/>
  <c r="G4" i="26"/>
  <c r="D3" i="1"/>
  <c r="D2" i="15"/>
  <c r="E3" i="1"/>
  <c r="F3" i="1"/>
  <c r="G12" i="19"/>
  <c r="G17" i="19"/>
  <c r="B1" i="1"/>
  <c r="C3" i="1"/>
  <c r="C29" i="1"/>
  <c r="D4" i="1"/>
  <c r="E4" i="1"/>
  <c r="F4" i="1"/>
  <c r="C4" i="1"/>
  <c r="C30" i="1"/>
  <c r="F6" i="22"/>
  <c r="D5" i="1"/>
  <c r="E5" i="1"/>
  <c r="F5" i="1"/>
  <c r="C5" i="1"/>
  <c r="C31" i="1"/>
  <c r="D6" i="1"/>
  <c r="E6" i="1"/>
  <c r="F6" i="1"/>
  <c r="C6" i="1"/>
  <c r="C32" i="1"/>
  <c r="D7" i="1"/>
  <c r="E7" i="1"/>
  <c r="F7" i="1"/>
  <c r="C7" i="1"/>
  <c r="C33" i="1"/>
  <c r="D8" i="1"/>
  <c r="E8" i="1"/>
  <c r="F8" i="1"/>
  <c r="C8" i="1"/>
  <c r="C34" i="1"/>
  <c r="C35" i="1"/>
  <c r="D33" i="19"/>
  <c r="D40" i="1"/>
  <c r="C40" i="1"/>
  <c r="D34" i="19"/>
  <c r="D41" i="1"/>
  <c r="C41" i="1"/>
  <c r="C42" i="1"/>
  <c r="C44" i="1"/>
  <c r="D31" i="19"/>
  <c r="D47" i="1"/>
  <c r="C47" i="1"/>
  <c r="D32" i="19"/>
  <c r="D48" i="1"/>
  <c r="C48" i="1"/>
  <c r="C49" i="1"/>
  <c r="E49" i="1"/>
  <c r="D2" i="30"/>
  <c r="E44" i="1"/>
  <c r="D3" i="30"/>
  <c r="D4" i="30"/>
  <c r="C50" i="1"/>
  <c r="C51" i="1"/>
  <c r="C52" i="1"/>
  <c r="E52" i="1"/>
  <c r="C2" i="30"/>
  <c r="B9" i="19"/>
  <c r="C12" i="30"/>
  <c r="D6" i="30"/>
  <c r="B27" i="19"/>
  <c r="C15" i="30"/>
  <c r="D7" i="30"/>
  <c r="D8" i="30"/>
  <c r="D9" i="30"/>
  <c r="C45" i="1"/>
  <c r="E45" i="1"/>
  <c r="C3" i="30"/>
  <c r="C4" i="30"/>
  <c r="C6" i="30"/>
  <c r="C7" i="30"/>
  <c r="C8" i="30"/>
  <c r="C9" i="30"/>
  <c r="D5" i="30"/>
  <c r="C5" i="30"/>
  <c r="G13" i="19"/>
  <c r="BA6" i="4"/>
  <c r="BB6" i="4"/>
  <c r="BC6" i="4"/>
  <c r="AZ6" i="4"/>
  <c r="C22" i="31"/>
  <c r="AG3" i="4"/>
  <c r="AG2" i="4"/>
  <c r="AH3" i="4"/>
  <c r="AH2" i="4"/>
  <c r="C5" i="31"/>
  <c r="C20" i="31"/>
  <c r="C11" i="31"/>
  <c r="C10" i="31"/>
  <c r="C9" i="31"/>
  <c r="C8" i="31"/>
  <c r="C19" i="31"/>
  <c r="C23" i="31"/>
  <c r="D20" i="26"/>
  <c r="D20" i="25"/>
  <c r="C21" i="31"/>
  <c r="C18" i="31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B20" i="19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C37" i="1"/>
  <c r="C38" i="1"/>
  <c r="C39" i="1"/>
  <c r="B15" i="19"/>
  <c r="C18" i="30"/>
  <c r="C24" i="30"/>
  <c r="C25" i="30"/>
  <c r="D24" i="30"/>
  <c r="D25" i="30"/>
  <c r="E24" i="30"/>
  <c r="E25" i="30"/>
  <c r="F24" i="30"/>
  <c r="F25" i="30"/>
  <c r="G24" i="30"/>
  <c r="G25" i="30"/>
  <c r="H24" i="30"/>
  <c r="H25" i="30"/>
  <c r="I24" i="30"/>
  <c r="I25" i="30"/>
  <c r="J24" i="30"/>
  <c r="J25" i="30"/>
  <c r="K24" i="30"/>
  <c r="K25" i="30"/>
  <c r="L24" i="30"/>
  <c r="L25" i="30"/>
  <c r="M24" i="30"/>
  <c r="M25" i="30"/>
  <c r="N24" i="30"/>
  <c r="N25" i="30"/>
  <c r="O24" i="30"/>
  <c r="O25" i="30"/>
  <c r="P24" i="30"/>
  <c r="P25" i="30"/>
  <c r="Q24" i="30"/>
  <c r="Q25" i="30"/>
  <c r="R24" i="30"/>
  <c r="R25" i="30"/>
  <c r="R26" i="30"/>
  <c r="R27" i="30"/>
  <c r="GA32" i="30"/>
  <c r="GA36" i="30"/>
  <c r="GA39" i="30"/>
  <c r="GA40" i="30"/>
  <c r="GA41" i="30"/>
  <c r="FZ32" i="30"/>
  <c r="FZ36" i="30"/>
  <c r="FZ39" i="30"/>
  <c r="FZ40" i="30"/>
  <c r="FZ41" i="30"/>
  <c r="FY32" i="30"/>
  <c r="FY36" i="30"/>
  <c r="FY39" i="30"/>
  <c r="FY40" i="30"/>
  <c r="FY41" i="30"/>
  <c r="FX32" i="30"/>
  <c r="FX36" i="30"/>
  <c r="FX39" i="30"/>
  <c r="FX40" i="30"/>
  <c r="FX41" i="30"/>
  <c r="FW32" i="30"/>
  <c r="FW36" i="30"/>
  <c r="FW39" i="30"/>
  <c r="FW40" i="30"/>
  <c r="FW41" i="30"/>
  <c r="FV32" i="30"/>
  <c r="FV36" i="30"/>
  <c r="FV39" i="30"/>
  <c r="FV40" i="30"/>
  <c r="FV41" i="30"/>
  <c r="FU32" i="30"/>
  <c r="FU36" i="30"/>
  <c r="FU39" i="30"/>
  <c r="FU40" i="30"/>
  <c r="FU41" i="30"/>
  <c r="FT32" i="30"/>
  <c r="FT36" i="30"/>
  <c r="FT39" i="30"/>
  <c r="FT40" i="30"/>
  <c r="FT41" i="30"/>
  <c r="FS32" i="30"/>
  <c r="FS36" i="30"/>
  <c r="FS39" i="30"/>
  <c r="FS40" i="30"/>
  <c r="FS41" i="30"/>
  <c r="FR32" i="30"/>
  <c r="FR36" i="30"/>
  <c r="FR39" i="30"/>
  <c r="FR40" i="30"/>
  <c r="FR41" i="30"/>
  <c r="FQ32" i="30"/>
  <c r="FQ36" i="30"/>
  <c r="FQ39" i="30"/>
  <c r="FQ40" i="30"/>
  <c r="FQ41" i="30"/>
  <c r="FP32" i="30"/>
  <c r="FP36" i="30"/>
  <c r="FP39" i="30"/>
  <c r="FP40" i="30"/>
  <c r="FP41" i="30"/>
  <c r="Q26" i="30"/>
  <c r="Q27" i="30"/>
  <c r="FO32" i="30"/>
  <c r="FO36" i="30"/>
  <c r="FO39" i="30"/>
  <c r="FO40" i="30"/>
  <c r="FO41" i="30"/>
  <c r="FN32" i="30"/>
  <c r="FN36" i="30"/>
  <c r="FN39" i="30"/>
  <c r="FN40" i="30"/>
  <c r="FN41" i="30"/>
  <c r="FM32" i="30"/>
  <c r="FM36" i="30"/>
  <c r="FM39" i="30"/>
  <c r="FM40" i="30"/>
  <c r="FM41" i="30"/>
  <c r="FL32" i="30"/>
  <c r="FL36" i="30"/>
  <c r="FL39" i="30"/>
  <c r="FL40" i="30"/>
  <c r="FL41" i="30"/>
  <c r="FK32" i="30"/>
  <c r="FK36" i="30"/>
  <c r="FK39" i="30"/>
  <c r="FK40" i="30"/>
  <c r="FK41" i="30"/>
  <c r="FJ32" i="30"/>
  <c r="FJ36" i="30"/>
  <c r="FJ39" i="30"/>
  <c r="FJ40" i="30"/>
  <c r="FJ41" i="30"/>
  <c r="FI32" i="30"/>
  <c r="FI36" i="30"/>
  <c r="FI39" i="30"/>
  <c r="FI40" i="30"/>
  <c r="FI41" i="30"/>
  <c r="FH32" i="30"/>
  <c r="FH36" i="30"/>
  <c r="FH39" i="30"/>
  <c r="FH40" i="30"/>
  <c r="FH41" i="30"/>
  <c r="FG32" i="30"/>
  <c r="FG36" i="30"/>
  <c r="FG39" i="30"/>
  <c r="FG40" i="30"/>
  <c r="FG41" i="30"/>
  <c r="FF32" i="30"/>
  <c r="FF36" i="30"/>
  <c r="FF39" i="30"/>
  <c r="FF40" i="30"/>
  <c r="FF41" i="30"/>
  <c r="FE32" i="30"/>
  <c r="FE36" i="30"/>
  <c r="FE39" i="30"/>
  <c r="FE40" i="30"/>
  <c r="FE41" i="30"/>
  <c r="FD32" i="30"/>
  <c r="FD36" i="30"/>
  <c r="FD39" i="30"/>
  <c r="FD40" i="30"/>
  <c r="FD41" i="30"/>
  <c r="P26" i="30"/>
  <c r="P27" i="30"/>
  <c r="FC32" i="30"/>
  <c r="FC36" i="30"/>
  <c r="FC39" i="30"/>
  <c r="FC40" i="30"/>
  <c r="FC41" i="30"/>
  <c r="FB32" i="30"/>
  <c r="FB36" i="30"/>
  <c r="FB39" i="30"/>
  <c r="FB40" i="30"/>
  <c r="FB41" i="30"/>
  <c r="FA32" i="30"/>
  <c r="FA36" i="30"/>
  <c r="FA39" i="30"/>
  <c r="FA40" i="30"/>
  <c r="FA41" i="30"/>
  <c r="EZ32" i="30"/>
  <c r="EZ36" i="30"/>
  <c r="EZ39" i="30"/>
  <c r="EZ40" i="30"/>
  <c r="EZ41" i="30"/>
  <c r="EY32" i="30"/>
  <c r="EY36" i="30"/>
  <c r="EY39" i="30"/>
  <c r="EY40" i="30"/>
  <c r="EY41" i="30"/>
  <c r="EX32" i="30"/>
  <c r="EX36" i="30"/>
  <c r="EX39" i="30"/>
  <c r="EX40" i="30"/>
  <c r="EX41" i="30"/>
  <c r="EW32" i="30"/>
  <c r="EW36" i="30"/>
  <c r="EW39" i="30"/>
  <c r="EW40" i="30"/>
  <c r="EW41" i="30"/>
  <c r="EV32" i="30"/>
  <c r="EV36" i="30"/>
  <c r="EV39" i="30"/>
  <c r="EV40" i="30"/>
  <c r="EV41" i="30"/>
  <c r="EU32" i="30"/>
  <c r="EU36" i="30"/>
  <c r="EU39" i="30"/>
  <c r="EU40" i="30"/>
  <c r="EU41" i="30"/>
  <c r="ET32" i="30"/>
  <c r="ET36" i="30"/>
  <c r="ET39" i="30"/>
  <c r="ET40" i="30"/>
  <c r="ET41" i="30"/>
  <c r="ES32" i="30"/>
  <c r="ES36" i="30"/>
  <c r="ES39" i="30"/>
  <c r="ES40" i="30"/>
  <c r="ES41" i="30"/>
  <c r="ER32" i="30"/>
  <c r="ER36" i="30"/>
  <c r="ER39" i="30"/>
  <c r="ER40" i="30"/>
  <c r="ER41" i="30"/>
  <c r="O26" i="30"/>
  <c r="O27" i="30"/>
  <c r="EQ32" i="30"/>
  <c r="EQ36" i="30"/>
  <c r="EQ39" i="30"/>
  <c r="EQ40" i="30"/>
  <c r="EQ41" i="30"/>
  <c r="EP32" i="30"/>
  <c r="EP36" i="30"/>
  <c r="EP39" i="30"/>
  <c r="EP40" i="30"/>
  <c r="EP41" i="30"/>
  <c r="EO32" i="30"/>
  <c r="EO36" i="30"/>
  <c r="EO39" i="30"/>
  <c r="EO40" i="30"/>
  <c r="EO41" i="30"/>
  <c r="EN32" i="30"/>
  <c r="EN36" i="30"/>
  <c r="EN39" i="30"/>
  <c r="EN40" i="30"/>
  <c r="EN41" i="30"/>
  <c r="EM32" i="30"/>
  <c r="EM36" i="30"/>
  <c r="EM39" i="30"/>
  <c r="EM40" i="30"/>
  <c r="EM41" i="30"/>
  <c r="EL32" i="30"/>
  <c r="EL36" i="30"/>
  <c r="EL39" i="30"/>
  <c r="EL40" i="30"/>
  <c r="EL41" i="30"/>
  <c r="EK32" i="30"/>
  <c r="EK36" i="30"/>
  <c r="EK39" i="30"/>
  <c r="EK40" i="30"/>
  <c r="EK41" i="30"/>
  <c r="EJ32" i="30"/>
  <c r="EJ36" i="30"/>
  <c r="EJ39" i="30"/>
  <c r="EJ40" i="30"/>
  <c r="EJ41" i="30"/>
  <c r="EI32" i="30"/>
  <c r="EI36" i="30"/>
  <c r="EI39" i="30"/>
  <c r="EI40" i="30"/>
  <c r="EI41" i="30"/>
  <c r="EH32" i="30"/>
  <c r="EH36" i="30"/>
  <c r="EH39" i="30"/>
  <c r="EH40" i="30"/>
  <c r="EH41" i="30"/>
  <c r="EG32" i="30"/>
  <c r="EG36" i="30"/>
  <c r="EG39" i="30"/>
  <c r="EG40" i="30"/>
  <c r="EG41" i="30"/>
  <c r="EF32" i="30"/>
  <c r="EF36" i="30"/>
  <c r="EF39" i="30"/>
  <c r="EF40" i="30"/>
  <c r="EF41" i="30"/>
  <c r="N26" i="30"/>
  <c r="N27" i="30"/>
  <c r="EE32" i="30"/>
  <c r="EE36" i="30"/>
  <c r="EE39" i="30"/>
  <c r="EE40" i="30"/>
  <c r="EE41" i="30"/>
  <c r="ED32" i="30"/>
  <c r="ED36" i="30"/>
  <c r="ED39" i="30"/>
  <c r="ED40" i="30"/>
  <c r="ED41" i="30"/>
  <c r="EC32" i="30"/>
  <c r="EC36" i="30"/>
  <c r="EC39" i="30"/>
  <c r="EC40" i="30"/>
  <c r="EC41" i="30"/>
  <c r="EB32" i="30"/>
  <c r="EB36" i="30"/>
  <c r="EB39" i="30"/>
  <c r="EB40" i="30"/>
  <c r="EB41" i="30"/>
  <c r="EA32" i="30"/>
  <c r="EA36" i="30"/>
  <c r="EA39" i="30"/>
  <c r="EA40" i="30"/>
  <c r="EA41" i="30"/>
  <c r="DZ32" i="30"/>
  <c r="DZ36" i="30"/>
  <c r="DZ39" i="30"/>
  <c r="DZ40" i="30"/>
  <c r="DZ41" i="30"/>
  <c r="DY32" i="30"/>
  <c r="DY36" i="30"/>
  <c r="DY39" i="30"/>
  <c r="DY40" i="30"/>
  <c r="DY41" i="30"/>
  <c r="DX32" i="30"/>
  <c r="DX36" i="30"/>
  <c r="DX39" i="30"/>
  <c r="DX40" i="30"/>
  <c r="DX41" i="30"/>
  <c r="DW32" i="30"/>
  <c r="DW36" i="30"/>
  <c r="DW39" i="30"/>
  <c r="DW40" i="30"/>
  <c r="DW41" i="30"/>
  <c r="DV32" i="30"/>
  <c r="DV36" i="30"/>
  <c r="DV39" i="30"/>
  <c r="DV40" i="30"/>
  <c r="DV41" i="30"/>
  <c r="DU32" i="30"/>
  <c r="DU36" i="30"/>
  <c r="DU39" i="30"/>
  <c r="DU40" i="30"/>
  <c r="DU41" i="30"/>
  <c r="DT32" i="30"/>
  <c r="DT36" i="30"/>
  <c r="DT39" i="30"/>
  <c r="DT40" i="30"/>
  <c r="DT41" i="30"/>
  <c r="M26" i="30"/>
  <c r="M27" i="30"/>
  <c r="DS32" i="30"/>
  <c r="DS36" i="30"/>
  <c r="DS39" i="30"/>
  <c r="DS40" i="30"/>
  <c r="DS41" i="30"/>
  <c r="DR32" i="30"/>
  <c r="DR36" i="30"/>
  <c r="DR39" i="30"/>
  <c r="DR40" i="30"/>
  <c r="DR41" i="30"/>
  <c r="DQ32" i="30"/>
  <c r="DQ36" i="30"/>
  <c r="DQ39" i="30"/>
  <c r="DQ40" i="30"/>
  <c r="DQ41" i="30"/>
  <c r="DP32" i="30"/>
  <c r="DP36" i="30"/>
  <c r="DP39" i="30"/>
  <c r="DP40" i="30"/>
  <c r="DP41" i="30"/>
  <c r="DO32" i="30"/>
  <c r="DO36" i="30"/>
  <c r="DO39" i="30"/>
  <c r="DO40" i="30"/>
  <c r="DO41" i="30"/>
  <c r="DN32" i="30"/>
  <c r="DN36" i="30"/>
  <c r="DN39" i="30"/>
  <c r="DN40" i="30"/>
  <c r="DN41" i="30"/>
  <c r="DM32" i="30"/>
  <c r="DM36" i="30"/>
  <c r="DM39" i="30"/>
  <c r="DM40" i="30"/>
  <c r="DM41" i="30"/>
  <c r="DL32" i="30"/>
  <c r="DL36" i="30"/>
  <c r="DL39" i="30"/>
  <c r="DL40" i="30"/>
  <c r="DL41" i="30"/>
  <c r="DK32" i="30"/>
  <c r="DK36" i="30"/>
  <c r="DK39" i="30"/>
  <c r="DK40" i="30"/>
  <c r="DK41" i="30"/>
  <c r="DJ32" i="30"/>
  <c r="DJ36" i="30"/>
  <c r="DJ39" i="30"/>
  <c r="DJ40" i="30"/>
  <c r="DJ41" i="30"/>
  <c r="DI32" i="30"/>
  <c r="DI36" i="30"/>
  <c r="DI39" i="30"/>
  <c r="DI40" i="30"/>
  <c r="DI41" i="30"/>
  <c r="DH32" i="30"/>
  <c r="DH36" i="30"/>
  <c r="DH39" i="30"/>
  <c r="DH40" i="30"/>
  <c r="DH41" i="30"/>
  <c r="L26" i="30"/>
  <c r="L27" i="30"/>
  <c r="DG32" i="30"/>
  <c r="DG36" i="30"/>
  <c r="DG39" i="30"/>
  <c r="DG40" i="30"/>
  <c r="DG41" i="30"/>
  <c r="DF32" i="30"/>
  <c r="DF36" i="30"/>
  <c r="DF39" i="30"/>
  <c r="DF40" i="30"/>
  <c r="DF41" i="30"/>
  <c r="DE32" i="30"/>
  <c r="DE36" i="30"/>
  <c r="DE39" i="30"/>
  <c r="DE40" i="30"/>
  <c r="DE41" i="30"/>
  <c r="DD32" i="30"/>
  <c r="DD36" i="30"/>
  <c r="DD39" i="30"/>
  <c r="DD40" i="30"/>
  <c r="DD41" i="30"/>
  <c r="DC32" i="30"/>
  <c r="DC36" i="30"/>
  <c r="DC39" i="30"/>
  <c r="DC40" i="30"/>
  <c r="DC41" i="30"/>
  <c r="DB32" i="30"/>
  <c r="DB36" i="30"/>
  <c r="DB39" i="30"/>
  <c r="DB40" i="30"/>
  <c r="DB41" i="30"/>
  <c r="DA32" i="30"/>
  <c r="DA36" i="30"/>
  <c r="DA39" i="30"/>
  <c r="DA40" i="30"/>
  <c r="DA41" i="30"/>
  <c r="CZ32" i="30"/>
  <c r="CZ36" i="30"/>
  <c r="CZ39" i="30"/>
  <c r="CZ40" i="30"/>
  <c r="CZ41" i="30"/>
  <c r="CY32" i="30"/>
  <c r="CY36" i="30"/>
  <c r="CY39" i="30"/>
  <c r="CY40" i="30"/>
  <c r="CY41" i="30"/>
  <c r="CX32" i="30"/>
  <c r="CX36" i="30"/>
  <c r="CX39" i="30"/>
  <c r="CX40" i="30"/>
  <c r="CX41" i="30"/>
  <c r="CW32" i="30"/>
  <c r="CW36" i="30"/>
  <c r="CW39" i="30"/>
  <c r="CW40" i="30"/>
  <c r="CW41" i="30"/>
  <c r="CV32" i="30"/>
  <c r="CV36" i="30"/>
  <c r="CV39" i="30"/>
  <c r="CV40" i="30"/>
  <c r="CV41" i="30"/>
  <c r="K26" i="30"/>
  <c r="K27" i="30"/>
  <c r="CU32" i="30"/>
  <c r="CU36" i="30"/>
  <c r="CU39" i="30"/>
  <c r="CU40" i="30"/>
  <c r="CU41" i="30"/>
  <c r="CT32" i="30"/>
  <c r="CT36" i="30"/>
  <c r="CT39" i="30"/>
  <c r="CT40" i="30"/>
  <c r="CT41" i="30"/>
  <c r="CS32" i="30"/>
  <c r="CS36" i="30"/>
  <c r="CS39" i="30"/>
  <c r="CS40" i="30"/>
  <c r="CS41" i="30"/>
  <c r="CR32" i="30"/>
  <c r="CR36" i="30"/>
  <c r="CR39" i="30"/>
  <c r="CR40" i="30"/>
  <c r="CR41" i="30"/>
  <c r="CQ32" i="30"/>
  <c r="CQ36" i="30"/>
  <c r="CQ39" i="30"/>
  <c r="CQ40" i="30"/>
  <c r="CQ41" i="30"/>
  <c r="CP32" i="30"/>
  <c r="CP36" i="30"/>
  <c r="CP39" i="30"/>
  <c r="CP40" i="30"/>
  <c r="CP41" i="30"/>
  <c r="CO32" i="30"/>
  <c r="CO36" i="30"/>
  <c r="CO39" i="30"/>
  <c r="CO40" i="30"/>
  <c r="CO41" i="30"/>
  <c r="CN32" i="30"/>
  <c r="CN36" i="30"/>
  <c r="CN39" i="30"/>
  <c r="CN40" i="30"/>
  <c r="CN41" i="30"/>
  <c r="CM32" i="30"/>
  <c r="CM36" i="30"/>
  <c r="CM39" i="30"/>
  <c r="CM40" i="30"/>
  <c r="CM41" i="30"/>
  <c r="CL32" i="30"/>
  <c r="CL36" i="30"/>
  <c r="CL39" i="30"/>
  <c r="CL40" i="30"/>
  <c r="CL41" i="30"/>
  <c r="CK32" i="30"/>
  <c r="CK36" i="30"/>
  <c r="CK39" i="30"/>
  <c r="CK40" i="30"/>
  <c r="CK41" i="30"/>
  <c r="CJ32" i="30"/>
  <c r="CJ36" i="30"/>
  <c r="CJ39" i="30"/>
  <c r="CJ40" i="30"/>
  <c r="CJ41" i="30"/>
  <c r="J26" i="30"/>
  <c r="J27" i="30"/>
  <c r="CI32" i="30"/>
  <c r="CI36" i="30"/>
  <c r="CI39" i="30"/>
  <c r="CI40" i="30"/>
  <c r="CI41" i="30"/>
  <c r="CH32" i="30"/>
  <c r="CH36" i="30"/>
  <c r="CH39" i="30"/>
  <c r="CH40" i="30"/>
  <c r="CH41" i="30"/>
  <c r="CG32" i="30"/>
  <c r="CG36" i="30"/>
  <c r="CG39" i="30"/>
  <c r="CG40" i="30"/>
  <c r="CG41" i="30"/>
  <c r="CF32" i="30"/>
  <c r="CF36" i="30"/>
  <c r="CF39" i="30"/>
  <c r="CF40" i="30"/>
  <c r="CF41" i="30"/>
  <c r="CE32" i="30"/>
  <c r="CE36" i="30"/>
  <c r="CE39" i="30"/>
  <c r="CE40" i="30"/>
  <c r="CE41" i="30"/>
  <c r="CD32" i="30"/>
  <c r="CD36" i="30"/>
  <c r="CD39" i="30"/>
  <c r="CD40" i="30"/>
  <c r="CD41" i="30"/>
  <c r="CC32" i="30"/>
  <c r="CC36" i="30"/>
  <c r="CC39" i="30"/>
  <c r="CC40" i="30"/>
  <c r="CC41" i="30"/>
  <c r="CB32" i="30"/>
  <c r="CB36" i="30"/>
  <c r="CB39" i="30"/>
  <c r="CB40" i="30"/>
  <c r="CB41" i="30"/>
  <c r="CA32" i="30"/>
  <c r="CA36" i="30"/>
  <c r="CA39" i="30"/>
  <c r="CA40" i="30"/>
  <c r="CA41" i="30"/>
  <c r="BZ32" i="30"/>
  <c r="BZ36" i="30"/>
  <c r="BZ39" i="30"/>
  <c r="BZ40" i="30"/>
  <c r="BZ41" i="30"/>
  <c r="BY32" i="30"/>
  <c r="BY36" i="30"/>
  <c r="BY39" i="30"/>
  <c r="BY40" i="30"/>
  <c r="BY41" i="30"/>
  <c r="BX32" i="30"/>
  <c r="BX36" i="30"/>
  <c r="BX39" i="30"/>
  <c r="BX40" i="30"/>
  <c r="BX41" i="30"/>
  <c r="I26" i="30"/>
  <c r="I27" i="30"/>
  <c r="BW32" i="30"/>
  <c r="BW36" i="30"/>
  <c r="BW39" i="30"/>
  <c r="BW40" i="30"/>
  <c r="BW41" i="30"/>
  <c r="BV32" i="30"/>
  <c r="BV36" i="30"/>
  <c r="BV39" i="30"/>
  <c r="BV40" i="30"/>
  <c r="BV41" i="30"/>
  <c r="BU32" i="30"/>
  <c r="BU36" i="30"/>
  <c r="BU39" i="30"/>
  <c r="BU40" i="30"/>
  <c r="BU41" i="30"/>
  <c r="BT32" i="30"/>
  <c r="BT36" i="30"/>
  <c r="BT39" i="30"/>
  <c r="BT40" i="30"/>
  <c r="BT41" i="30"/>
  <c r="BS32" i="30"/>
  <c r="BS36" i="30"/>
  <c r="BS39" i="30"/>
  <c r="BS40" i="30"/>
  <c r="BS41" i="30"/>
  <c r="BR32" i="30"/>
  <c r="BR36" i="30"/>
  <c r="BR39" i="30"/>
  <c r="BR40" i="30"/>
  <c r="BR41" i="30"/>
  <c r="BQ32" i="30"/>
  <c r="BQ36" i="30"/>
  <c r="BQ39" i="30"/>
  <c r="BQ40" i="30"/>
  <c r="BQ41" i="30"/>
  <c r="BP32" i="30"/>
  <c r="BP36" i="30"/>
  <c r="BP39" i="30"/>
  <c r="BP40" i="30"/>
  <c r="BP41" i="30"/>
  <c r="BO32" i="30"/>
  <c r="BO36" i="30"/>
  <c r="BO39" i="30"/>
  <c r="BO40" i="30"/>
  <c r="BO41" i="30"/>
  <c r="BN32" i="30"/>
  <c r="BN36" i="30"/>
  <c r="BN39" i="30"/>
  <c r="BN40" i="30"/>
  <c r="BN41" i="30"/>
  <c r="BM32" i="30"/>
  <c r="BM36" i="30"/>
  <c r="BM39" i="30"/>
  <c r="BM40" i="30"/>
  <c r="BM41" i="30"/>
  <c r="BL32" i="30"/>
  <c r="BL36" i="30"/>
  <c r="BL39" i="30"/>
  <c r="BL40" i="30"/>
  <c r="BL41" i="30"/>
  <c r="H26" i="30"/>
  <c r="H27" i="30"/>
  <c r="BK32" i="30"/>
  <c r="BK36" i="30"/>
  <c r="BK39" i="30"/>
  <c r="BK40" i="30"/>
  <c r="BK41" i="30"/>
  <c r="BJ32" i="30"/>
  <c r="BJ36" i="30"/>
  <c r="BJ39" i="30"/>
  <c r="BJ40" i="30"/>
  <c r="BJ41" i="30"/>
  <c r="BI32" i="30"/>
  <c r="BI36" i="30"/>
  <c r="BI39" i="30"/>
  <c r="BI40" i="30"/>
  <c r="BI41" i="30"/>
  <c r="BH32" i="30"/>
  <c r="BH36" i="30"/>
  <c r="BH39" i="30"/>
  <c r="BH40" i="30"/>
  <c r="BH41" i="30"/>
  <c r="BG32" i="30"/>
  <c r="BG36" i="30"/>
  <c r="BG39" i="30"/>
  <c r="BG40" i="30"/>
  <c r="BG41" i="30"/>
  <c r="BF32" i="30"/>
  <c r="BF36" i="30"/>
  <c r="BF39" i="30"/>
  <c r="BF40" i="30"/>
  <c r="BF41" i="30"/>
  <c r="BE32" i="30"/>
  <c r="BE36" i="30"/>
  <c r="BE39" i="30"/>
  <c r="BE40" i="30"/>
  <c r="BE41" i="30"/>
  <c r="BD32" i="30"/>
  <c r="BD36" i="30"/>
  <c r="BD39" i="30"/>
  <c r="BD40" i="30"/>
  <c r="BD41" i="30"/>
  <c r="BC32" i="30"/>
  <c r="BC36" i="30"/>
  <c r="BC39" i="30"/>
  <c r="BC40" i="30"/>
  <c r="BC41" i="30"/>
  <c r="BB32" i="30"/>
  <c r="BB36" i="30"/>
  <c r="BB39" i="30"/>
  <c r="BB40" i="30"/>
  <c r="BB41" i="30"/>
  <c r="BA32" i="30"/>
  <c r="BA36" i="30"/>
  <c r="BA39" i="30"/>
  <c r="BA40" i="30"/>
  <c r="BA41" i="30"/>
  <c r="AZ32" i="30"/>
  <c r="AZ36" i="30"/>
  <c r="AZ39" i="30"/>
  <c r="AZ40" i="30"/>
  <c r="AZ41" i="30"/>
  <c r="G26" i="30"/>
  <c r="G27" i="30"/>
  <c r="AY32" i="30"/>
  <c r="AY36" i="30"/>
  <c r="AY39" i="30"/>
  <c r="AY40" i="30"/>
  <c r="AY41" i="30"/>
  <c r="AX32" i="30"/>
  <c r="AX36" i="30"/>
  <c r="AX39" i="30"/>
  <c r="AX40" i="30"/>
  <c r="AX41" i="30"/>
  <c r="AW32" i="30"/>
  <c r="AW36" i="30"/>
  <c r="AW39" i="30"/>
  <c r="AW40" i="30"/>
  <c r="AW41" i="30"/>
  <c r="AV32" i="30"/>
  <c r="AV36" i="30"/>
  <c r="AV39" i="30"/>
  <c r="AV40" i="30"/>
  <c r="AV41" i="30"/>
  <c r="AU32" i="30"/>
  <c r="AU36" i="30"/>
  <c r="AU39" i="30"/>
  <c r="AU40" i="30"/>
  <c r="AU41" i="30"/>
  <c r="AT32" i="30"/>
  <c r="AT36" i="30"/>
  <c r="AT39" i="30"/>
  <c r="AT40" i="30"/>
  <c r="AT41" i="30"/>
  <c r="AS32" i="30"/>
  <c r="AS36" i="30"/>
  <c r="AS39" i="30"/>
  <c r="AS40" i="30"/>
  <c r="AS41" i="30"/>
  <c r="AR32" i="30"/>
  <c r="AR36" i="30"/>
  <c r="AR39" i="30"/>
  <c r="AR40" i="30"/>
  <c r="AR41" i="30"/>
  <c r="AQ32" i="30"/>
  <c r="AQ36" i="30"/>
  <c r="AQ39" i="30"/>
  <c r="AQ40" i="30"/>
  <c r="AQ41" i="30"/>
  <c r="AP32" i="30"/>
  <c r="AP36" i="30"/>
  <c r="AP39" i="30"/>
  <c r="AP40" i="30"/>
  <c r="AP41" i="30"/>
  <c r="AO32" i="30"/>
  <c r="AO36" i="30"/>
  <c r="AO39" i="30"/>
  <c r="AO40" i="30"/>
  <c r="AO41" i="30"/>
  <c r="AN32" i="30"/>
  <c r="AN36" i="30"/>
  <c r="AN39" i="30"/>
  <c r="AN40" i="30"/>
  <c r="AN41" i="30"/>
  <c r="F26" i="30"/>
  <c r="F27" i="30"/>
  <c r="AM32" i="30"/>
  <c r="AM36" i="30"/>
  <c r="AM39" i="30"/>
  <c r="AM40" i="30"/>
  <c r="AM41" i="30"/>
  <c r="AL32" i="30"/>
  <c r="AL36" i="30"/>
  <c r="AL39" i="30"/>
  <c r="AL40" i="30"/>
  <c r="AL41" i="30"/>
  <c r="AK32" i="30"/>
  <c r="AK36" i="30"/>
  <c r="AK39" i="30"/>
  <c r="AK40" i="30"/>
  <c r="AK41" i="30"/>
  <c r="AJ32" i="30"/>
  <c r="AJ36" i="30"/>
  <c r="AJ39" i="30"/>
  <c r="AJ40" i="30"/>
  <c r="AJ41" i="30"/>
  <c r="AI32" i="30"/>
  <c r="AI36" i="30"/>
  <c r="AI39" i="30"/>
  <c r="AI40" i="30"/>
  <c r="AI41" i="30"/>
  <c r="AH32" i="30"/>
  <c r="AH36" i="30"/>
  <c r="AH39" i="30"/>
  <c r="AH40" i="30"/>
  <c r="AH41" i="30"/>
  <c r="AG32" i="30"/>
  <c r="AG36" i="30"/>
  <c r="AG39" i="30"/>
  <c r="AG40" i="30"/>
  <c r="AG41" i="30"/>
  <c r="AF32" i="30"/>
  <c r="AF36" i="30"/>
  <c r="AF39" i="30"/>
  <c r="AF40" i="30"/>
  <c r="AF41" i="30"/>
  <c r="AE32" i="30"/>
  <c r="AE36" i="30"/>
  <c r="AE39" i="30"/>
  <c r="AE40" i="30"/>
  <c r="AE41" i="30"/>
  <c r="AD32" i="30"/>
  <c r="AD36" i="30"/>
  <c r="AD39" i="30"/>
  <c r="AD40" i="30"/>
  <c r="AD41" i="30"/>
  <c r="AC32" i="30"/>
  <c r="AC36" i="30"/>
  <c r="AC39" i="30"/>
  <c r="AC40" i="30"/>
  <c r="AC41" i="30"/>
  <c r="AB32" i="30"/>
  <c r="AB36" i="30"/>
  <c r="AB39" i="30"/>
  <c r="AB40" i="30"/>
  <c r="AB41" i="30"/>
  <c r="E26" i="30"/>
  <c r="E27" i="30"/>
  <c r="AA32" i="30"/>
  <c r="AA36" i="30"/>
  <c r="AA39" i="30"/>
  <c r="AA40" i="30"/>
  <c r="AA41" i="30"/>
  <c r="Z32" i="30"/>
  <c r="Z36" i="30"/>
  <c r="Z39" i="30"/>
  <c r="Z40" i="30"/>
  <c r="Z41" i="30"/>
  <c r="Y32" i="30"/>
  <c r="Y36" i="30"/>
  <c r="Y39" i="30"/>
  <c r="Y40" i="30"/>
  <c r="Y41" i="30"/>
  <c r="X32" i="30"/>
  <c r="X36" i="30"/>
  <c r="X39" i="30"/>
  <c r="X40" i="30"/>
  <c r="X41" i="30"/>
  <c r="W32" i="30"/>
  <c r="W36" i="30"/>
  <c r="W39" i="30"/>
  <c r="W40" i="30"/>
  <c r="W41" i="30"/>
  <c r="V32" i="30"/>
  <c r="V36" i="30"/>
  <c r="V39" i="30"/>
  <c r="V40" i="30"/>
  <c r="V41" i="30"/>
  <c r="U32" i="30"/>
  <c r="U36" i="30"/>
  <c r="U39" i="30"/>
  <c r="U40" i="30"/>
  <c r="U41" i="30"/>
  <c r="T32" i="30"/>
  <c r="T36" i="30"/>
  <c r="T39" i="30"/>
  <c r="T40" i="30"/>
  <c r="T41" i="30"/>
  <c r="S32" i="30"/>
  <c r="S36" i="30"/>
  <c r="S39" i="30"/>
  <c r="S40" i="30"/>
  <c r="S41" i="30"/>
  <c r="R32" i="30"/>
  <c r="R36" i="30"/>
  <c r="R39" i="30"/>
  <c r="R40" i="30"/>
  <c r="R41" i="30"/>
  <c r="Q32" i="30"/>
  <c r="Q36" i="30"/>
  <c r="Q39" i="30"/>
  <c r="Q40" i="30"/>
  <c r="Q41" i="30"/>
  <c r="P32" i="30"/>
  <c r="P36" i="30"/>
  <c r="P39" i="30"/>
  <c r="P40" i="30"/>
  <c r="P41" i="30"/>
  <c r="D26" i="30"/>
  <c r="D27" i="30"/>
  <c r="O32" i="30"/>
  <c r="O36" i="30"/>
  <c r="O39" i="30"/>
  <c r="O40" i="30"/>
  <c r="O41" i="30"/>
  <c r="N32" i="30"/>
  <c r="N36" i="30"/>
  <c r="N39" i="30"/>
  <c r="N40" i="30"/>
  <c r="N41" i="30"/>
  <c r="M32" i="30"/>
  <c r="M36" i="30"/>
  <c r="M39" i="30"/>
  <c r="M40" i="30"/>
  <c r="M41" i="30"/>
  <c r="L32" i="30"/>
  <c r="L36" i="30"/>
  <c r="L39" i="30"/>
  <c r="L40" i="30"/>
  <c r="L41" i="30"/>
  <c r="K32" i="30"/>
  <c r="K36" i="30"/>
  <c r="K39" i="30"/>
  <c r="K40" i="30"/>
  <c r="K41" i="30"/>
  <c r="J32" i="30"/>
  <c r="J36" i="30"/>
  <c r="J39" i="30"/>
  <c r="J40" i="30"/>
  <c r="J41" i="30"/>
  <c r="I32" i="30"/>
  <c r="I36" i="30"/>
  <c r="I39" i="30"/>
  <c r="I40" i="30"/>
  <c r="I41" i="30"/>
  <c r="H32" i="30"/>
  <c r="H36" i="30"/>
  <c r="H39" i="30"/>
  <c r="H40" i="30"/>
  <c r="H41" i="30"/>
  <c r="G32" i="30"/>
  <c r="G36" i="30"/>
  <c r="G39" i="30"/>
  <c r="G40" i="30"/>
  <c r="G41" i="30"/>
  <c r="F32" i="30"/>
  <c r="F36" i="30"/>
  <c r="F39" i="30"/>
  <c r="F40" i="30"/>
  <c r="F41" i="30"/>
  <c r="E32" i="30"/>
  <c r="E36" i="30"/>
  <c r="E39" i="30"/>
  <c r="E40" i="30"/>
  <c r="E41" i="30"/>
  <c r="D32" i="30"/>
  <c r="D36" i="30"/>
  <c r="D39" i="30"/>
  <c r="D40" i="30"/>
  <c r="D41" i="30"/>
  <c r="B14" i="19"/>
  <c r="GA38" i="30"/>
  <c r="FZ38" i="30"/>
  <c r="FY38" i="30"/>
  <c r="FX38" i="30"/>
  <c r="FW38" i="30"/>
  <c r="FV38" i="30"/>
  <c r="FU38" i="30"/>
  <c r="FT38" i="30"/>
  <c r="FS38" i="30"/>
  <c r="FR38" i="30"/>
  <c r="FQ38" i="30"/>
  <c r="FP38" i="30"/>
  <c r="FO38" i="30"/>
  <c r="FN38" i="30"/>
  <c r="FM38" i="30"/>
  <c r="FL38" i="30"/>
  <c r="FK38" i="30"/>
  <c r="FJ38" i="30"/>
  <c r="FI38" i="30"/>
  <c r="FH38" i="30"/>
  <c r="FG38" i="30"/>
  <c r="FF38" i="30"/>
  <c r="FE38" i="30"/>
  <c r="FD38" i="30"/>
  <c r="FC38" i="30"/>
  <c r="FB38" i="30"/>
  <c r="FA38" i="30"/>
  <c r="EZ38" i="30"/>
  <c r="EY38" i="30"/>
  <c r="EX38" i="30"/>
  <c r="EW38" i="30"/>
  <c r="EV38" i="30"/>
  <c r="EU38" i="30"/>
  <c r="ET38" i="30"/>
  <c r="ES38" i="30"/>
  <c r="ER38" i="30"/>
  <c r="EQ38" i="30"/>
  <c r="EP38" i="30"/>
  <c r="EO38" i="30"/>
  <c r="EN38" i="30"/>
  <c r="EM38" i="30"/>
  <c r="EL38" i="30"/>
  <c r="EK38" i="30"/>
  <c r="EJ38" i="30"/>
  <c r="EI38" i="30"/>
  <c r="EH38" i="30"/>
  <c r="EG38" i="30"/>
  <c r="EF38" i="30"/>
  <c r="EE38" i="30"/>
  <c r="ED38" i="30"/>
  <c r="EC38" i="30"/>
  <c r="EB38" i="30"/>
  <c r="EA38" i="30"/>
  <c r="DZ38" i="30"/>
  <c r="DY38" i="30"/>
  <c r="DX38" i="30"/>
  <c r="DW38" i="30"/>
  <c r="DV38" i="30"/>
  <c r="DU38" i="30"/>
  <c r="DT38" i="30"/>
  <c r="DS38" i="30"/>
  <c r="DR38" i="30"/>
  <c r="DQ38" i="30"/>
  <c r="DP38" i="30"/>
  <c r="DO38" i="30"/>
  <c r="DN38" i="30"/>
  <c r="DM38" i="30"/>
  <c r="DL38" i="30"/>
  <c r="DK38" i="30"/>
  <c r="DJ38" i="30"/>
  <c r="DI38" i="30"/>
  <c r="DH38" i="30"/>
  <c r="DG38" i="30"/>
  <c r="DF38" i="30"/>
  <c r="DE38" i="30"/>
  <c r="DD38" i="30"/>
  <c r="DC38" i="30"/>
  <c r="DB38" i="30"/>
  <c r="DA38" i="30"/>
  <c r="CZ38" i="30"/>
  <c r="CY38" i="30"/>
  <c r="CX38" i="30"/>
  <c r="CW38" i="30"/>
  <c r="CV38" i="30"/>
  <c r="CU38" i="30"/>
  <c r="CT38" i="30"/>
  <c r="CS38" i="30"/>
  <c r="CR38" i="30"/>
  <c r="CQ38" i="30"/>
  <c r="CP38" i="30"/>
  <c r="CO38" i="30"/>
  <c r="CN38" i="30"/>
  <c r="CM38" i="30"/>
  <c r="CL38" i="30"/>
  <c r="CK38" i="30"/>
  <c r="CJ38" i="30"/>
  <c r="CI38" i="30"/>
  <c r="CH38" i="30"/>
  <c r="CG38" i="30"/>
  <c r="CF38" i="30"/>
  <c r="CE38" i="30"/>
  <c r="CD38" i="30"/>
  <c r="CC38" i="30"/>
  <c r="CB38" i="30"/>
  <c r="CA38" i="30"/>
  <c r="BZ38" i="30"/>
  <c r="BY38" i="30"/>
  <c r="BX38" i="30"/>
  <c r="BW38" i="30"/>
  <c r="BV38" i="30"/>
  <c r="BU38" i="30"/>
  <c r="BT38" i="30"/>
  <c r="BS38" i="30"/>
  <c r="BR38" i="30"/>
  <c r="BQ38" i="30"/>
  <c r="BP38" i="30"/>
  <c r="BO38" i="30"/>
  <c r="BN38" i="30"/>
  <c r="BM38" i="30"/>
  <c r="BL38" i="30"/>
  <c r="BK38" i="30"/>
  <c r="BJ38" i="30"/>
  <c r="BI38" i="30"/>
  <c r="BH38" i="30"/>
  <c r="BG38" i="30"/>
  <c r="BF38" i="30"/>
  <c r="BE38" i="30"/>
  <c r="BD38" i="30"/>
  <c r="BC38" i="30"/>
  <c r="BB38" i="30"/>
  <c r="BA38" i="30"/>
  <c r="AZ38" i="30"/>
  <c r="AY38" i="30"/>
  <c r="AX38" i="30"/>
  <c r="AW38" i="30"/>
  <c r="AV38" i="30"/>
  <c r="AU38" i="30"/>
  <c r="AT38" i="30"/>
  <c r="AS38" i="30"/>
  <c r="AR38" i="30"/>
  <c r="AQ38" i="30"/>
  <c r="AP38" i="30"/>
  <c r="AO38" i="30"/>
  <c r="AN38" i="30"/>
  <c r="AM38" i="30"/>
  <c r="AL38" i="30"/>
  <c r="AK38" i="30"/>
  <c r="AJ38" i="30"/>
  <c r="AI38" i="30"/>
  <c r="AH38" i="30"/>
  <c r="AG38" i="30"/>
  <c r="AF38" i="30"/>
  <c r="AE38" i="30"/>
  <c r="AD38" i="30"/>
  <c r="AC38" i="30"/>
  <c r="AB38" i="30"/>
  <c r="AA38" i="30"/>
  <c r="Z38" i="30"/>
  <c r="Y38" i="30"/>
  <c r="X38" i="30"/>
  <c r="W38" i="30"/>
  <c r="V38" i="30"/>
  <c r="U38" i="30"/>
  <c r="T38" i="30"/>
  <c r="S38" i="30"/>
  <c r="R38" i="30"/>
  <c r="Q38" i="30"/>
  <c r="P38" i="30"/>
  <c r="O38" i="30"/>
  <c r="N38" i="30"/>
  <c r="M38" i="30"/>
  <c r="L38" i="30"/>
  <c r="K38" i="30"/>
  <c r="J38" i="30"/>
  <c r="I38" i="30"/>
  <c r="H38" i="30"/>
  <c r="G38" i="30"/>
  <c r="F38" i="30"/>
  <c r="E38" i="30"/>
  <c r="D38" i="30"/>
  <c r="F17" i="22"/>
  <c r="G19" i="19"/>
  <c r="G75" i="25"/>
  <c r="G74" i="25"/>
  <c r="G73" i="25"/>
  <c r="G11" i="25"/>
  <c r="G10" i="25"/>
  <c r="G9" i="25"/>
  <c r="G75" i="26"/>
  <c r="G74" i="26"/>
  <c r="G73" i="26"/>
  <c r="G11" i="26"/>
  <c r="G10" i="26"/>
  <c r="G9" i="26"/>
  <c r="F23" i="22"/>
  <c r="Q15" i="15"/>
  <c r="Q17" i="15"/>
  <c r="R15" i="15"/>
  <c r="E6" i="22"/>
  <c r="R17" i="15"/>
  <c r="R16" i="15"/>
  <c r="A28" i="15"/>
  <c r="F19" i="22"/>
  <c r="C14" i="30"/>
  <c r="C26" i="30"/>
  <c r="C27" i="30"/>
  <c r="C32" i="30"/>
  <c r="C36" i="30"/>
  <c r="C11" i="30"/>
  <c r="G30" i="19"/>
  <c r="G29" i="19"/>
  <c r="G27" i="19"/>
  <c r="G26" i="19"/>
  <c r="D21" i="1"/>
  <c r="D22" i="1"/>
  <c r="D30" i="19"/>
  <c r="F16" i="22"/>
  <c r="F21" i="22"/>
  <c r="R27" i="15"/>
  <c r="R26" i="15"/>
  <c r="Q26" i="15"/>
  <c r="C33" i="30"/>
  <c r="C17" i="30"/>
  <c r="C41" i="30"/>
  <c r="C38" i="30"/>
  <c r="GA35" i="30"/>
  <c r="FZ35" i="30"/>
  <c r="FY35" i="30"/>
  <c r="FX35" i="30"/>
  <c r="FW35" i="30"/>
  <c r="FV35" i="30"/>
  <c r="FU35" i="30"/>
  <c r="FT35" i="30"/>
  <c r="FS35" i="30"/>
  <c r="FR35" i="30"/>
  <c r="FQ35" i="30"/>
  <c r="FP35" i="30"/>
  <c r="FO35" i="30"/>
  <c r="FN35" i="30"/>
  <c r="FM35" i="30"/>
  <c r="FL35" i="30"/>
  <c r="FK35" i="30"/>
  <c r="FJ35" i="30"/>
  <c r="FI35" i="30"/>
  <c r="FH35" i="30"/>
  <c r="FG35" i="30"/>
  <c r="FF35" i="30"/>
  <c r="FE35" i="30"/>
  <c r="FD35" i="30"/>
  <c r="FC35" i="30"/>
  <c r="FB35" i="30"/>
  <c r="FA35" i="30"/>
  <c r="EZ35" i="30"/>
  <c r="EY35" i="30"/>
  <c r="EX35" i="30"/>
  <c r="EW35" i="30"/>
  <c r="EV35" i="30"/>
  <c r="EU35" i="30"/>
  <c r="ET35" i="30"/>
  <c r="ES35" i="30"/>
  <c r="ER35" i="30"/>
  <c r="EQ35" i="30"/>
  <c r="EP35" i="30"/>
  <c r="EO35" i="30"/>
  <c r="EN35" i="30"/>
  <c r="EM35" i="30"/>
  <c r="EL35" i="30"/>
  <c r="EK35" i="30"/>
  <c r="EJ35" i="30"/>
  <c r="EI35" i="30"/>
  <c r="EH35" i="30"/>
  <c r="EG35" i="30"/>
  <c r="EF35" i="30"/>
  <c r="EE35" i="30"/>
  <c r="ED35" i="30"/>
  <c r="EC35" i="30"/>
  <c r="EB35" i="30"/>
  <c r="EA35" i="30"/>
  <c r="DZ35" i="30"/>
  <c r="DY35" i="30"/>
  <c r="DX35" i="30"/>
  <c r="DW35" i="30"/>
  <c r="DV35" i="30"/>
  <c r="DU35" i="30"/>
  <c r="DT35" i="30"/>
  <c r="DS35" i="30"/>
  <c r="DR35" i="30"/>
  <c r="DQ35" i="30"/>
  <c r="DP35" i="30"/>
  <c r="DO35" i="30"/>
  <c r="DN35" i="30"/>
  <c r="DM35" i="30"/>
  <c r="DL35" i="30"/>
  <c r="DK35" i="30"/>
  <c r="DJ35" i="30"/>
  <c r="DI35" i="30"/>
  <c r="DH35" i="30"/>
  <c r="DG35" i="30"/>
  <c r="DF35" i="30"/>
  <c r="DE35" i="30"/>
  <c r="DD35" i="30"/>
  <c r="DC35" i="30"/>
  <c r="DB35" i="30"/>
  <c r="DA35" i="30"/>
  <c r="CZ35" i="30"/>
  <c r="CY35" i="30"/>
  <c r="CX35" i="30"/>
  <c r="CW35" i="30"/>
  <c r="CV35" i="30"/>
  <c r="CU35" i="30"/>
  <c r="CT35" i="30"/>
  <c r="CS35" i="30"/>
  <c r="CR35" i="30"/>
  <c r="CQ35" i="30"/>
  <c r="CP35" i="30"/>
  <c r="CO35" i="30"/>
  <c r="CN35" i="30"/>
  <c r="CM35" i="30"/>
  <c r="CL35" i="30"/>
  <c r="CK35" i="30"/>
  <c r="CJ35" i="30"/>
  <c r="CI35" i="30"/>
  <c r="CH35" i="30"/>
  <c r="CG35" i="30"/>
  <c r="CF35" i="30"/>
  <c r="CE35" i="30"/>
  <c r="CD35" i="30"/>
  <c r="CC35" i="30"/>
  <c r="CB35" i="30"/>
  <c r="CA35" i="30"/>
  <c r="BZ35" i="30"/>
  <c r="BY35" i="30"/>
  <c r="BX35" i="30"/>
  <c r="BW35" i="30"/>
  <c r="BV35" i="30"/>
  <c r="BU35" i="30"/>
  <c r="BT35" i="30"/>
  <c r="BS35" i="30"/>
  <c r="BR35" i="30"/>
  <c r="BQ35" i="30"/>
  <c r="BP35" i="30"/>
  <c r="BO35" i="30"/>
  <c r="BN35" i="30"/>
  <c r="BM35" i="30"/>
  <c r="BL35" i="30"/>
  <c r="BK35" i="30"/>
  <c r="BJ35" i="30"/>
  <c r="BI35" i="30"/>
  <c r="BH35" i="30"/>
  <c r="BG35" i="30"/>
  <c r="BF35" i="30"/>
  <c r="BE35" i="30"/>
  <c r="BD35" i="30"/>
  <c r="BC35" i="30"/>
  <c r="BB35" i="30"/>
  <c r="BA35" i="30"/>
  <c r="AZ35" i="30"/>
  <c r="AY35" i="30"/>
  <c r="AX35" i="30"/>
  <c r="AW35" i="30"/>
  <c r="AV35" i="30"/>
  <c r="AU35" i="30"/>
  <c r="AT35" i="30"/>
  <c r="AS35" i="30"/>
  <c r="AR35" i="30"/>
  <c r="AQ35" i="30"/>
  <c r="AP35" i="30"/>
  <c r="AO35" i="30"/>
  <c r="AN35" i="30"/>
  <c r="AM35" i="30"/>
  <c r="AL35" i="30"/>
  <c r="AK35" i="30"/>
  <c r="AJ35" i="30"/>
  <c r="AI35" i="30"/>
  <c r="AH35" i="30"/>
  <c r="AG35" i="30"/>
  <c r="AF35" i="30"/>
  <c r="AE35" i="30"/>
  <c r="AD35" i="30"/>
  <c r="AC35" i="30"/>
  <c r="AB35" i="30"/>
  <c r="AA35" i="30"/>
  <c r="Z35" i="30"/>
  <c r="Y35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S33" i="30"/>
  <c r="T33" i="30"/>
  <c r="U33" i="30"/>
  <c r="V33" i="30"/>
  <c r="W33" i="30"/>
  <c r="X33" i="30"/>
  <c r="Y33" i="30"/>
  <c r="Z33" i="30"/>
  <c r="AA33" i="30"/>
  <c r="AB33" i="30"/>
  <c r="AC33" i="30"/>
  <c r="AD33" i="30"/>
  <c r="AE33" i="30"/>
  <c r="AF33" i="30"/>
  <c r="AG33" i="30"/>
  <c r="AH33" i="30"/>
  <c r="AI33" i="30"/>
  <c r="AJ33" i="30"/>
  <c r="AK33" i="30"/>
  <c r="AL33" i="30"/>
  <c r="AM33" i="30"/>
  <c r="AN33" i="30"/>
  <c r="AO33" i="30"/>
  <c r="AP33" i="30"/>
  <c r="AQ33" i="30"/>
  <c r="AR33" i="30"/>
  <c r="AS33" i="30"/>
  <c r="AT33" i="30"/>
  <c r="AU33" i="30"/>
  <c r="AV33" i="30"/>
  <c r="AW33" i="30"/>
  <c r="AX33" i="30"/>
  <c r="AY33" i="30"/>
  <c r="AZ33" i="30"/>
  <c r="BA33" i="30"/>
  <c r="BB33" i="30"/>
  <c r="BC33" i="30"/>
  <c r="BD33" i="30"/>
  <c r="BE33" i="30"/>
  <c r="BF33" i="30"/>
  <c r="BG33" i="30"/>
  <c r="BH33" i="30"/>
  <c r="BI33" i="30"/>
  <c r="BJ33" i="30"/>
  <c r="BK33" i="30"/>
  <c r="BL33" i="30"/>
  <c r="BM33" i="30"/>
  <c r="BN33" i="30"/>
  <c r="BO33" i="30"/>
  <c r="BP33" i="30"/>
  <c r="BQ33" i="30"/>
  <c r="BR33" i="30"/>
  <c r="BS33" i="30"/>
  <c r="BT33" i="30"/>
  <c r="BU33" i="30"/>
  <c r="BV33" i="30"/>
  <c r="BW33" i="30"/>
  <c r="BX33" i="30"/>
  <c r="BY33" i="30"/>
  <c r="BZ33" i="30"/>
  <c r="CA33" i="30"/>
  <c r="CB33" i="30"/>
  <c r="CC33" i="30"/>
  <c r="CD33" i="30"/>
  <c r="CE33" i="30"/>
  <c r="CF33" i="30"/>
  <c r="CG33" i="30"/>
  <c r="CH33" i="30"/>
  <c r="CI33" i="30"/>
  <c r="CJ33" i="30"/>
  <c r="CK33" i="30"/>
  <c r="CL33" i="30"/>
  <c r="CM33" i="30"/>
  <c r="CN33" i="30"/>
  <c r="CO33" i="30"/>
  <c r="CP33" i="30"/>
  <c r="CQ33" i="30"/>
  <c r="CR33" i="30"/>
  <c r="CS33" i="30"/>
  <c r="CT33" i="30"/>
  <c r="CU33" i="30"/>
  <c r="CV33" i="30"/>
  <c r="CW33" i="30"/>
  <c r="CX33" i="30"/>
  <c r="CY33" i="30"/>
  <c r="CZ33" i="30"/>
  <c r="DA33" i="30"/>
  <c r="DB33" i="30"/>
  <c r="DC33" i="30"/>
  <c r="DD33" i="30"/>
  <c r="DE33" i="30"/>
  <c r="DF33" i="30"/>
  <c r="DG33" i="30"/>
  <c r="DH33" i="30"/>
  <c r="DI33" i="30"/>
  <c r="DJ33" i="30"/>
  <c r="DK33" i="30"/>
  <c r="DL33" i="30"/>
  <c r="DM33" i="30"/>
  <c r="DN33" i="30"/>
  <c r="DO33" i="30"/>
  <c r="DP33" i="30"/>
  <c r="DQ33" i="30"/>
  <c r="DR33" i="30"/>
  <c r="DS33" i="30"/>
  <c r="DT33" i="30"/>
  <c r="DU33" i="30"/>
  <c r="DV33" i="30"/>
  <c r="DW33" i="30"/>
  <c r="DX33" i="30"/>
  <c r="DY33" i="30"/>
  <c r="DZ33" i="30"/>
  <c r="EA33" i="30"/>
  <c r="EB33" i="30"/>
  <c r="EC33" i="30"/>
  <c r="ED33" i="30"/>
  <c r="EE33" i="30"/>
  <c r="EF33" i="30"/>
  <c r="EG33" i="30"/>
  <c r="EH33" i="30"/>
  <c r="EI33" i="30"/>
  <c r="EJ33" i="30"/>
  <c r="EK33" i="30"/>
  <c r="EL33" i="30"/>
  <c r="EM33" i="30"/>
  <c r="EN33" i="30"/>
  <c r="EO33" i="30"/>
  <c r="EP33" i="30"/>
  <c r="EQ33" i="30"/>
  <c r="ER33" i="30"/>
  <c r="ES33" i="30"/>
  <c r="ET33" i="30"/>
  <c r="EU33" i="30"/>
  <c r="EV33" i="30"/>
  <c r="EW33" i="30"/>
  <c r="EX33" i="30"/>
  <c r="EY33" i="30"/>
  <c r="EZ33" i="30"/>
  <c r="FA33" i="30"/>
  <c r="FB33" i="30"/>
  <c r="FC33" i="30"/>
  <c r="FD33" i="30"/>
  <c r="FE33" i="30"/>
  <c r="FF33" i="30"/>
  <c r="FG33" i="30"/>
  <c r="FH33" i="30"/>
  <c r="FI33" i="30"/>
  <c r="FJ33" i="30"/>
  <c r="FK33" i="30"/>
  <c r="FL33" i="30"/>
  <c r="FM33" i="30"/>
  <c r="FN33" i="30"/>
  <c r="FO33" i="30"/>
  <c r="FP33" i="30"/>
  <c r="FQ33" i="30"/>
  <c r="FR33" i="30"/>
  <c r="FS33" i="30"/>
  <c r="FT33" i="30"/>
  <c r="FU33" i="30"/>
  <c r="FV33" i="30"/>
  <c r="FW33" i="30"/>
  <c r="FX33" i="30"/>
  <c r="FY33" i="30"/>
  <c r="FZ33" i="30"/>
  <c r="GA33" i="30"/>
  <c r="AJ1" i="4"/>
  <c r="D26" i="9"/>
  <c r="D23" i="9"/>
  <c r="D20" i="9"/>
  <c r="D17" i="9"/>
  <c r="D14" i="9"/>
  <c r="D11" i="9"/>
  <c r="D8" i="9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BA20" i="4"/>
  <c r="BB20" i="4"/>
  <c r="BC20" i="4"/>
  <c r="AZ20" i="4"/>
  <c r="AK20" i="4"/>
  <c r="BA19" i="4"/>
  <c r="BB19" i="4"/>
  <c r="BC19" i="4"/>
  <c r="AZ19" i="4"/>
  <c r="AK19" i="4"/>
  <c r="BA18" i="4"/>
  <c r="BB18" i="4"/>
  <c r="BC18" i="4"/>
  <c r="AZ18" i="4"/>
  <c r="AK18" i="4"/>
  <c r="BA17" i="4"/>
  <c r="BB17" i="4"/>
  <c r="BC17" i="4"/>
  <c r="AZ17" i="4"/>
  <c r="AK17" i="4"/>
  <c r="BA16" i="4"/>
  <c r="BB16" i="4"/>
  <c r="BC16" i="4"/>
  <c r="AZ16" i="4"/>
  <c r="AK16" i="4"/>
  <c r="BA15" i="4"/>
  <c r="BB15" i="4"/>
  <c r="BC15" i="4"/>
  <c r="AZ15" i="4"/>
  <c r="AK15" i="4"/>
  <c r="BA14" i="4"/>
  <c r="BB14" i="4"/>
  <c r="BC14" i="4"/>
  <c r="AZ14" i="4"/>
  <c r="AK14" i="4"/>
  <c r="BA13" i="4"/>
  <c r="BB13" i="4"/>
  <c r="BC13" i="4"/>
  <c r="AZ13" i="4"/>
  <c r="AK13" i="4"/>
  <c r="BA12" i="4"/>
  <c r="BB12" i="4"/>
  <c r="BC12" i="4"/>
  <c r="AZ12" i="4"/>
  <c r="AK12" i="4"/>
  <c r="BA11" i="4"/>
  <c r="BB11" i="4"/>
  <c r="BC11" i="4"/>
  <c r="AZ11" i="4"/>
  <c r="AK11" i="4"/>
  <c r="BA10" i="4"/>
  <c r="BB10" i="4"/>
  <c r="BC10" i="4"/>
  <c r="AZ10" i="4"/>
  <c r="AK10" i="4"/>
  <c r="BA9" i="4"/>
  <c r="BB9" i="4"/>
  <c r="BC9" i="4"/>
  <c r="AZ9" i="4"/>
  <c r="AK9" i="4"/>
  <c r="BA8" i="4"/>
  <c r="BB8" i="4"/>
  <c r="BC8" i="4"/>
  <c r="AZ8" i="4"/>
  <c r="AK8" i="4"/>
  <c r="BA7" i="4"/>
  <c r="BB7" i="4"/>
  <c r="BC7" i="4"/>
  <c r="AZ7" i="4"/>
  <c r="AK7" i="4"/>
  <c r="A2" i="15"/>
  <c r="A26" i="15"/>
  <c r="A27" i="15"/>
  <c r="E26" i="15"/>
  <c r="N26" i="15"/>
  <c r="E27" i="15"/>
  <c r="K27" i="15"/>
  <c r="N27" i="15"/>
  <c r="E28" i="15"/>
  <c r="K28" i="15"/>
  <c r="N28" i="15"/>
  <c r="E29" i="15"/>
  <c r="K29" i="15"/>
  <c r="N29" i="15"/>
  <c r="A30" i="15"/>
  <c r="E30" i="15"/>
  <c r="K30" i="15"/>
  <c r="N30" i="15"/>
  <c r="A31" i="15"/>
  <c r="E31" i="15"/>
  <c r="K31" i="15"/>
  <c r="N31" i="15"/>
  <c r="A32" i="15"/>
  <c r="E32" i="15"/>
  <c r="K32" i="15"/>
  <c r="N32" i="15"/>
  <c r="A33" i="15"/>
  <c r="E33" i="15"/>
  <c r="K33" i="15"/>
  <c r="N33" i="15"/>
  <c r="A34" i="15"/>
  <c r="E34" i="15"/>
  <c r="L34" i="15"/>
  <c r="K34" i="15"/>
  <c r="N34" i="15"/>
  <c r="A35" i="15"/>
  <c r="E35" i="15"/>
  <c r="L35" i="15"/>
  <c r="K35" i="15"/>
  <c r="N35" i="15"/>
  <c r="A36" i="15"/>
  <c r="E36" i="15"/>
  <c r="L36" i="15"/>
  <c r="K36" i="15"/>
  <c r="N36" i="15"/>
  <c r="A37" i="15"/>
  <c r="E37" i="15"/>
  <c r="L37" i="15"/>
  <c r="K37" i="15"/>
  <c r="N37" i="15"/>
  <c r="A38" i="15"/>
  <c r="E38" i="15"/>
  <c r="L38" i="15"/>
  <c r="K38" i="15"/>
  <c r="N38" i="15"/>
  <c r="A39" i="15"/>
  <c r="E39" i="15"/>
  <c r="L39" i="15"/>
  <c r="K39" i="15"/>
  <c r="N39" i="15"/>
  <c r="A40" i="15"/>
  <c r="E40" i="15"/>
  <c r="L40" i="15"/>
  <c r="K40" i="15"/>
  <c r="N40" i="15"/>
  <c r="A41" i="15"/>
  <c r="E41" i="15"/>
  <c r="L41" i="15"/>
  <c r="K41" i="15"/>
  <c r="N41" i="15"/>
  <c r="A42" i="15"/>
  <c r="E42" i="15"/>
  <c r="L42" i="15"/>
  <c r="K42" i="15"/>
  <c r="N42" i="15"/>
  <c r="A43" i="15"/>
  <c r="E43" i="15"/>
  <c r="K43" i="15"/>
  <c r="N43" i="15"/>
  <c r="A44" i="15"/>
  <c r="E44" i="15"/>
  <c r="K44" i="15"/>
  <c r="N44" i="15"/>
  <c r="A45" i="15"/>
  <c r="E45" i="15"/>
  <c r="K45" i="15"/>
  <c r="N45" i="15"/>
  <c r="A46" i="15"/>
  <c r="E46" i="15"/>
  <c r="K46" i="15"/>
  <c r="N46" i="15"/>
  <c r="F18" i="22"/>
  <c r="G21" i="19"/>
  <c r="F22" i="22"/>
  <c r="D26" i="25"/>
  <c r="H5" i="22"/>
  <c r="H4" i="22"/>
  <c r="A15" i="15"/>
  <c r="G6" i="22"/>
  <c r="G5" i="22"/>
  <c r="G4" i="22"/>
  <c r="A3" i="15"/>
  <c r="A4" i="15"/>
  <c r="A5" i="15"/>
  <c r="A6" i="15"/>
  <c r="E2" i="15"/>
  <c r="D3" i="15"/>
  <c r="E3" i="15"/>
  <c r="E4" i="15"/>
  <c r="E5" i="15"/>
  <c r="E6" i="15"/>
  <c r="A7" i="15"/>
  <c r="E7" i="15"/>
  <c r="A8" i="15"/>
  <c r="A9" i="15"/>
  <c r="E9" i="15"/>
  <c r="A10" i="15"/>
  <c r="A11" i="15"/>
  <c r="A12" i="15"/>
  <c r="E12" i="15"/>
  <c r="A16" i="15"/>
  <c r="A17" i="15"/>
  <c r="A18" i="15"/>
  <c r="A19" i="15"/>
  <c r="A20" i="15"/>
  <c r="A21" i="15"/>
  <c r="A22" i="15"/>
  <c r="A23" i="15"/>
  <c r="A49" i="15"/>
  <c r="A50" i="15"/>
  <c r="A51" i="15"/>
  <c r="A52" i="15"/>
  <c r="A55" i="15"/>
  <c r="A56" i="15"/>
  <c r="A57" i="15"/>
  <c r="A61" i="15"/>
  <c r="A62" i="15"/>
  <c r="A63" i="15"/>
  <c r="A64" i="15"/>
  <c r="A65" i="15"/>
  <c r="Q27" i="15"/>
  <c r="Q28" i="15"/>
  <c r="E5" i="22"/>
  <c r="Q29" i="15"/>
  <c r="R28" i="15"/>
  <c r="G68" i="25"/>
  <c r="G5" i="25"/>
  <c r="G69" i="25"/>
  <c r="G6" i="25"/>
  <c r="G70" i="25"/>
  <c r="G7" i="25"/>
  <c r="G71" i="25"/>
  <c r="G8" i="25"/>
  <c r="G72" i="25"/>
  <c r="C84" i="25"/>
  <c r="C86" i="25"/>
  <c r="D84" i="25"/>
  <c r="D85" i="25"/>
  <c r="D86" i="25"/>
  <c r="E86" i="25"/>
  <c r="D85" i="26"/>
  <c r="G84" i="26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D84" i="26"/>
  <c r="D86" i="26"/>
  <c r="C84" i="26"/>
  <c r="C86" i="26"/>
  <c r="C9" i="1"/>
  <c r="C16" i="1"/>
  <c r="C18" i="1"/>
  <c r="C21" i="1"/>
  <c r="C22" i="1"/>
  <c r="C23" i="1"/>
  <c r="C24" i="1"/>
  <c r="C19" i="1"/>
  <c r="G138" i="25"/>
  <c r="G85" i="25"/>
  <c r="G83" i="26"/>
  <c r="D122" i="25"/>
  <c r="D26" i="26"/>
  <c r="D122" i="26"/>
  <c r="D137" i="26"/>
  <c r="D138" i="26"/>
  <c r="E86" i="26"/>
  <c r="G8" i="26"/>
  <c r="G72" i="26"/>
  <c r="G7" i="26"/>
  <c r="G71" i="26"/>
  <c r="G6" i="26"/>
  <c r="G70" i="26"/>
  <c r="G5" i="26"/>
  <c r="G69" i="26"/>
  <c r="G68" i="26"/>
  <c r="G24" i="26"/>
  <c r="D24" i="26"/>
  <c r="G20" i="26"/>
  <c r="D137" i="25"/>
  <c r="D138" i="25"/>
  <c r="G24" i="25"/>
  <c r="D24" i="25"/>
  <c r="G20" i="25"/>
  <c r="D30" i="1"/>
  <c r="D31" i="1"/>
  <c r="D32" i="1"/>
  <c r="D33" i="1"/>
  <c r="D34" i="1"/>
  <c r="D35" i="1"/>
  <c r="D29" i="1"/>
  <c r="F30" i="1"/>
  <c r="F31" i="1"/>
  <c r="F32" i="1"/>
  <c r="F33" i="1"/>
  <c r="F34" i="1"/>
  <c r="F35" i="1"/>
  <c r="F29" i="1"/>
  <c r="G23" i="19"/>
  <c r="G24" i="19"/>
  <c r="AE6" i="4"/>
  <c r="G9" i="19"/>
  <c r="G8" i="19"/>
  <c r="G5" i="19"/>
  <c r="C25" i="1"/>
  <c r="C26" i="1"/>
  <c r="E26" i="1"/>
  <c r="C27" i="1"/>
  <c r="E47" i="1"/>
  <c r="E48" i="1"/>
  <c r="E35" i="1"/>
  <c r="E38" i="1"/>
  <c r="E39" i="1"/>
  <c r="E40" i="1"/>
  <c r="E41" i="1"/>
  <c r="E37" i="1"/>
  <c r="E50" i="1"/>
  <c r="D42" i="1"/>
  <c r="D52" i="1"/>
  <c r="B52" i="1"/>
  <c r="B51" i="1"/>
  <c r="B50" i="1"/>
  <c r="B49" i="1"/>
  <c r="B48" i="1"/>
  <c r="B47" i="1"/>
  <c r="B46" i="1"/>
  <c r="B45" i="1"/>
  <c r="C11" i="1"/>
  <c r="C12" i="1"/>
  <c r="C13" i="1"/>
  <c r="A29" i="1"/>
  <c r="B29" i="1"/>
  <c r="B30" i="1"/>
  <c r="B31" i="1"/>
  <c r="B32" i="1"/>
  <c r="B33" i="1"/>
  <c r="B34" i="1"/>
  <c r="B35" i="1"/>
  <c r="A37" i="1"/>
  <c r="B37" i="1"/>
  <c r="B38" i="1"/>
  <c r="B39" i="1"/>
  <c r="B40" i="1"/>
  <c r="B41" i="1"/>
  <c r="B42" i="1"/>
  <c r="B44" i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E32" i="1"/>
  <c r="E31" i="1"/>
  <c r="E12" i="1"/>
  <c r="E33" i="1"/>
  <c r="E34" i="1"/>
  <c r="E13" i="1"/>
  <c r="E29" i="1"/>
  <c r="E11" i="1"/>
  <c r="N8" i="4"/>
  <c r="N6" i="4"/>
  <c r="N7" i="4"/>
  <c r="E30" i="1"/>
  <c r="E9" i="1"/>
  <c r="N9" i="4"/>
  <c r="N10" i="4"/>
  <c r="C15" i="1"/>
  <c r="E15" i="1"/>
  <c r="N11" i="4"/>
  <c r="C14" i="1"/>
  <c r="E14" i="1"/>
  <c r="N12" i="4"/>
  <c r="E42" i="1"/>
  <c r="AE8" i="4"/>
  <c r="N13" i="4"/>
  <c r="E16" i="1"/>
  <c r="E18" i="1"/>
  <c r="AE7" i="4"/>
  <c r="N14" i="4"/>
  <c r="E21" i="1"/>
  <c r="C20" i="1"/>
  <c r="C46" i="1"/>
  <c r="D16" i="1"/>
  <c r="AE9" i="4"/>
  <c r="N15" i="4"/>
  <c r="E19" i="1"/>
  <c r="E22" i="1"/>
  <c r="AE11" i="4"/>
  <c r="AE10" i="4"/>
  <c r="N16" i="4"/>
  <c r="E24" i="1"/>
  <c r="D26" i="1"/>
  <c r="N17" i="4"/>
  <c r="N18" i="4"/>
  <c r="AE12" i="4"/>
  <c r="N19" i="4"/>
  <c r="AE13" i="4"/>
  <c r="N20" i="4"/>
  <c r="AE14" i="4"/>
  <c r="AE15" i="4"/>
  <c r="AE16" i="4"/>
  <c r="AE17" i="4"/>
  <c r="AE18" i="4"/>
  <c r="AE19" i="4"/>
  <c r="D43" i="30"/>
  <c r="D44" i="30"/>
  <c r="GA43" i="30"/>
  <c r="C43" i="30"/>
  <c r="E43" i="30"/>
  <c r="F43" i="30"/>
  <c r="G43" i="30"/>
  <c r="H43" i="30"/>
  <c r="I43" i="30"/>
  <c r="J43" i="30"/>
  <c r="K43" i="30"/>
  <c r="L43" i="30"/>
  <c r="M43" i="30"/>
  <c r="N43" i="30"/>
  <c r="O43" i="30"/>
  <c r="P43" i="30"/>
  <c r="Q43" i="30"/>
  <c r="R43" i="30"/>
  <c r="S43" i="30"/>
  <c r="T43" i="30"/>
  <c r="U43" i="30"/>
  <c r="V43" i="30"/>
  <c r="W43" i="30"/>
  <c r="X43" i="30"/>
  <c r="Y43" i="30"/>
  <c r="Z43" i="30"/>
  <c r="AA43" i="30"/>
  <c r="AB43" i="30"/>
  <c r="AC43" i="30"/>
  <c r="AD43" i="30"/>
  <c r="AE43" i="30"/>
  <c r="AF43" i="30"/>
  <c r="AG43" i="30"/>
  <c r="AH43" i="30"/>
  <c r="AI43" i="30"/>
  <c r="AJ43" i="30"/>
  <c r="AK43" i="30"/>
  <c r="AL43" i="30"/>
  <c r="AM43" i="30"/>
  <c r="AN43" i="30"/>
  <c r="AO43" i="30"/>
  <c r="AP43" i="30"/>
  <c r="AQ43" i="30"/>
  <c r="AR43" i="30"/>
  <c r="AS43" i="30"/>
  <c r="AT43" i="30"/>
  <c r="AU43" i="30"/>
  <c r="AV43" i="30"/>
  <c r="AW43" i="30"/>
  <c r="AX43" i="30"/>
  <c r="AY43" i="30"/>
  <c r="AZ43" i="30"/>
  <c r="BA43" i="30"/>
  <c r="BB43" i="30"/>
  <c r="BC43" i="30"/>
  <c r="BD43" i="30"/>
  <c r="BE43" i="30"/>
  <c r="BF43" i="30"/>
  <c r="BG43" i="30"/>
  <c r="BH43" i="30"/>
  <c r="BI43" i="30"/>
  <c r="BJ43" i="30"/>
  <c r="BK43" i="30"/>
  <c r="BL43" i="30"/>
  <c r="BM43" i="30"/>
  <c r="BN43" i="30"/>
  <c r="BO43" i="30"/>
  <c r="BP43" i="30"/>
  <c r="BQ43" i="30"/>
  <c r="BR43" i="30"/>
  <c r="BS43" i="30"/>
  <c r="BT43" i="30"/>
  <c r="BU43" i="30"/>
  <c r="BV43" i="30"/>
  <c r="BW43" i="30"/>
  <c r="BX43" i="30"/>
  <c r="BY43" i="30"/>
  <c r="BZ43" i="30"/>
  <c r="CA43" i="30"/>
  <c r="CB43" i="30"/>
  <c r="CC43" i="30"/>
  <c r="CD43" i="30"/>
  <c r="CE43" i="30"/>
  <c r="CF43" i="30"/>
  <c r="CG43" i="30"/>
  <c r="CH43" i="30"/>
  <c r="CI43" i="30"/>
  <c r="CJ43" i="30"/>
  <c r="CK43" i="30"/>
  <c r="CL43" i="30"/>
  <c r="CM43" i="30"/>
  <c r="CN43" i="30"/>
  <c r="CO43" i="30"/>
  <c r="CP43" i="30"/>
  <c r="CQ43" i="30"/>
  <c r="CR43" i="30"/>
  <c r="CS43" i="30"/>
  <c r="CT43" i="30"/>
  <c r="CU43" i="30"/>
  <c r="CV43" i="30"/>
  <c r="CW43" i="30"/>
  <c r="CX43" i="30"/>
  <c r="CY43" i="30"/>
  <c r="CZ43" i="30"/>
  <c r="DA43" i="30"/>
  <c r="DB43" i="30"/>
  <c r="DC43" i="30"/>
  <c r="DD43" i="30"/>
  <c r="DE43" i="30"/>
  <c r="DF43" i="30"/>
  <c r="DG43" i="30"/>
  <c r="DH43" i="30"/>
  <c r="DI43" i="30"/>
  <c r="DJ43" i="30"/>
  <c r="DK43" i="30"/>
  <c r="DL43" i="30"/>
  <c r="DM43" i="30"/>
  <c r="DN43" i="30"/>
  <c r="DO43" i="30"/>
  <c r="DP43" i="30"/>
  <c r="DQ43" i="30"/>
  <c r="DR43" i="30"/>
  <c r="DS43" i="30"/>
  <c r="DT43" i="30"/>
  <c r="DU43" i="30"/>
  <c r="DV43" i="30"/>
  <c r="DW43" i="30"/>
  <c r="DX43" i="30"/>
  <c r="DY43" i="30"/>
  <c r="DZ43" i="30"/>
  <c r="EA43" i="30"/>
  <c r="EB43" i="30"/>
  <c r="EC43" i="30"/>
  <c r="ED43" i="30"/>
  <c r="EE43" i="30"/>
  <c r="EF43" i="30"/>
  <c r="EG43" i="30"/>
  <c r="EH43" i="30"/>
  <c r="EI43" i="30"/>
  <c r="EJ43" i="30"/>
  <c r="EK43" i="30"/>
  <c r="EL43" i="30"/>
  <c r="EM43" i="30"/>
  <c r="EN43" i="30"/>
  <c r="EO43" i="30"/>
  <c r="EP43" i="30"/>
  <c r="EQ43" i="30"/>
  <c r="ER43" i="30"/>
  <c r="ES43" i="30"/>
  <c r="ET43" i="30"/>
  <c r="EU43" i="30"/>
  <c r="EV43" i="30"/>
  <c r="EW43" i="30"/>
  <c r="EX43" i="30"/>
  <c r="EY43" i="30"/>
  <c r="EZ43" i="30"/>
  <c r="FA43" i="30"/>
  <c r="FB43" i="30"/>
  <c r="FC43" i="30"/>
  <c r="FD43" i="30"/>
  <c r="FE43" i="30"/>
  <c r="FF43" i="30"/>
  <c r="FG43" i="30"/>
  <c r="FH43" i="30"/>
  <c r="FI43" i="30"/>
  <c r="FJ43" i="30"/>
  <c r="FK43" i="30"/>
  <c r="FL43" i="30"/>
  <c r="FM43" i="30"/>
  <c r="FN43" i="30"/>
  <c r="FO43" i="30"/>
  <c r="FP43" i="30"/>
  <c r="FQ43" i="30"/>
  <c r="FR43" i="30"/>
  <c r="FS43" i="30"/>
  <c r="FT43" i="30"/>
  <c r="FU43" i="30"/>
  <c r="FV43" i="30"/>
  <c r="FW43" i="30"/>
  <c r="FX43" i="30"/>
  <c r="FY43" i="30"/>
  <c r="FZ43" i="30"/>
  <c r="GA44" i="30"/>
  <c r="C44" i="30"/>
  <c r="E44" i="30"/>
  <c r="F44" i="30"/>
  <c r="G44" i="30"/>
  <c r="H44" i="30"/>
  <c r="I44" i="30"/>
  <c r="J44" i="30"/>
  <c r="K44" i="30"/>
  <c r="L44" i="30"/>
  <c r="M44" i="30"/>
  <c r="N44" i="30"/>
  <c r="O44" i="30"/>
  <c r="P44" i="30"/>
  <c r="Q44" i="30"/>
  <c r="R44" i="30"/>
  <c r="S44" i="30"/>
  <c r="T44" i="30"/>
  <c r="U44" i="30"/>
  <c r="V44" i="30"/>
  <c r="W44" i="30"/>
  <c r="X44" i="30"/>
  <c r="Y44" i="30"/>
  <c r="Z44" i="30"/>
  <c r="AA44" i="30"/>
  <c r="AB44" i="30"/>
  <c r="AC44" i="30"/>
  <c r="AD44" i="30"/>
  <c r="AE44" i="30"/>
  <c r="AF44" i="30"/>
  <c r="AG44" i="30"/>
  <c r="AH44" i="30"/>
  <c r="AI44" i="30"/>
  <c r="AJ44" i="30"/>
  <c r="AK44" i="30"/>
  <c r="AL44" i="30"/>
  <c r="AM44" i="30"/>
  <c r="AN44" i="30"/>
  <c r="AO44" i="30"/>
  <c r="AP44" i="30"/>
  <c r="AQ44" i="30"/>
  <c r="AR44" i="30"/>
  <c r="AS44" i="30"/>
  <c r="AT44" i="30"/>
  <c r="AU44" i="30"/>
  <c r="AV44" i="30"/>
  <c r="AW44" i="30"/>
  <c r="AX44" i="30"/>
  <c r="AY44" i="30"/>
  <c r="AZ44" i="30"/>
  <c r="BA44" i="30"/>
  <c r="BB44" i="30"/>
  <c r="BC44" i="30"/>
  <c r="BD44" i="30"/>
  <c r="BE44" i="30"/>
  <c r="BF44" i="30"/>
  <c r="BG44" i="30"/>
  <c r="BH44" i="30"/>
  <c r="BI44" i="30"/>
  <c r="BJ44" i="30"/>
  <c r="BK44" i="30"/>
  <c r="BL44" i="30"/>
  <c r="BM44" i="30"/>
  <c r="BN44" i="30"/>
  <c r="BO44" i="30"/>
  <c r="BP44" i="30"/>
  <c r="BQ44" i="30"/>
  <c r="BR44" i="30"/>
  <c r="BS44" i="30"/>
  <c r="BT44" i="30"/>
  <c r="BU44" i="30"/>
  <c r="BV44" i="30"/>
  <c r="BW44" i="30"/>
  <c r="BX44" i="30"/>
  <c r="BY44" i="30"/>
  <c r="BZ44" i="30"/>
  <c r="CA44" i="30"/>
  <c r="CB44" i="30"/>
  <c r="CC44" i="30"/>
  <c r="CD44" i="30"/>
  <c r="CE44" i="30"/>
  <c r="CF44" i="30"/>
  <c r="CG44" i="30"/>
  <c r="CH44" i="30"/>
  <c r="CI44" i="30"/>
  <c r="CJ44" i="30"/>
  <c r="CK44" i="30"/>
  <c r="CL44" i="30"/>
  <c r="CM44" i="30"/>
  <c r="CN44" i="30"/>
  <c r="CO44" i="30"/>
  <c r="CP44" i="30"/>
  <c r="CQ44" i="30"/>
  <c r="CR44" i="30"/>
  <c r="CS44" i="30"/>
  <c r="CT44" i="30"/>
  <c r="CU44" i="30"/>
  <c r="CV44" i="30"/>
  <c r="CW44" i="30"/>
  <c r="CX44" i="30"/>
  <c r="CY44" i="30"/>
  <c r="CZ44" i="30"/>
  <c r="DA44" i="30"/>
  <c r="DB44" i="30"/>
  <c r="DC44" i="30"/>
  <c r="DD44" i="30"/>
  <c r="DE44" i="30"/>
  <c r="DF44" i="30"/>
  <c r="DG44" i="30"/>
  <c r="DH44" i="30"/>
  <c r="DI44" i="30"/>
  <c r="DJ44" i="30"/>
  <c r="DK44" i="30"/>
  <c r="DL44" i="30"/>
  <c r="DM44" i="30"/>
  <c r="DN44" i="30"/>
  <c r="DO44" i="30"/>
  <c r="DP44" i="30"/>
  <c r="DQ44" i="30"/>
  <c r="DR44" i="30"/>
  <c r="DS44" i="30"/>
  <c r="DT44" i="30"/>
  <c r="DU44" i="30"/>
  <c r="DV44" i="30"/>
  <c r="DW44" i="30"/>
  <c r="DX44" i="30"/>
  <c r="DY44" i="30"/>
  <c r="DZ44" i="30"/>
  <c r="EA44" i="30"/>
  <c r="EB44" i="30"/>
  <c r="EC44" i="30"/>
  <c r="ED44" i="30"/>
  <c r="EE44" i="30"/>
  <c r="EF44" i="30"/>
  <c r="EG44" i="30"/>
  <c r="EH44" i="30"/>
  <c r="EI44" i="30"/>
  <c r="EJ44" i="30"/>
  <c r="EK44" i="30"/>
  <c r="EL44" i="30"/>
  <c r="EM44" i="30"/>
  <c r="EN44" i="30"/>
  <c r="EO44" i="30"/>
  <c r="EP44" i="30"/>
  <c r="EQ44" i="30"/>
  <c r="ER44" i="30"/>
  <c r="ES44" i="30"/>
  <c r="ET44" i="30"/>
  <c r="EU44" i="30"/>
  <c r="EV44" i="30"/>
  <c r="EW44" i="30"/>
  <c r="EX44" i="30"/>
  <c r="EY44" i="30"/>
  <c r="EZ44" i="30"/>
  <c r="FA44" i="30"/>
  <c r="FB44" i="30"/>
  <c r="FC44" i="30"/>
  <c r="FD44" i="30"/>
  <c r="FE44" i="30"/>
  <c r="FF44" i="30"/>
  <c r="FG44" i="30"/>
  <c r="FH44" i="30"/>
  <c r="FI44" i="30"/>
  <c r="FJ44" i="30"/>
  <c r="FK44" i="30"/>
  <c r="FL44" i="30"/>
  <c r="FM44" i="30"/>
  <c r="FN44" i="30"/>
  <c r="FO44" i="30"/>
  <c r="FP44" i="30"/>
  <c r="FQ44" i="30"/>
  <c r="FR44" i="30"/>
  <c r="FS44" i="30"/>
  <c r="FT44" i="30"/>
  <c r="FU44" i="30"/>
  <c r="FV44" i="30"/>
  <c r="FW44" i="30"/>
  <c r="FX44" i="30"/>
  <c r="FY44" i="30"/>
  <c r="FZ44" i="30"/>
  <c r="GA47" i="30"/>
  <c r="GA48" i="30"/>
  <c r="FZ47" i="30"/>
  <c r="FZ48" i="30"/>
  <c r="FY47" i="30"/>
  <c r="FY48" i="30"/>
  <c r="FX47" i="30"/>
  <c r="FX48" i="30"/>
  <c r="FW47" i="30"/>
  <c r="FW48" i="30"/>
  <c r="FV47" i="30"/>
  <c r="FV48" i="30"/>
  <c r="FU47" i="30"/>
  <c r="FU48" i="30"/>
  <c r="FT47" i="30"/>
  <c r="FT48" i="30"/>
  <c r="FS47" i="30"/>
  <c r="FS48" i="30"/>
  <c r="FR47" i="30"/>
  <c r="FR48" i="30"/>
  <c r="FQ47" i="30"/>
  <c r="FQ48" i="30"/>
  <c r="FP47" i="30"/>
  <c r="FP48" i="30"/>
  <c r="FO47" i="30"/>
  <c r="FO48" i="30"/>
  <c r="FN47" i="30"/>
  <c r="FN48" i="30"/>
  <c r="FM47" i="30"/>
  <c r="FM48" i="30"/>
  <c r="FL47" i="30"/>
  <c r="FL48" i="30"/>
  <c r="FK47" i="30"/>
  <c r="FK48" i="30"/>
  <c r="FJ47" i="30"/>
  <c r="FJ48" i="30"/>
  <c r="FI47" i="30"/>
  <c r="FI48" i="30"/>
  <c r="FH47" i="30"/>
  <c r="FH48" i="30"/>
  <c r="FG47" i="30"/>
  <c r="FG48" i="30"/>
  <c r="FF47" i="30"/>
  <c r="FF48" i="30"/>
  <c r="FE47" i="30"/>
  <c r="FE48" i="30"/>
  <c r="FD47" i="30"/>
  <c r="FD48" i="30"/>
  <c r="FC47" i="30"/>
  <c r="FC48" i="30"/>
  <c r="FB47" i="30"/>
  <c r="FB48" i="30"/>
  <c r="FA47" i="30"/>
  <c r="FA48" i="30"/>
  <c r="EZ47" i="30"/>
  <c r="EZ48" i="30"/>
  <c r="EY47" i="30"/>
  <c r="EY48" i="30"/>
  <c r="EX47" i="30"/>
  <c r="EX48" i="30"/>
  <c r="EW47" i="30"/>
  <c r="EW48" i="30"/>
  <c r="EV47" i="30"/>
  <c r="EV48" i="30"/>
  <c r="EU47" i="30"/>
  <c r="EU48" i="30"/>
  <c r="ET47" i="30"/>
  <c r="ET48" i="30"/>
  <c r="ES47" i="30"/>
  <c r="ES48" i="30"/>
  <c r="ER47" i="30"/>
  <c r="ER48" i="30"/>
  <c r="EQ47" i="30"/>
  <c r="EQ48" i="30"/>
  <c r="EP47" i="30"/>
  <c r="EP48" i="30"/>
  <c r="EO47" i="30"/>
  <c r="EO48" i="30"/>
  <c r="EN47" i="30"/>
  <c r="EN48" i="30"/>
  <c r="EM47" i="30"/>
  <c r="EM48" i="30"/>
  <c r="EL47" i="30"/>
  <c r="EL48" i="30"/>
  <c r="EK47" i="30"/>
  <c r="EK48" i="30"/>
  <c r="EJ47" i="30"/>
  <c r="EJ48" i="30"/>
  <c r="EI47" i="30"/>
  <c r="EI48" i="30"/>
  <c r="EH47" i="30"/>
  <c r="EH48" i="30"/>
  <c r="EG47" i="30"/>
  <c r="EG48" i="30"/>
  <c r="EF47" i="30"/>
  <c r="EF48" i="30"/>
  <c r="EE47" i="30"/>
  <c r="EE48" i="30"/>
  <c r="ED47" i="30"/>
  <c r="ED48" i="30"/>
  <c r="EC47" i="30"/>
  <c r="EC48" i="30"/>
  <c r="EB47" i="30"/>
  <c r="EB48" i="30"/>
  <c r="EA47" i="30"/>
  <c r="EA48" i="30"/>
  <c r="DZ47" i="30"/>
  <c r="DZ48" i="30"/>
  <c r="DY47" i="30"/>
  <c r="DY48" i="30"/>
  <c r="DX47" i="30"/>
  <c r="DX48" i="30"/>
  <c r="DW47" i="30"/>
  <c r="DW48" i="30"/>
  <c r="DV47" i="30"/>
  <c r="DV48" i="30"/>
  <c r="DU47" i="30"/>
  <c r="DU48" i="30"/>
  <c r="DT47" i="30"/>
  <c r="DT48" i="30"/>
  <c r="DS47" i="30"/>
  <c r="DS48" i="30"/>
  <c r="DR47" i="30"/>
  <c r="DR48" i="30"/>
  <c r="DQ47" i="30"/>
  <c r="DQ48" i="30"/>
  <c r="DP47" i="30"/>
  <c r="DP48" i="30"/>
  <c r="DO47" i="30"/>
  <c r="DO48" i="30"/>
  <c r="DN47" i="30"/>
  <c r="DN48" i="30"/>
  <c r="DM47" i="30"/>
  <c r="DM48" i="30"/>
  <c r="DL47" i="30"/>
  <c r="DL48" i="30"/>
  <c r="DK47" i="30"/>
  <c r="DK48" i="30"/>
  <c r="DJ47" i="30"/>
  <c r="DJ48" i="30"/>
  <c r="DI47" i="30"/>
  <c r="DI48" i="30"/>
  <c r="DH47" i="30"/>
  <c r="DH48" i="30"/>
  <c r="DG47" i="30"/>
  <c r="DG48" i="30"/>
  <c r="DF47" i="30"/>
  <c r="DF48" i="30"/>
  <c r="DE47" i="30"/>
  <c r="DE48" i="30"/>
  <c r="DD47" i="30"/>
  <c r="DD48" i="30"/>
  <c r="DC47" i="30"/>
  <c r="DC48" i="30"/>
  <c r="DB47" i="30"/>
  <c r="DB48" i="30"/>
  <c r="DA47" i="30"/>
  <c r="DA48" i="30"/>
  <c r="CZ47" i="30"/>
  <c r="CZ48" i="30"/>
  <c r="CY47" i="30"/>
  <c r="CY48" i="30"/>
  <c r="CX47" i="30"/>
  <c r="CX48" i="30"/>
  <c r="CW47" i="30"/>
  <c r="CW48" i="30"/>
  <c r="CV47" i="30"/>
  <c r="CV48" i="30"/>
  <c r="CU47" i="30"/>
  <c r="CU48" i="30"/>
  <c r="CT47" i="30"/>
  <c r="CT48" i="30"/>
  <c r="CS47" i="30"/>
  <c r="CS48" i="30"/>
  <c r="CR47" i="30"/>
  <c r="CR48" i="30"/>
  <c r="CQ47" i="30"/>
  <c r="CQ48" i="30"/>
  <c r="CP47" i="30"/>
  <c r="CP48" i="30"/>
  <c r="CO47" i="30"/>
  <c r="CO48" i="30"/>
  <c r="CN47" i="30"/>
  <c r="CN48" i="30"/>
  <c r="CM47" i="30"/>
  <c r="CM48" i="30"/>
  <c r="CL47" i="30"/>
  <c r="CL48" i="30"/>
  <c r="CK47" i="30"/>
  <c r="CK48" i="30"/>
  <c r="CJ47" i="30"/>
  <c r="CJ48" i="30"/>
  <c r="CI47" i="30"/>
  <c r="CI48" i="30"/>
  <c r="CH47" i="30"/>
  <c r="CH48" i="30"/>
  <c r="CG47" i="30"/>
  <c r="CG48" i="30"/>
  <c r="CF47" i="30"/>
  <c r="CF48" i="30"/>
  <c r="CE47" i="30"/>
  <c r="CE48" i="30"/>
  <c r="CD47" i="30"/>
  <c r="CD48" i="30"/>
  <c r="CC47" i="30"/>
  <c r="CC48" i="30"/>
  <c r="CB47" i="30"/>
  <c r="CB48" i="30"/>
  <c r="CA47" i="30"/>
  <c r="CA48" i="30"/>
  <c r="BZ47" i="30"/>
  <c r="BZ48" i="30"/>
  <c r="BY47" i="30"/>
  <c r="BY48" i="30"/>
  <c r="BX47" i="30"/>
  <c r="BX48" i="30"/>
  <c r="BW47" i="30"/>
  <c r="BW48" i="30"/>
  <c r="BV47" i="30"/>
  <c r="BV48" i="30"/>
  <c r="BU47" i="30"/>
  <c r="BU48" i="30"/>
  <c r="BT47" i="30"/>
  <c r="BT48" i="30"/>
  <c r="BS47" i="30"/>
  <c r="BS48" i="30"/>
  <c r="BR47" i="30"/>
  <c r="BR48" i="30"/>
  <c r="BQ47" i="30"/>
  <c r="BQ48" i="30"/>
  <c r="BP47" i="30"/>
  <c r="BP48" i="30"/>
  <c r="BO47" i="30"/>
  <c r="BO48" i="30"/>
  <c r="BN47" i="30"/>
  <c r="BN48" i="30"/>
  <c r="BM47" i="30"/>
  <c r="BM48" i="30"/>
  <c r="BL47" i="30"/>
  <c r="BL48" i="30"/>
</calcChain>
</file>

<file path=xl/comments1.xml><?xml version="1.0" encoding="utf-8"?>
<comments xmlns="http://schemas.openxmlformats.org/spreadsheetml/2006/main">
  <authors>
    <author>Ben Rogers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6.4794641% historical calculated for DAC, Region Central over period 200704 - 201704.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minimum:
Outside DFE &gt; 1600
Inside DFE &gt; 1450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includes Distribution (and Storage?)</t>
        </r>
      </text>
    </comment>
  </commentList>
</comments>
</file>

<file path=xl/comments2.xml><?xml version="1.0" encoding="utf-8"?>
<comments xmlns="http://schemas.openxmlformats.org/spreadsheetml/2006/main">
  <authors>
    <author>Ben</author>
    <author>Ben Rogers</author>
  </authors>
  <commentList>
    <comment ref="I5" authorId="0" shapeId="0">
      <text>
        <r>
          <rPr>
            <sz val="9"/>
            <color indexed="81"/>
            <rFont val="Tahoma"/>
            <family val="2"/>
          </rPr>
          <t>&lt; 4 kWp(DC): use Enphase
4 - 10 kWp(DC):  use SolarEdge
&gt; 10 kWp(DC):  use central string inverter (Fronius)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required for SolarEdge only.  
Use P300 for PV Panels up to 300 W and P400 for PV Panels up to 400 W.</t>
        </r>
      </text>
    </comment>
    <comment ref="I7" authorId="1" shapeId="0">
      <text>
        <r>
          <rPr>
            <sz val="9"/>
            <color indexed="81"/>
            <rFont val="Tahoma"/>
            <family val="2"/>
          </rPr>
          <t>required for Enphase only.  Use ENV-120 M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Comes standard on all systems, no input required.</t>
        </r>
      </text>
    </comment>
  </commentList>
</comments>
</file>

<file path=xl/comments3.xml><?xml version="1.0" encoding="utf-8"?>
<comments xmlns="http://schemas.openxmlformats.org/spreadsheetml/2006/main">
  <authors>
    <author>Ben Rogers</author>
  </authors>
  <commentList>
    <comment ref="A47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Payment necessary to make Equity Investor IRR at time of buyout equal to IRR at end of year 15</t>
        </r>
      </text>
    </comment>
  </commentList>
</comments>
</file>

<file path=xl/comments4.xml><?xml version="1.0" encoding="utf-8"?>
<comments xmlns="http://schemas.openxmlformats.org/spreadsheetml/2006/main">
  <authors>
    <author>Ben Rogers</author>
    <author>Ben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=IFERROR(VLOOKUP(A2,PV_Module_List!$A$5:$G$20265,7,FALSE),"NaN")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Ben:</t>
        </r>
        <r>
          <rPr>
            <sz val="9"/>
            <color indexed="81"/>
            <rFont val="Tahoma"/>
            <family val="2"/>
          </rPr>
          <t xml:space="preserve">
as per JL/RM, computed by backing out cost to Exel assuming:
10% markup
15% import duty
  3% delivery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=IFERROR(VLOOKUP(A26,Inverter_List!$A$5:$G$20265,7,FALSE)/100,"NaN")</t>
        </r>
      </text>
    </comment>
  </commentList>
</comments>
</file>

<file path=xl/comments5.xml><?xml version="1.0" encoding="utf-8"?>
<comments xmlns="http://schemas.openxmlformats.org/spreadsheetml/2006/main">
  <authors>
    <author>Ben Rogers</author>
  </authors>
  <commentList>
    <comment ref="B9" authorId="0" shapeId="0">
      <text>
        <r>
          <rPr>
            <sz val="9"/>
            <color indexed="81"/>
            <rFont val="Tahoma"/>
            <family val="2"/>
          </rPr>
          <t>For Tarifa 1, there is no separate rate schedule for "de verano" and "fuera de verano", but structuring it like this to make uniform with other Tarifa 1 rate categories for Savings formula logic</t>
        </r>
      </text>
    </comment>
  </commentList>
</comments>
</file>

<file path=xl/sharedStrings.xml><?xml version="1.0" encoding="utf-8"?>
<sst xmlns="http://schemas.openxmlformats.org/spreadsheetml/2006/main" count="1205" uniqueCount="710">
  <si>
    <t>System Size</t>
  </si>
  <si>
    <t>USD</t>
  </si>
  <si>
    <t>PV Panels</t>
  </si>
  <si>
    <t>Import Duty</t>
  </si>
  <si>
    <t>Inverters</t>
  </si>
  <si>
    <t>Optimizer</t>
  </si>
  <si>
    <t>P300</t>
  </si>
  <si>
    <t>Consumption Monitoring</t>
  </si>
  <si>
    <t>Solar Installer</t>
  </si>
  <si>
    <t>Labor</t>
  </si>
  <si>
    <t>BOS-electrical</t>
  </si>
  <si>
    <t>BOS-mechanical</t>
  </si>
  <si>
    <t>Installer Total Price</t>
  </si>
  <si>
    <t>Overall</t>
  </si>
  <si>
    <t>Performance Guarantee</t>
  </si>
  <si>
    <t>FUND PRICE</t>
  </si>
  <si>
    <t>DAP</t>
  </si>
  <si>
    <t>IVA</t>
  </si>
  <si>
    <t>CFE Annual Increase</t>
  </si>
  <si>
    <t>CFE Bill</t>
  </si>
  <si>
    <t>%</t>
  </si>
  <si>
    <t>Year</t>
  </si>
  <si>
    <t>Inputs</t>
  </si>
  <si>
    <t>First Name</t>
  </si>
  <si>
    <t>Last Name</t>
  </si>
  <si>
    <t>Address</t>
  </si>
  <si>
    <t>City</t>
  </si>
  <si>
    <t>State</t>
  </si>
  <si>
    <t>Zip Code</t>
  </si>
  <si>
    <t>Total</t>
  </si>
  <si>
    <t>Savings from CFE</t>
  </si>
  <si>
    <t>Initial Payment</t>
  </si>
  <si>
    <t>Included</t>
  </si>
  <si>
    <t>Annual Payment Increase</t>
  </si>
  <si>
    <t>Term (years)</t>
  </si>
  <si>
    <t>Long term for immediate savings</t>
  </si>
  <si>
    <t>Totals</t>
  </si>
  <si>
    <t>Remote Monitoring</t>
  </si>
  <si>
    <t># Panels</t>
  </si>
  <si>
    <t>Repair Service</t>
  </si>
  <si>
    <t>Before Solar</t>
  </si>
  <si>
    <t>After Solar</t>
  </si>
  <si>
    <t xml:space="preserve">            ----</t>
  </si>
  <si>
    <t>Tarifa DAC</t>
  </si>
  <si>
    <t>1A</t>
  </si>
  <si>
    <t>1B</t>
  </si>
  <si>
    <t>1C</t>
  </si>
  <si>
    <t>1D</t>
  </si>
  <si>
    <t>1E</t>
  </si>
  <si>
    <t>1F</t>
  </si>
  <si>
    <t>CARGOS POR</t>
  </si>
  <si>
    <t>Dic.</t>
  </si>
  <si>
    <t>Ene.</t>
  </si>
  <si>
    <t>Feb.</t>
  </si>
  <si>
    <t>Mar.</t>
  </si>
  <si>
    <t>Abr.</t>
  </si>
  <si>
    <t>May.</t>
  </si>
  <si>
    <t>Jun.</t>
  </si>
  <si>
    <t>REGION BAJA CALIFORNIA - CUOTAS MENSUALES EN VERANO</t>
  </si>
  <si>
    <t>Cargo fijo ($/mes)</t>
  </si>
  <si>
    <t>($/kWh)</t>
  </si>
  <si>
    <t>REGION BAJA CALIFORNIA - CUOTAS MENSUALES FUERA EN VERANO</t>
  </si>
  <si>
    <t xml:space="preserve">REGION BAJA CALIFORNIA SUR - CUOTAS MENSUALES EN VERANO </t>
  </si>
  <si>
    <t xml:space="preserve">REGION BAJA CALIFORNIA SUR - CUOTAS MENSUALES FUERA EN VERANO </t>
  </si>
  <si>
    <t xml:space="preserve">REGION CENTRAL </t>
  </si>
  <si>
    <t xml:space="preserve">REGION NOROESTE </t>
  </si>
  <si>
    <t>energía ($/kWh)</t>
  </si>
  <si>
    <t xml:space="preserve">REGION NORTE Y NORESTE </t>
  </si>
  <si>
    <t xml:space="preserve">REGION SUR Y PENINSULAR </t>
  </si>
  <si>
    <t>Tarifa 2</t>
  </si>
  <si>
    <t xml:space="preserve">Cargo por energía ($/kWh) </t>
  </si>
  <si>
    <t>Range</t>
  </si>
  <si>
    <t>1-50</t>
  </si>
  <si>
    <t>51 - 100</t>
  </si>
  <si>
    <t>Adic.</t>
  </si>
  <si>
    <t>Cargo fijo ($)</t>
  </si>
  <si>
    <t>Mensual</t>
  </si>
  <si>
    <t>Central</t>
  </si>
  <si>
    <t>Final Payment</t>
  </si>
  <si>
    <t>Unit Price</t>
  </si>
  <si>
    <t># Units</t>
  </si>
  <si>
    <t>SubTotal</t>
  </si>
  <si>
    <t>Inflation Rate</t>
  </si>
  <si>
    <t>Financing Escalator</t>
  </si>
  <si>
    <t>Wp rating</t>
  </si>
  <si>
    <t>$/Wp</t>
  </si>
  <si>
    <t>Supplier</t>
  </si>
  <si>
    <t>Notes</t>
  </si>
  <si>
    <t>PV Solar Modules</t>
  </si>
  <si>
    <t>Model</t>
  </si>
  <si>
    <t>Trina</t>
  </si>
  <si>
    <t>Exel</t>
  </si>
  <si>
    <t>Pallet qty - cheaper by container</t>
  </si>
  <si>
    <t>320Wp poly</t>
  </si>
  <si>
    <t>CSI</t>
  </si>
  <si>
    <t>DM Solar</t>
  </si>
  <si>
    <t>EXW: GDL, MTY, DF</t>
  </si>
  <si>
    <t>GSL</t>
  </si>
  <si>
    <t>ET Solar</t>
  </si>
  <si>
    <t>Recom</t>
  </si>
  <si>
    <t>Made in USA</t>
  </si>
  <si>
    <t>Jinko</t>
  </si>
  <si>
    <t>JA Solar</t>
  </si>
  <si>
    <t>SunPreme</t>
  </si>
  <si>
    <t>SolarEdge</t>
  </si>
  <si>
    <t>P400</t>
  </si>
  <si>
    <t>P600</t>
  </si>
  <si>
    <t>P700</t>
  </si>
  <si>
    <t>Tigo</t>
  </si>
  <si>
    <t>TS4-D</t>
  </si>
  <si>
    <t>EXW: MER, GDL, MTY, DF</t>
  </si>
  <si>
    <t>TS4-M</t>
  </si>
  <si>
    <t>Monitoring</t>
  </si>
  <si>
    <t>TS4-S</t>
  </si>
  <si>
    <t>Safety - shut off</t>
  </si>
  <si>
    <t>TS4-O</t>
  </si>
  <si>
    <t>Optimize - shading</t>
  </si>
  <si>
    <t>TS4-L</t>
  </si>
  <si>
    <t>Long strings</t>
  </si>
  <si>
    <t>Enphase</t>
  </si>
  <si>
    <t>SE9K</t>
  </si>
  <si>
    <t>SE20K</t>
  </si>
  <si>
    <t>TIGO</t>
  </si>
  <si>
    <t>CCA-PS-INT</t>
  </si>
  <si>
    <t>Cloud connect - interior</t>
  </si>
  <si>
    <t>CCAK-IGDIN</t>
  </si>
  <si>
    <t>Cloud connect - interior DIN</t>
  </si>
  <si>
    <t>CCA-DINOUT</t>
  </si>
  <si>
    <t>Cloud connect - exterior DIN</t>
  </si>
  <si>
    <t>GTWY-WCOMM</t>
  </si>
  <si>
    <t>Wireless gateway</t>
  </si>
  <si>
    <t>MEDIDOR AC</t>
  </si>
  <si>
    <t>AC meter</t>
  </si>
  <si>
    <t>Zigbee kit</t>
  </si>
  <si>
    <t>Wifi from inverter to gateway in the customers house</t>
  </si>
  <si>
    <t>wifi repeater</t>
  </si>
  <si>
    <t>DM Solar ??</t>
  </si>
  <si>
    <t>Off the shelf ?</t>
  </si>
  <si>
    <t>Electricity meter</t>
  </si>
  <si>
    <t>ENV-120 M</t>
  </si>
  <si>
    <t>ENV-S-AM1-120M</t>
  </si>
  <si>
    <t>WF-01</t>
  </si>
  <si>
    <t>System Monitoring</t>
  </si>
  <si>
    <t>Region</t>
  </si>
  <si>
    <t xml:space="preserve"> (ERdC - $189) Envoy monitoring portal</t>
  </si>
  <si>
    <t>Exel/DM Solar</t>
  </si>
  <si>
    <t xml:space="preserve">minimum DV Watts - </t>
  </si>
  <si>
    <t>DAC</t>
  </si>
  <si>
    <t>Installer Margin</t>
  </si>
  <si>
    <t>Ext. Cost</t>
  </si>
  <si>
    <t>Installer Sales commission</t>
  </si>
  <si>
    <t>Pago inicial</t>
  </si>
  <si>
    <t>Incremento Anual</t>
  </si>
  <si>
    <t>Termino (Años)</t>
  </si>
  <si>
    <t>Termino a largo plazo ahorros inmediatos</t>
  </si>
  <si>
    <t>Incluido</t>
  </si>
  <si>
    <t>Servicio de Reparacion</t>
  </si>
  <si>
    <t>Garantia de Desempeño</t>
  </si>
  <si>
    <t xml:space="preserve">Antes </t>
  </si>
  <si>
    <t>Año</t>
  </si>
  <si>
    <t>Pago Inicial</t>
  </si>
  <si>
    <t>Ahorros vs CFE</t>
  </si>
  <si>
    <t>Recibo CFE</t>
  </si>
  <si>
    <t>Manufacturer</t>
  </si>
  <si>
    <t>Optimizers</t>
  </si>
  <si>
    <t>Component</t>
  </si>
  <si>
    <t>MXN/USD</t>
  </si>
  <si>
    <t>MXN</t>
  </si>
  <si>
    <t>System Specification</t>
  </si>
  <si>
    <r>
      <t>2</t>
    </r>
    <r>
      <rPr>
        <vertAlign val="superscript"/>
        <sz val="8"/>
        <rFont val="Verdana"/>
        <family val="2"/>
      </rPr>
      <t>nd</t>
    </r>
    <r>
      <rPr>
        <sz val="8"/>
        <rFont val="Verdana"/>
        <family val="2"/>
      </rPr>
      <t xml:space="preserve"> Last Name</t>
    </r>
  </si>
  <si>
    <t xml:space="preserve">Enphase Envoy S metered for single phase/revenue grade system monitoring and optional </t>
  </si>
  <si>
    <t>Comm Accessories</t>
  </si>
  <si>
    <t>Wifi kit for Enphase</t>
  </si>
  <si>
    <t>CT200-Split</t>
  </si>
  <si>
    <t>whole home consumption metering CT Clamp</t>
  </si>
  <si>
    <t>Baja California - en verano</t>
  </si>
  <si>
    <t>Baja California - fuera en verano</t>
  </si>
  <si>
    <t>Noroeste</t>
  </si>
  <si>
    <t>Baja California Sur - en verano</t>
  </si>
  <si>
    <t>Baja California Sur - fuera en verano</t>
  </si>
  <si>
    <t>STC</t>
  </si>
  <si>
    <t>PTC</t>
  </si>
  <si>
    <t>Sun Hours</t>
  </si>
  <si>
    <t>Inverter Loss %</t>
  </si>
  <si>
    <t>Other Loss %</t>
  </si>
  <si>
    <t>Customer Savings Target (Year1)</t>
  </si>
  <si>
    <t>CFE Total Bill (Year1)</t>
  </si>
  <si>
    <t>System Annual Degradation Rate</t>
  </si>
  <si>
    <t>Customer Usage</t>
  </si>
  <si>
    <t>Customer offset</t>
  </si>
  <si>
    <t>Cash Flow Retention %</t>
  </si>
  <si>
    <t>kWh</t>
  </si>
  <si>
    <t>MXN/kWh</t>
  </si>
  <si>
    <t>CFE Total Rate (MXN/kWh)</t>
  </si>
  <si>
    <t>Customer Usage (kWh/yr)</t>
  </si>
  <si>
    <t>per W</t>
  </si>
  <si>
    <t>CFE Fixed Cost per Bill (bi-mo) (MXN)</t>
  </si>
  <si>
    <t>CFE Rate per kWh (MXN)</t>
  </si>
  <si>
    <t>System Production (kWh/year)</t>
  </si>
  <si>
    <t>System Factor(kWh/kw)</t>
  </si>
  <si>
    <t>System Size (W)</t>
  </si>
  <si>
    <t>Ahorros $</t>
  </si>
  <si>
    <t>Corporate Tax Rate</t>
  </si>
  <si>
    <t>Outputs</t>
  </si>
  <si>
    <t>CFE Regions</t>
  </si>
  <si>
    <t>List Value</t>
  </si>
  <si>
    <t>CFE Value</t>
  </si>
  <si>
    <t>CFE Rates</t>
  </si>
  <si>
    <t>CFE Rate Category</t>
  </si>
  <si>
    <t>Customer Savings Actual (Year1)</t>
  </si>
  <si>
    <t>Equity Investor %</t>
  </si>
  <si>
    <t>E-Gauge</t>
  </si>
  <si>
    <t>Direct</t>
  </si>
  <si>
    <t>Home &amp; System Monitoring</t>
  </si>
  <si>
    <t>Performance Guarantee (Markup)</t>
  </si>
  <si>
    <t>Offset Pct</t>
  </si>
  <si>
    <t>Fund Price (MXN)</t>
  </si>
  <si>
    <t>Ahorros %</t>
  </si>
  <si>
    <t>Final (Year 15) Payment (MXN)</t>
  </si>
  <si>
    <t>TSM-270PA05A</t>
  </si>
  <si>
    <t>CS6P-270P</t>
  </si>
  <si>
    <t>CS6U-320P</t>
  </si>
  <si>
    <t>RCM-325-6PA</t>
  </si>
  <si>
    <t>SNPM-GxB-310 Bifacial</t>
  </si>
  <si>
    <t>Operating Expense (USD/kW)</t>
  </si>
  <si>
    <t>Operating Expense (MXN/Year)</t>
  </si>
  <si>
    <t>Equity Ownership (Equity Investor)</t>
  </si>
  <si>
    <t>$/W (SolCity)</t>
  </si>
  <si>
    <t>Resumen Año 1</t>
  </si>
  <si>
    <t>(Exel - $95) Up to 350 watt panel</t>
  </si>
  <si>
    <t>GCL-P6-72-320</t>
  </si>
  <si>
    <t>GCL-P6-60-270</t>
  </si>
  <si>
    <t>Pago Final</t>
  </si>
  <si>
    <t xml:space="preserve">Trina Solar </t>
  </si>
  <si>
    <t>TSM-320PD14</t>
  </si>
  <si>
    <t>Trina Solar</t>
  </si>
  <si>
    <t>Canadian Solar</t>
  </si>
  <si>
    <t>CS6X-320PN</t>
  </si>
  <si>
    <t>GCL System Integration Technology</t>
  </si>
  <si>
    <t>GCL-P6/60270</t>
  </si>
  <si>
    <t>GCL-P6/72320</t>
  </si>
  <si>
    <t>Sunpreme</t>
  </si>
  <si>
    <t>SNPM-GxB-310</t>
  </si>
  <si>
    <t>Customer Residual</t>
  </si>
  <si>
    <t>Enphase Energy</t>
  </si>
  <si>
    <t>M250-72-2LL-S2X (240Vac)</t>
  </si>
  <si>
    <t>Fronius USA</t>
  </si>
  <si>
    <t>SolarEdge Technologies</t>
  </si>
  <si>
    <t>SE3000 (240V)</t>
  </si>
  <si>
    <t>SE6000 (240V)</t>
  </si>
  <si>
    <t>SE7600 (240V)</t>
  </si>
  <si>
    <t>SE10000A-US (240V)</t>
  </si>
  <si>
    <t>SE11400A-US (240V)</t>
  </si>
  <si>
    <t>SE14.4KUS</t>
  </si>
  <si>
    <t>SE33.3KUS</t>
  </si>
  <si>
    <t>original-&gt;</t>
  </si>
  <si>
    <t>Pre-IVA Cost from Installer</t>
  </si>
  <si>
    <t>IVA to Installer</t>
  </si>
  <si>
    <t>Total Cost from Installer</t>
  </si>
  <si>
    <t>for Commercial/Tarifa02 systems</t>
  </si>
  <si>
    <t>NaN</t>
  </si>
  <si>
    <t>http://app.cfe.gob.mx/Aplicaciones/CCFE/Tarifas/Tarifas/Tarifas_industria.asp?Tarifa=CMABT&amp;Anio=2017</t>
  </si>
  <si>
    <t>http://app.cfe.gob.mx/Aplicaciones/CCFE/Tarifas/Tarifas/tarifas_casa.asp</t>
  </si>
  <si>
    <t>Lease Term</t>
  </si>
  <si>
    <t>Fund Price/Watt (MXN)</t>
  </si>
  <si>
    <t>Customer Initial Payment (MXN)</t>
  </si>
  <si>
    <t>Labor (MXN/W)</t>
  </si>
  <si>
    <t>BOS-Electrical (MXN/W)</t>
  </si>
  <si>
    <t>BOS-Mechanical (MXN/W)</t>
  </si>
  <si>
    <t>Lease Term (Years)</t>
  </si>
  <si>
    <t>Savings</t>
  </si>
  <si>
    <t>Year 1 Summary</t>
  </si>
  <si>
    <t>Ahorros</t>
  </si>
  <si>
    <t>Equity Investor Required IRR %</t>
  </si>
  <si>
    <t>CFE Rate (PreTax)</t>
  </si>
  <si>
    <t>CFE Usage (PreTax)</t>
  </si>
  <si>
    <t>CFE Cargo Fijo</t>
  </si>
  <si>
    <t>CFE DAP</t>
  </si>
  <si>
    <t>CFE IVA</t>
  </si>
  <si>
    <t>Degrad rate</t>
  </si>
  <si>
    <t>CFE Bill (PreTax)</t>
  </si>
  <si>
    <t>Solar System</t>
  </si>
  <si>
    <t>Solar System Production</t>
  </si>
  <si>
    <t>Savings ($)</t>
  </si>
  <si>
    <t>Savings (%)</t>
  </si>
  <si>
    <t>CFE Service Number</t>
  </si>
  <si>
    <t>Comm Accessory</t>
  </si>
  <si>
    <t>Customer Usage Offset</t>
  </si>
  <si>
    <t>System Production (kWh/yr)</t>
  </si>
  <si>
    <t>Wp (DC)</t>
  </si>
  <si>
    <t>PTC (DC)</t>
  </si>
  <si>
    <t>sys size &gt;=</t>
  </si>
  <si>
    <t>sys size &lt;=</t>
  </si>
  <si>
    <t>Wac rating (AC)</t>
  </si>
  <si>
    <t>Min Wp (DC)</t>
  </si>
  <si>
    <t>Max Wp (DC)</t>
  </si>
  <si>
    <t>Factor</t>
  </si>
  <si>
    <t>Primo 7.6-1 208/240</t>
  </si>
  <si>
    <t>Primo 8.2-1 208/241</t>
  </si>
  <si>
    <t>Primo 10.0-1 208/242</t>
  </si>
  <si>
    <t>Primo 11.4-1 208/243</t>
  </si>
  <si>
    <t>Primo 12.5-1 208/244</t>
  </si>
  <si>
    <t>Primo 15.0-1 208/245</t>
  </si>
  <si>
    <t>Symo 10.0-3 208/240v</t>
  </si>
  <si>
    <t>Symo 12.0-3 208/240v</t>
  </si>
  <si>
    <t>Symo 15.0-3 208/240v</t>
  </si>
  <si>
    <t>$/Wac</t>
  </si>
  <si>
    <t>Inversor TL + Comunicación Wifi + NEMA 4x + 2mppt + Interruptor DC</t>
  </si>
  <si>
    <t>WiFi + interruptor DC + AFCI + 2 MPPT</t>
  </si>
  <si>
    <t>WiFi + interruptor DC + AFCI + 1 MPPT</t>
  </si>
  <si>
    <t>Line Voltage</t>
  </si>
  <si>
    <t>240v</t>
  </si>
  <si>
    <t>Phases</t>
  </si>
  <si>
    <t>Savings Rate (Year 1)</t>
  </si>
  <si>
    <t>CFE Hilos (Phases)</t>
  </si>
  <si>
    <t>PTC/Wp</t>
  </si>
  <si>
    <t>radiationtype</t>
  </si>
  <si>
    <t>azimuth</t>
  </si>
  <si>
    <t>Norte</t>
  </si>
  <si>
    <t>Noreste</t>
  </si>
  <si>
    <t>Sur</t>
  </si>
  <si>
    <t>Peninsular</t>
  </si>
  <si>
    <t>Costa</t>
  </si>
  <si>
    <t>Tierra Adentro</t>
  </si>
  <si>
    <t>radiationtype_id</t>
  </si>
  <si>
    <t>azimuth_id</t>
  </si>
  <si>
    <t>Rad_Type</t>
  </si>
  <si>
    <t>Rad_Azimuth</t>
  </si>
  <si>
    <t>We will remotely monitor your system for you for 15 years</t>
  </si>
  <si>
    <t>Peace of mind that your system will perform for 15 years</t>
  </si>
  <si>
    <t>No need to worry about repairs for 15 years</t>
  </si>
  <si>
    <t>CFE Limite para region</t>
  </si>
  <si>
    <t>0 Procupaciones por reparacion por 15 años</t>
  </si>
  <si>
    <t>Desempeño Garantizado al 100% por 15 años</t>
  </si>
  <si>
    <t>Trina Solar_TSM-270PA05A</t>
  </si>
  <si>
    <t>CFE Limits</t>
  </si>
  <si>
    <t>Rad_cfe_region_id</t>
  </si>
  <si>
    <t>CFE Rate Period</t>
  </si>
  <si>
    <t>RANGO DE CONSUMO</t>
  </si>
  <si>
    <t>ENE.</t>
  </si>
  <si>
    <t>FEB.</t>
  </si>
  <si>
    <t>MAR.</t>
  </si>
  <si>
    <t>ABR.</t>
  </si>
  <si>
    <t>MAY.</t>
  </si>
  <si>
    <t>JUN.</t>
  </si>
  <si>
    <t>Básico 1-75</t>
  </si>
  <si>
    <t>Intermedio 76-140</t>
  </si>
  <si>
    <t>Excedente</t>
  </si>
  <si>
    <t>Básico 1-100</t>
  </si>
  <si>
    <t>Intermedio 101-150</t>
  </si>
  <si>
    <t>Intermedio 76-150</t>
  </si>
  <si>
    <t>Básico 1-125</t>
  </si>
  <si>
    <t>Intermedio 126-225</t>
  </si>
  <si>
    <t>Intermedio 76-175</t>
  </si>
  <si>
    <t>Básico 1-150</t>
  </si>
  <si>
    <t>Intermedio bajo 151-300</t>
  </si>
  <si>
    <t>Intermedio alto 301-450</t>
  </si>
  <si>
    <t>Básico 1-175</t>
  </si>
  <si>
    <t>Intermedio bajo 176-400</t>
  </si>
  <si>
    <t>Intermedio alto 401-600</t>
  </si>
  <si>
    <t>Intermedio 76-200</t>
  </si>
  <si>
    <t>Básico 1-300</t>
  </si>
  <si>
    <t>Intermedio bajo 301-750</t>
  </si>
  <si>
    <t>Intermedio alto 751-900</t>
  </si>
  <si>
    <t>Intermedio 301-1,200</t>
  </si>
  <si>
    <t>Recent History</t>
  </si>
  <si>
    <t>DIC./2016</t>
  </si>
  <si>
    <t>Intermedio alto 1,201-2,500</t>
  </si>
  <si>
    <t>Bsico 1-75</t>
  </si>
  <si>
    <t>1st Bucket</t>
  </si>
  <si>
    <t>2nd Bucket</t>
  </si>
  <si>
    <t>3rd Bucket</t>
  </si>
  <si>
    <t>Tarifa 1A - TEMPORADA DE VERANO</t>
  </si>
  <si>
    <t>Tarifa 1A - TEMPORADA FUERA DE VERANO</t>
  </si>
  <si>
    <t>Tarifa 1E - TEMPORADA DE VERANO</t>
  </si>
  <si>
    <t>Tarifa 1D - TEMPORADA DE VERANO</t>
  </si>
  <si>
    <t>Tarifa 1F - TEMPORADA DE VERANO</t>
  </si>
  <si>
    <t>Tarifa 1C - TEMPORADA DE VERANO</t>
  </si>
  <si>
    <t>Tarifa 1B - TEMPORADA DE VERANO</t>
  </si>
  <si>
    <t>Tarifa 1F - TEMPORADA FUERA DE VERANO</t>
  </si>
  <si>
    <t>Tarifa 1E - TEMPORADA FUERA DE VERANO</t>
  </si>
  <si>
    <t>Tarifa 1D - TEMPORADA FUERA DE VERANO</t>
  </si>
  <si>
    <t>Tarifa 1C - TEMPORADA FUERA DE VERANO</t>
  </si>
  <si>
    <t>Tarifa 1B - TEMPORADA FUERA DE VERANO</t>
  </si>
  <si>
    <t>Limit</t>
  </si>
  <si>
    <t>Rate</t>
  </si>
  <si>
    <t>Blended</t>
  </si>
  <si>
    <t>Avg (Verano, 
Invierno)</t>
  </si>
  <si>
    <t>For CFE Rate (PreTax) After Solar, Beginning in Year 2</t>
  </si>
  <si>
    <t>Tarifa 1 - TEMPORADA FUERA DE VERANO</t>
  </si>
  <si>
    <t>Tarifa 1 - TEMPORADA DE VERANO</t>
  </si>
  <si>
    <t>Initial Cash Flows</t>
  </si>
  <si>
    <t>After-Tax</t>
  </si>
  <si>
    <t>Before-Tax</t>
  </si>
  <si>
    <t>SolCity MX Cost (paid to Installer)</t>
  </si>
  <si>
    <t>SolCity MX Net</t>
  </si>
  <si>
    <t>SolCity MX Margin</t>
  </si>
  <si>
    <t>Equity Investor Investment</t>
  </si>
  <si>
    <t>Equity Investor % of Initial Payment by Customer</t>
  </si>
  <si>
    <t>Depreciation Based on Equity Investor % Equity</t>
  </si>
  <si>
    <t>Fund Cash Flows (Annual)</t>
  </si>
  <si>
    <t>Customer FCF</t>
  </si>
  <si>
    <t>Opearting Expenses</t>
  </si>
  <si>
    <t>Carried Losses</t>
  </si>
  <si>
    <t>Tax Basis</t>
  </si>
  <si>
    <t>Tax</t>
  </si>
  <si>
    <t>Net Cash Flow</t>
  </si>
  <si>
    <t>Investor Cash Flows (Monthly)</t>
  </si>
  <si>
    <t>Month</t>
  </si>
  <si>
    <t>Date</t>
  </si>
  <si>
    <t>Equity Investor FCF</t>
  </si>
  <si>
    <t>Equity Investor ROI</t>
  </si>
  <si>
    <t>Buyout Price</t>
  </si>
  <si>
    <t>Buyout Price (% of Fund Price)</t>
  </si>
  <si>
    <t>Tarifa2</t>
  </si>
  <si>
    <t>Effective</t>
  </si>
  <si>
    <t>**NOTE:  the ouptut of this model will only match VBA output of "Generate Scenarios" button for Term = 15 years</t>
  </si>
  <si>
    <t>Customer Inputs</t>
  </si>
  <si>
    <t>Nameplate</t>
  </si>
  <si>
    <t>Choose your term and savings</t>
  </si>
  <si>
    <t>Escoge tu plazo y ahorros</t>
  </si>
  <si>
    <t>Autorización para solicitar Reportes de Crédito</t>
  </si>
  <si>
    <t>Formato Único</t>
  </si>
  <si>
    <t xml:space="preserve">Por este conducto autorizo expresamente a Solcity Distribución Mexico SAPI de CV.  para que por conducto de sus funcionarios facultados lleve a cabo Investigaciones, sobre mi comportamiento crediticio o el de la Empresa que represento en Circulo de Credito SA de CV.                                                                                       </t>
  </si>
  <si>
    <t xml:space="preserve">Así mismo, declaro que conozco la naturaleza y alcance de la información que se solicitará, del uso que Solcity Distribución Mexico SAPI de CV, hará de tal información y de que ésta podrá realizar consultas periódicas sobre mi historial o el de la empresa que represento, consintiendo que esta autorización se encuentre vigente por un período de tres (3) años contados a partir de sus expedición y en todo caso durante el tiempo que se mantenga la relación jurídica. </t>
  </si>
  <si>
    <t>En caso de que la solicitante sea una Persona Moral,  declaro bajo protesta de decir verdad Ser Representante Legal de la empresa mencionada en esta autorización.</t>
  </si>
  <si>
    <t xml:space="preserve">Autorización para: </t>
  </si>
  <si>
    <t>Persona Física</t>
  </si>
  <si>
    <t>Persona Física con            Actividad Empresarial</t>
  </si>
  <si>
    <t>Nombre del solicitante (Persona Física o Razón Social de la Persona Moral):</t>
  </si>
  <si>
    <t>Para el caso de Persona Moral, nombre del Representante Legal:</t>
  </si>
  <si>
    <t>Fecha (en que se autoriza la consulta):</t>
  </si>
  <si>
    <t xml:space="preserve">RFC: </t>
  </si>
  <si>
    <t>Calle y número:</t>
  </si>
  <si>
    <t>Colonia:</t>
  </si>
  <si>
    <t xml:space="preserve">Ciudad: </t>
  </si>
  <si>
    <t xml:space="preserve">Estado: </t>
  </si>
  <si>
    <t xml:space="preserve">Código Postal: </t>
  </si>
  <si>
    <t xml:space="preserve">Teléfono (s) de casa y/o oficina: </t>
  </si>
  <si>
    <t>Estoy consciente y acepto que este documento quede bajo propiedad de Solcity Distribución Mexico SAPI de CV y/o Sociedad de Información Crediticia consultada para efectos de control y cumplimiento del artículo 28 de la Ley para Regular a Las Sociedades de Información Crediticia; mismo que señala que las Sociedades sólo podrán proporcionar información a un Usuario, cuando éste cuente con la autorización expresa del Cliente mediante su firma autógrafa.</t>
  </si>
  <si>
    <t xml:space="preserve">Firma de la PF, PFAE, Representante Legal de la empresa. </t>
  </si>
  <si>
    <t>OBSERVACIONES PARA SER ATENDIDAS AL MOMENTO DE REQUISITAR EL FORMATO:</t>
  </si>
  <si>
    <t>IMPORTANTE: Este formato debe ser llenado individualmente, para una sola persona física ó para una sola empresa. En caso de requerir el Historial crediticio del representante legal, se llenará un formato adicional.</t>
  </si>
  <si>
    <t>1.- Llenar este formato preferentemente en computadora y de no ser así, deberá ser con letra de molde y clara, evitando las abreviaturas. Utilizar letras mayúsculas.
2.- Anexar copia de identificación oficial (credencial del IFE o pasaporte vigente) del solicitante. FM2 en caso de extranjeros. 
3.- La firma en presente formato deberá ser idéntica a la que se encuentra en la identificación (si ha cambiado se recomienda practicarla previamente).
4.- El presente formato no se aceptará si no contine todos los datos requeridos o si tiene tachaduras, borrones y/o enmendaduras.
5.- Si el domicilio es diferente al registrado en la identificación, se recomienda verificar que el CP coincida con el municipio. Fuente: www.sepomex.gob.mx</t>
  </si>
  <si>
    <r>
      <rPr>
        <b/>
        <sz val="10"/>
        <rFont val="Arial"/>
        <family val="2"/>
      </rPr>
      <t>Para uso exclusivo de Solcity Distribución Mexico SAPI de CV</t>
    </r>
    <r>
      <rPr>
        <sz val="10"/>
        <rFont val="Arial"/>
        <family val="2"/>
      </rPr>
      <t xml:space="preserve">
</t>
    </r>
    <r>
      <rPr>
        <sz val="8"/>
        <rFont val="Arial"/>
        <family val="2"/>
      </rPr>
      <t>(Obligatorio el llenado de estos campos por el Funcionario Facultado)</t>
    </r>
  </si>
  <si>
    <t>Clave de usuario (Member Code):</t>
  </si>
  <si>
    <t>Fecha de la consulta (dd-mm-aaaa):</t>
  </si>
  <si>
    <t>Folio de consulta (Obligatorio)</t>
  </si>
  <si>
    <t>Proposal Acceptance Signature</t>
  </si>
  <si>
    <t>Firma de Aceptacion de Propuesta</t>
  </si>
  <si>
    <t>Solar Service Provider Name</t>
  </si>
  <si>
    <t>SE3800 (240V) HD Wave</t>
  </si>
  <si>
    <t>SolarEdge_P300</t>
  </si>
  <si>
    <t>SolarEdge_Zigbee kit</t>
  </si>
  <si>
    <t>SolarEdge_P400</t>
  </si>
  <si>
    <t>Customer</t>
  </si>
  <si>
    <t>Field</t>
  </si>
  <si>
    <t>Value</t>
  </si>
  <si>
    <t>Note</t>
  </si>
  <si>
    <t>Lessee</t>
  </si>
  <si>
    <t>Customer's first &amp; last names (if Individual) or full company name (if Company)</t>
  </si>
  <si>
    <t>LesseeTelephone</t>
  </si>
  <si>
    <t>Customer's telephone number</t>
  </si>
  <si>
    <t>LesseeEmail</t>
  </si>
  <si>
    <t>Customer's email address</t>
  </si>
  <si>
    <t>PropertyAddress</t>
  </si>
  <si>
    <t>PropertyCity</t>
  </si>
  <si>
    <t>PropertyState</t>
  </si>
  <si>
    <t>PropertyZipCode</t>
  </si>
  <si>
    <t>CheckingAccountBank</t>
  </si>
  <si>
    <t>Customer's bank for auto-debit</t>
  </si>
  <si>
    <t>CheckingAccountNumber</t>
  </si>
  <si>
    <t>Customer's checking account number for auto-debit</t>
  </si>
  <si>
    <t>CreditCardType</t>
  </si>
  <si>
    <t>Visa</t>
  </si>
  <si>
    <t>Customer's credit card type, in the event of auto-debit failure</t>
  </si>
  <si>
    <t>CreditCardNumber</t>
  </si>
  <si>
    <t>Customer's credit card number</t>
  </si>
  <si>
    <t>CreditCardExpiry</t>
  </si>
  <si>
    <t>CreditCardSecurityCode</t>
  </si>
  <si>
    <t>Customer's credit card security code</t>
  </si>
  <si>
    <t>TermYears</t>
  </si>
  <si>
    <t>GuaranteedProductionYear1</t>
  </si>
  <si>
    <t>Guaranteed production of system in first year (kWh)</t>
  </si>
  <si>
    <t>InitialPaymentMXN</t>
  </si>
  <si>
    <t>MonthlyPaymentYear1</t>
  </si>
  <si>
    <t>FinanceEscalator</t>
  </si>
  <si>
    <t>Customer (if Individual)</t>
  </si>
  <si>
    <t>Ind_Nationality</t>
  </si>
  <si>
    <t>Nationality</t>
  </si>
  <si>
    <t>Ind_IdNo</t>
  </si>
  <si>
    <t>Government identification number</t>
  </si>
  <si>
    <t>Customer (if Company)</t>
  </si>
  <si>
    <t>Co_DeedNo</t>
  </si>
  <si>
    <t>Public deed number</t>
  </si>
  <si>
    <t>Co_DeedDated</t>
  </si>
  <si>
    <t>Co_DeedNotaryNo</t>
  </si>
  <si>
    <t>Notary number, before which public deed was granted</t>
  </si>
  <si>
    <t>Co_DeedNotaryLoc</t>
  </si>
  <si>
    <t>Notary location</t>
  </si>
  <si>
    <t>Co_DeedNotaryName</t>
  </si>
  <si>
    <t>Notary name</t>
  </si>
  <si>
    <t>Co_DeedRegistryLoc</t>
  </si>
  <si>
    <t>Co_DeedFolioNo</t>
  </si>
  <si>
    <t>Notary Commercial Folio number</t>
  </si>
  <si>
    <t>Co_Rep</t>
  </si>
  <si>
    <t>Full name of individual representative of Company</t>
  </si>
  <si>
    <t>Co_Rep_DeedNo</t>
  </si>
  <si>
    <t>Public deed number, which grants individual representative power of attorney</t>
  </si>
  <si>
    <t>Co_Rep_DeedDated</t>
  </si>
  <si>
    <t>Co_Rep_DeedNotaryNo</t>
  </si>
  <si>
    <t>Notary number, before which public deed was granted (for Representative)</t>
  </si>
  <si>
    <t>Co_Rep_DeedNotaryLoc</t>
  </si>
  <si>
    <t>Notary location (for Representative)</t>
  </si>
  <si>
    <t>Co_Rep_DeedNotaryName</t>
  </si>
  <si>
    <t>Notary name (for Representative)</t>
  </si>
  <si>
    <t>Co_Rep_DeedRegistryLoc</t>
  </si>
  <si>
    <t>Co_Rep_DeedFolioNo</t>
  </si>
  <si>
    <t>Notary Commercial Folio number (for Representative)</t>
  </si>
  <si>
    <t>Joint Obligor</t>
  </si>
  <si>
    <t>JointObligor</t>
  </si>
  <si>
    <t>Joint Obligor's first &amp; last names (if Individual) or full company name (if Company)</t>
  </si>
  <si>
    <t>JointObligorEmail</t>
  </si>
  <si>
    <t>Joint Obligor's email address</t>
  </si>
  <si>
    <t>Joint Obligor (if Individual)</t>
  </si>
  <si>
    <t>JO_Ind_Nationality</t>
  </si>
  <si>
    <t>JO_Ind_IdNo</t>
  </si>
  <si>
    <t>Joint Obligor (if Company)</t>
  </si>
  <si>
    <t>JO_Co_DeedNo</t>
  </si>
  <si>
    <t>JO_Co_DeedDated</t>
  </si>
  <si>
    <t>JO_Co_DeedNotaryNo</t>
  </si>
  <si>
    <t>JO_Co_DeedNotaryLoc</t>
  </si>
  <si>
    <t>JO_Co_DeedNotaryName</t>
  </si>
  <si>
    <t>JO_Co_DeedRegistryLoc</t>
  </si>
  <si>
    <t>JO_Co_DeedFolioNo</t>
  </si>
  <si>
    <t>JO_Co_Rep_DeedNo</t>
  </si>
  <si>
    <t>JO_Co_Rep_DeedDated</t>
  </si>
  <si>
    <t>JO_Co_Rep_DeedNotaryNo</t>
  </si>
  <si>
    <t>JO_Co_Rep_DeedNotaryLoc</t>
  </si>
  <si>
    <t>JO_Co_Rep_DeedNotaryName</t>
  </si>
  <si>
    <t>Checking Account Number</t>
  </si>
  <si>
    <t>Checking Account Bank</t>
  </si>
  <si>
    <t>Credit Card Type</t>
  </si>
  <si>
    <t>Credit Card Number</t>
  </si>
  <si>
    <t>Credit Card Expiry</t>
  </si>
  <si>
    <t>Credit Card Security Code</t>
  </si>
  <si>
    <t>Term Years</t>
  </si>
  <si>
    <t>Guaranteed Production (Year 1)</t>
  </si>
  <si>
    <t>SavingsRateYear1</t>
  </si>
  <si>
    <t>Monthly Payment (Year 1)</t>
  </si>
  <si>
    <t>Savings rate in first year (estimated)</t>
  </si>
  <si>
    <t>Annual Increase</t>
  </si>
  <si>
    <t>Company (if applicable)</t>
  </si>
  <si>
    <t>Individual's Nationality</t>
  </si>
  <si>
    <t>Company Deed Number</t>
  </si>
  <si>
    <t>Company Deed Dated</t>
  </si>
  <si>
    <t>Company Rep</t>
  </si>
  <si>
    <t>Company Deed Notary Location</t>
  </si>
  <si>
    <t>Company Deed Notary Name</t>
  </si>
  <si>
    <t>Company Deed Notary Registry Location</t>
  </si>
  <si>
    <t>Company Deed Notary Folio Number</t>
  </si>
  <si>
    <t>Company Deed Notary Number</t>
  </si>
  <si>
    <t>Joint Obligor Email</t>
  </si>
  <si>
    <t>Joint Obligor's Nationality</t>
  </si>
  <si>
    <t>JO_Co_Rep</t>
  </si>
  <si>
    <t>Joint Obligor Company Rep</t>
  </si>
  <si>
    <t>Joint Obligor Company Deed Number</t>
  </si>
  <si>
    <t>Joint Obligor Company Deed Dated</t>
  </si>
  <si>
    <t>Joint Obligor Company Deed Notary Number</t>
  </si>
  <si>
    <t>Joint Obligor Company Deed Notary Location</t>
  </si>
  <si>
    <t>Joint Obligor Company Deed Notary Name</t>
  </si>
  <si>
    <t>Joint Obligor Company Deed Notary Registry Location</t>
  </si>
  <si>
    <t>Joint Obligor Company Deed Notary Folio Number</t>
  </si>
  <si>
    <t>Mnemonic</t>
  </si>
  <si>
    <t>To be completed after Customer agrees to Proposal, before sending this file to MySOL.  Cells filled in Grey or Blue should be completed.</t>
  </si>
  <si>
    <t>Plan MySOL</t>
  </si>
  <si>
    <t>MySOL Plan Summary</t>
  </si>
  <si>
    <t>MySOL SUMMARY</t>
  </si>
  <si>
    <t>MySOL BENEFITS</t>
  </si>
  <si>
    <t>Customize Your MySOL Plan</t>
  </si>
  <si>
    <t>Before MySOL</t>
  </si>
  <si>
    <t>After MySOL</t>
  </si>
  <si>
    <t>MySOL Bill</t>
  </si>
  <si>
    <t>MySOL Bill (PreTax)</t>
  </si>
  <si>
    <t>MySOL IVA</t>
  </si>
  <si>
    <t>CFE + MySOL Bill</t>
  </si>
  <si>
    <t>CFE + MySOL</t>
  </si>
  <si>
    <t>MySOL</t>
  </si>
  <si>
    <t>Recibo CFE + MySOL</t>
  </si>
  <si>
    <t>MySOL Margin</t>
  </si>
  <si>
    <t>Pre-IVA Cost from MySOL</t>
  </si>
  <si>
    <t>IVA to MySOL</t>
  </si>
  <si>
    <t>Total Cost from MySOL</t>
  </si>
  <si>
    <t>SolCity MX Price (rec'd from MySOL/Fund)</t>
  </si>
  <si>
    <t>MySOL Equity</t>
  </si>
  <si>
    <t>MySOL % of Initial Customer Payment</t>
  </si>
  <si>
    <t>MySOL/SolCity MX Net</t>
  </si>
  <si>
    <t>MySOL Retained Equity</t>
  </si>
  <si>
    <t>MySOL % of Initial Payment by Customer</t>
  </si>
  <si>
    <t>Depreciation Based on MySOL % Equity</t>
  </si>
  <si>
    <t>MySOL Operating Revenue (rec'd from Fund)</t>
  </si>
  <si>
    <t>MySOL Operating Cost (Expected)</t>
  </si>
  <si>
    <t>MySOL Equity FCF</t>
  </si>
  <si>
    <t>MySOL Equity ROI</t>
  </si>
  <si>
    <t>RESUMEN MySOL</t>
  </si>
  <si>
    <t xml:space="preserve">BENEFICIOS MySOL </t>
  </si>
  <si>
    <t>Personaliza tu Plan MySOL</t>
  </si>
  <si>
    <t>Ahora con MySOL</t>
  </si>
  <si>
    <t>Recibo MySOL</t>
  </si>
  <si>
    <t>Suscripcion MySOL</t>
  </si>
  <si>
    <t>MySOL Subscription</t>
  </si>
  <si>
    <t>MySOL Total Rate (MXN/kWh)</t>
  </si>
  <si>
    <t>MySOL Total Bill (Year1)</t>
  </si>
  <si>
    <t>MySOL Pre-EqInv Margin (MXN)</t>
  </si>
  <si>
    <t>MySOL Pre-EqInv Margin (%)</t>
  </si>
  <si>
    <t>MySOL Post-EqInv Margin (MXN)</t>
  </si>
  <si>
    <t>MySOL Post-EqInv Margin (%)</t>
  </si>
  <si>
    <t>Equity Retained by MySOL %</t>
  </si>
  <si>
    <t>Equity Ownership (MySOL)</t>
  </si>
  <si>
    <t>MySOL Operating Costs Expected</t>
  </si>
  <si>
    <t>Proposal Chart Labels</t>
  </si>
  <si>
    <t>Monthly payments to MySOL during the first year of term</t>
  </si>
  <si>
    <t>Customer initial payment</t>
  </si>
  <si>
    <t>Customer's street address (should match CFE bill)</t>
  </si>
  <si>
    <t>Customer's city (should match CFE bill)</t>
  </si>
  <si>
    <t>Customer's state (should match CFE bill)</t>
  </si>
  <si>
    <t>Customer's zip code (should match CFE bill)</t>
  </si>
  <si>
    <t>Term length (Years)</t>
  </si>
  <si>
    <t>Annual increase in monthly payment amount to MySOL</t>
  </si>
  <si>
    <t>MySOL Markup</t>
  </si>
  <si>
    <t>SSP Markup</t>
  </si>
  <si>
    <t>SSP Sales Comm (Markup)</t>
  </si>
  <si>
    <t>Monthly Payments to MySOL</t>
  </si>
  <si>
    <t>MySOL saves you money on your utility bill</t>
  </si>
  <si>
    <t>Pagos Mensuales a MySOL</t>
  </si>
  <si>
    <t>Con MySOL ahorras en tu recibo de luz</t>
  </si>
  <si>
    <t>Public Registry location</t>
  </si>
  <si>
    <t>Public Registry location (for Representative)</t>
  </si>
  <si>
    <t>Company Rep Deed Number</t>
  </si>
  <si>
    <t>Company Rep Deed Dated</t>
  </si>
  <si>
    <t>Company Rep Deed Notary Number</t>
  </si>
  <si>
    <t>Company Rep Deed Notary Location</t>
  </si>
  <si>
    <t>Company Rep Deed Notary Name</t>
  </si>
  <si>
    <t>Company Rep Deed Notary Registry Location</t>
  </si>
  <si>
    <t>Company Rep Deed Notary Folio Number</t>
  </si>
  <si>
    <t>Joint Obligor Company Rep Deed Number</t>
  </si>
  <si>
    <t>Joint Obligor Company Rep Deed Dated</t>
  </si>
  <si>
    <t>Joint Obligor Company Rep Deed Notary Number</t>
  </si>
  <si>
    <t>Joint Obligor Company Rep Deed Notary Location</t>
  </si>
  <si>
    <t>Joint Obligor Company Rep Deed Notary Name</t>
  </si>
  <si>
    <t>Customer's credit card expiration (mm/yyyy)</t>
  </si>
  <si>
    <t>Public deed dated (dd/mm/yyyy)</t>
  </si>
  <si>
    <t>Public deed dated, which grants individual representative power of attorney (dd/mm/yyyy)</t>
  </si>
  <si>
    <t>Deed Number</t>
  </si>
  <si>
    <t>Deed Dated</t>
  </si>
  <si>
    <t>Deed Notary Number</t>
  </si>
  <si>
    <t>Deed Notary Location</t>
  </si>
  <si>
    <t>Deed Notary Name</t>
  </si>
  <si>
    <t>Deed Notary Registry Location</t>
  </si>
  <si>
    <t>Deed Notary Folio Number</t>
  </si>
  <si>
    <t>Representative Deed Number</t>
  </si>
  <si>
    <t>Representative Deed Dated</t>
  </si>
  <si>
    <t>Representative Deed Notary Number</t>
  </si>
  <si>
    <t>Representative Deed Notary Location</t>
  </si>
  <si>
    <t>Representative Deed Notary Name</t>
  </si>
  <si>
    <t>Representative Deed Notary Folio Number</t>
  </si>
  <si>
    <t>Representative</t>
  </si>
  <si>
    <t>Joint Obligor's Identification Number</t>
  </si>
  <si>
    <t>Identification Number</t>
  </si>
  <si>
    <t>SE5000 (240V) HD Wave</t>
  </si>
  <si>
    <t>Representative Deed Notary Public Registry</t>
  </si>
  <si>
    <t>Questionnaire for Additional Information</t>
  </si>
  <si>
    <t>If Customer is Company:</t>
  </si>
  <si>
    <t>If Customer is Individual:</t>
  </si>
  <si>
    <t>If there is a Joint Obligor</t>
  </si>
  <si>
    <t>If Joint Obligor is Individual:</t>
  </si>
  <si>
    <t>If Joint Obligor is Company:</t>
  </si>
  <si>
    <t>Cuestionario para información adicional</t>
  </si>
  <si>
    <t>Telefono</t>
  </si>
  <si>
    <t>Cliente (Persona Fisica)</t>
  </si>
  <si>
    <t>Direccion de Correo</t>
  </si>
  <si>
    <t>Nacionalidad</t>
  </si>
  <si>
    <t>Número de Identificación</t>
  </si>
  <si>
    <t>Numero de Escritura</t>
  </si>
  <si>
    <t>Fecha de Escritura</t>
  </si>
  <si>
    <t>Numero de Notaria</t>
  </si>
  <si>
    <t>Localidad de la Notaria</t>
  </si>
  <si>
    <t>Nombre del Notario</t>
  </si>
  <si>
    <t>Localidad de Registro Publico</t>
  </si>
  <si>
    <t>Folio de Registro Publico</t>
  </si>
  <si>
    <t>Representante Legal</t>
  </si>
  <si>
    <t>Numero de Escritua de Poderes del Representante Legal</t>
  </si>
  <si>
    <t>Numero de Notaria de Escritura de Poderes</t>
  </si>
  <si>
    <t>Localidad de Registro Publico de Escritura de Poderes</t>
  </si>
  <si>
    <t>Nombre de Notario en Escritura de Poderes</t>
  </si>
  <si>
    <t>Obligado Solidario</t>
  </si>
  <si>
    <t>Si Hay un Obligado Solidario</t>
  </si>
  <si>
    <t>Cliente (Persona Moral)</t>
  </si>
  <si>
    <t>Obligado Solidario (Persona Fisica)</t>
  </si>
  <si>
    <t>Obligado Solidario (Persona Moral)</t>
  </si>
  <si>
    <t>Fecha de Escritura de Poderes del Representante Legal</t>
  </si>
  <si>
    <t>Localidad de la Notaria en Escritura de Poderes</t>
  </si>
  <si>
    <t>Folio de Registro Publico de Escritura de Poderes</t>
  </si>
  <si>
    <t>Telephone</t>
  </si>
  <si>
    <t>Email</t>
  </si>
  <si>
    <t>Individual's Identification Number</t>
  </si>
  <si>
    <t>SolarEdge Technologies_SE3800 (240V) HD Wave</t>
  </si>
  <si>
    <t>Jul.</t>
  </si>
  <si>
    <t>Monitoreo Remoto 24 horas al dia</t>
  </si>
  <si>
    <t>Monitoreamos el sistema los 365 dias del año por 15 años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</si>
</sst>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[$$-409]#,##0.00;[Red]\-[$$-409]#,##0.00"/>
    <numFmt numFmtId="166" formatCode="_(\$* #,##0.00_);_(\$* \(#,##0.00\);_(\$* \-??_);_(@_)"/>
    <numFmt numFmtId="167" formatCode="[$$-409]#,##0;[Red]\-[$$-409]#,##0"/>
    <numFmt numFmtId="168" formatCode="0.0"/>
    <numFmt numFmtId="169" formatCode="_(\$* #,##0_);_(\$* \(#,##0\);_(\$* \-??_);_(@_)"/>
    <numFmt numFmtId="170" formatCode="_-* #,##0.00_-;\-* #,##0.00_-;_-* \-??_-;_-@_-"/>
    <numFmt numFmtId="171" formatCode="_-* #,##0_-;\-* #,##0_-;_-* \-??_-;_-@_-"/>
    <numFmt numFmtId="172" formatCode="\$#,##0"/>
    <numFmt numFmtId="173" formatCode="\$#,##0_);&quot;($&quot;#,##0\);&quot;-- &quot;"/>
    <numFmt numFmtId="174" formatCode="\$#,##0_);&quot;($&quot;#,##0\)"/>
    <numFmt numFmtId="175" formatCode="\$#,##0.0_);&quot;($&quot;#,##0.0\);&quot;-- &quot;"/>
    <numFmt numFmtId="176" formatCode="mm/dd/yy"/>
    <numFmt numFmtId="177" formatCode="_(* #,##0_);_(* \(#,##0\);_(* &quot;-&quot;??_);_(@_)"/>
    <numFmt numFmtId="178" formatCode="_(* #,##0.00_);[Red]_(* \-#,##0.00_);_(* &quot;-&quot;??_);_(@_)"/>
    <numFmt numFmtId="179" formatCode="_(* #,##0_);[Red]_(* \-#,##0_);_(* &quot;-&quot;??_);_(@_)"/>
    <numFmt numFmtId="180" formatCode="_(* #,##0.0000_);[Red]_(* \-#,##0.0000_);_(* &quot;-&quot;??_);_(@_)"/>
    <numFmt numFmtId="181" formatCode="[$$-409]#,##0.00;[Red][$$-409]#,##0.00"/>
    <numFmt numFmtId="182" formatCode="_(* #,##0_);[Red]_(* \-#,##0_);_(* &quot;-&quot;_);_(@_)"/>
    <numFmt numFmtId="183" formatCode="_(&quot;$&quot;* #,##0.0000_);_(&quot;$&quot;* \(#,##0.0000\);_(&quot;$&quot;* &quot;-&quot;????_);_(@_)"/>
    <numFmt numFmtId="184" formatCode="_(\$* #,##0_);_(\$* \(#,##0\);_(\$* \-_);_(@_)"/>
    <numFmt numFmtId="185" formatCode="#,##0.0;[Red]\-#,##0.0"/>
    <numFmt numFmtId="186" formatCode="dd/mm/yyyy;@"/>
  </numFmts>
  <fonts count="45" x14ac:knownFonts="1">
    <font>
      <sz val="10"/>
      <name val="Arial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10"/>
      <name val="Arial"/>
      <family val="2"/>
    </font>
    <font>
      <b/>
      <sz val="10"/>
      <name val="Arial"/>
      <family val="2"/>
    </font>
    <font>
      <sz val="12"/>
      <color indexed="8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4"/>
      <color indexed="9"/>
      <name val="Arial"/>
      <family val="2"/>
    </font>
    <font>
      <sz val="16"/>
      <name val="Arial"/>
      <family val="2"/>
    </font>
    <font>
      <b/>
      <sz val="13"/>
      <color indexed="9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7.5"/>
      <color indexed="63"/>
      <name val="TradeGothicLTStd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color indexed="9"/>
      <name val="Arial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color indexed="8"/>
      <name val="Verdana"/>
      <family val="2"/>
    </font>
    <font>
      <sz val="8"/>
      <color indexed="8"/>
      <name val="Verdana"/>
      <family val="2"/>
    </font>
    <font>
      <vertAlign val="superscript"/>
      <sz val="8"/>
      <name val="Verdana"/>
      <family val="2"/>
    </font>
    <font>
      <sz val="8"/>
      <color rgb="FF0000FF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8"/>
      <color theme="10"/>
      <name val="Verdana"/>
      <family val="2"/>
    </font>
    <font>
      <b/>
      <sz val="10"/>
      <color rgb="FF000000"/>
      <name val="Arial"/>
      <family val="2"/>
    </font>
    <font>
      <b/>
      <u/>
      <sz val="10"/>
      <name val="Arial"/>
      <family val="2"/>
    </font>
    <font>
      <sz val="10"/>
      <name val="Book Antiqua"/>
      <family val="1"/>
    </font>
    <font>
      <b/>
      <sz val="28"/>
      <name val="Arial Narrow"/>
      <family val="2"/>
    </font>
    <font>
      <sz val="8"/>
      <name val="Arial"/>
      <family val="2"/>
    </font>
    <font>
      <sz val="9"/>
      <name val="Arial"/>
      <family val="2"/>
    </font>
    <font>
      <b/>
      <sz val="8"/>
      <color rgb="FFFF0000"/>
      <name val="Verdana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7"/>
        <bgColor indexed="21"/>
      </patternFill>
    </fill>
    <fill>
      <patternFill patternType="solid">
        <fgColor indexed="42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hair">
        <color indexed="8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/>
      <top style="double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/>
      <right/>
      <top/>
      <bottom style="medium">
        <color rgb="FF0000FF"/>
      </bottom>
      <diagonal/>
    </border>
    <border>
      <left/>
      <right style="medium">
        <color rgb="FF0000FF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rgb="FF0000FF"/>
      </bottom>
      <diagonal/>
    </border>
    <border>
      <left/>
      <right/>
      <top style="medium">
        <color auto="1"/>
      </top>
      <bottom style="medium">
        <color rgb="FF0000FF"/>
      </bottom>
      <diagonal/>
    </border>
    <border>
      <left/>
      <right style="medium">
        <color auto="1"/>
      </right>
      <top style="medium">
        <color auto="1"/>
      </top>
      <bottom style="medium">
        <color rgb="FF0000FF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auto="1"/>
      </right>
      <top style="medium">
        <color rgb="FF0000FF"/>
      </top>
      <bottom style="medium">
        <color rgb="FF0000FF"/>
      </bottom>
      <diagonal/>
    </border>
  </borders>
  <cellStyleXfs count="77">
    <xf numFmtId="0" fontId="0" fillId="0" borderId="0"/>
    <xf numFmtId="170" fontId="7" fillId="0" borderId="0"/>
    <xf numFmtId="166" fontId="9" fillId="0" borderId="0"/>
    <xf numFmtId="0" fontId="7" fillId="0" borderId="0"/>
    <xf numFmtId="0" fontId="9" fillId="0" borderId="0"/>
    <xf numFmtId="9" fontId="9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4" fillId="0" borderId="0"/>
    <xf numFmtId="0" fontId="7" fillId="0" borderId="0"/>
    <xf numFmtId="0" fontId="7" fillId="0" borderId="0"/>
    <xf numFmtId="0" fontId="22" fillId="0" borderId="0" applyNumberFormat="0" applyFill="0" applyBorder="0" applyAlignment="0" applyProtection="0"/>
    <xf numFmtId="0" fontId="6" fillId="0" borderId="0"/>
    <xf numFmtId="0" fontId="38" fillId="0" borderId="0"/>
    <xf numFmtId="0" fontId="5" fillId="0" borderId="0"/>
  </cellStyleXfs>
  <cellXfs count="589">
    <xf numFmtId="0" fontId="0" fillId="0" borderId="0" xfId="0"/>
    <xf numFmtId="0" fontId="7" fillId="0" borderId="0" xfId="3" applyFont="1"/>
    <xf numFmtId="0" fontId="8" fillId="0" borderId="0" xfId="3" applyFont="1"/>
    <xf numFmtId="0" fontId="7" fillId="0" borderId="0" xfId="3"/>
    <xf numFmtId="0" fontId="10" fillId="0" borderId="0" xfId="3" applyFont="1" applyFill="1"/>
    <xf numFmtId="0" fontId="11" fillId="0" borderId="0" xfId="3" applyFont="1"/>
    <xf numFmtId="0" fontId="12" fillId="0" borderId="0" xfId="3" applyFont="1"/>
    <xf numFmtId="0" fontId="13" fillId="0" borderId="0" xfId="3" applyFont="1"/>
    <xf numFmtId="0" fontId="15" fillId="0" borderId="0" xfId="3" applyFont="1"/>
    <xf numFmtId="2" fontId="7" fillId="0" borderId="0" xfId="3" applyNumberFormat="1" applyAlignment="1">
      <alignment horizontal="left"/>
    </xf>
    <xf numFmtId="0" fontId="17" fillId="0" borderId="0" xfId="3" applyFont="1" applyBorder="1" applyAlignment="1">
      <alignment vertical="center"/>
    </xf>
    <xf numFmtId="0" fontId="18" fillId="0" borderId="0" xfId="3" applyFont="1"/>
    <xf numFmtId="174" fontId="17" fillId="3" borderId="0" xfId="2" applyNumberFormat="1" applyFont="1" applyFill="1" applyBorder="1" applyAlignment="1" applyProtection="1">
      <alignment horizontal="left" vertical="center"/>
    </xf>
    <xf numFmtId="173" fontId="17" fillId="3" borderId="0" xfId="2" applyNumberFormat="1" applyFont="1" applyFill="1" applyBorder="1" applyAlignment="1" applyProtection="1">
      <alignment horizontal="left" vertical="center"/>
    </xf>
    <xf numFmtId="164" fontId="17" fillId="3" borderId="0" xfId="2" applyNumberFormat="1" applyFont="1" applyFill="1" applyBorder="1" applyAlignment="1" applyProtection="1">
      <alignment horizontal="left" vertical="center"/>
    </xf>
    <xf numFmtId="0" fontId="17" fillId="3" borderId="0" xfId="2" applyNumberFormat="1" applyFont="1" applyFill="1" applyBorder="1" applyAlignment="1" applyProtection="1">
      <alignment horizontal="left" vertical="center"/>
    </xf>
    <xf numFmtId="0" fontId="21" fillId="0" borderId="0" xfId="3" applyFont="1"/>
    <xf numFmtId="175" fontId="17" fillId="3" borderId="0" xfId="2" applyNumberFormat="1" applyFont="1" applyFill="1" applyBorder="1" applyAlignment="1" applyProtection="1">
      <alignment horizontal="left" vertical="center"/>
    </xf>
    <xf numFmtId="0" fontId="19" fillId="0" borderId="1" xfId="3" applyFont="1" applyBorder="1"/>
    <xf numFmtId="0" fontId="13" fillId="0" borderId="1" xfId="3" applyFont="1" applyBorder="1"/>
    <xf numFmtId="0" fontId="19" fillId="0" borderId="1" xfId="3" applyFont="1" applyBorder="1" applyAlignment="1">
      <alignment horizontal="right"/>
    </xf>
    <xf numFmtId="0" fontId="19" fillId="0" borderId="0" xfId="3" applyFont="1"/>
    <xf numFmtId="0" fontId="13" fillId="0" borderId="0" xfId="3" applyFont="1" applyAlignment="1">
      <alignment horizontal="left" indent="1"/>
    </xf>
    <xf numFmtId="167" fontId="19" fillId="0" borderId="0" xfId="3" applyNumberFormat="1" applyFont="1"/>
    <xf numFmtId="164" fontId="8" fillId="0" borderId="0" xfId="3" applyNumberFormat="1" applyFont="1"/>
    <xf numFmtId="9" fontId="20" fillId="0" borderId="0" xfId="5" applyNumberFormat="1" applyFont="1" applyAlignment="1">
      <alignment horizontal="left"/>
    </xf>
    <xf numFmtId="172" fontId="7" fillId="3" borderId="7" xfId="2" applyNumberFormat="1" applyFont="1" applyFill="1" applyBorder="1" applyAlignment="1" applyProtection="1">
      <alignment horizontal="center" vertical="center"/>
    </xf>
    <xf numFmtId="173" fontId="20" fillId="3" borderId="10" xfId="3" applyNumberFormat="1" applyFont="1" applyFill="1" applyBorder="1" applyAlignment="1">
      <alignment horizontal="center" vertical="center"/>
    </xf>
    <xf numFmtId="0" fontId="7" fillId="3" borderId="10" xfId="3" applyFont="1" applyFill="1" applyBorder="1" applyAlignment="1">
      <alignment vertical="center"/>
    </xf>
    <xf numFmtId="0" fontId="14" fillId="2" borderId="6" xfId="3" applyFont="1" applyFill="1" applyBorder="1" applyAlignment="1">
      <alignment horizontal="center" vertical="center"/>
    </xf>
    <xf numFmtId="0" fontId="14" fillId="2" borderId="7" xfId="3" applyFont="1" applyFill="1" applyBorder="1" applyAlignment="1">
      <alignment horizontal="center" vertical="center"/>
    </xf>
    <xf numFmtId="0" fontId="24" fillId="2" borderId="7" xfId="3" applyFont="1" applyFill="1" applyBorder="1" applyAlignment="1">
      <alignment horizontal="center" vertical="center" wrapText="1"/>
    </xf>
    <xf numFmtId="0" fontId="26" fillId="0" borderId="0" xfId="0" applyFont="1"/>
    <xf numFmtId="166" fontId="25" fillId="5" borderId="0" xfId="2" applyFont="1" applyFill="1" applyAlignment="1">
      <alignment horizontal="center"/>
    </xf>
    <xf numFmtId="0" fontId="25" fillId="5" borderId="0" xfId="0" applyFont="1" applyFill="1"/>
    <xf numFmtId="166" fontId="26" fillId="0" borderId="0" xfId="2" applyFont="1" applyAlignment="1">
      <alignment horizontal="center"/>
    </xf>
    <xf numFmtId="44" fontId="26" fillId="0" borderId="0" xfId="0" applyNumberFormat="1" applyFont="1"/>
    <xf numFmtId="0" fontId="27" fillId="5" borderId="0" xfId="0" applyFont="1" applyFill="1"/>
    <xf numFmtId="0" fontId="26" fillId="0" borderId="2" xfId="0" applyFont="1" applyBorder="1"/>
    <xf numFmtId="10" fontId="26" fillId="0" borderId="0" xfId="0" applyNumberFormat="1" applyFont="1"/>
    <xf numFmtId="0" fontId="28" fillId="0" borderId="0" xfId="4" applyFont="1" applyAlignment="1">
      <alignment horizontal="center" wrapText="1"/>
    </xf>
    <xf numFmtId="0" fontId="28" fillId="0" borderId="0" xfId="4" applyFont="1" applyAlignment="1">
      <alignment horizontal="center"/>
    </xf>
    <xf numFmtId="0" fontId="29" fillId="0" borderId="0" xfId="4" applyFont="1"/>
    <xf numFmtId="168" fontId="29" fillId="0" borderId="0" xfId="4" applyNumberFormat="1" applyFont="1" applyAlignment="1">
      <alignment horizontal="center"/>
    </xf>
    <xf numFmtId="0" fontId="26" fillId="0" borderId="0" xfId="3" applyFont="1"/>
    <xf numFmtId="0" fontId="29" fillId="0" borderId="0" xfId="4" applyFont="1" applyFill="1"/>
    <xf numFmtId="0" fontId="26" fillId="0" borderId="0" xfId="3" applyFont="1" applyAlignment="1">
      <alignment horizontal="right"/>
    </xf>
    <xf numFmtId="164" fontId="26" fillId="0" borderId="0" xfId="3" applyNumberFormat="1" applyFont="1"/>
    <xf numFmtId="0" fontId="29" fillId="0" borderId="0" xfId="4" applyFont="1" applyBorder="1"/>
    <xf numFmtId="0" fontId="26" fillId="0" borderId="0" xfId="3" applyFont="1" applyAlignment="1">
      <alignment horizontal="left"/>
    </xf>
    <xf numFmtId="0" fontId="26" fillId="0" borderId="13" xfId="3" applyFont="1" applyBorder="1"/>
    <xf numFmtId="0" fontId="26" fillId="0" borderId="0" xfId="3" applyFont="1" applyBorder="1"/>
    <xf numFmtId="165" fontId="26" fillId="0" borderId="0" xfId="3" applyNumberFormat="1" applyFont="1" applyBorder="1" applyAlignment="1">
      <alignment horizontal="right"/>
    </xf>
    <xf numFmtId="165" fontId="26" fillId="0" borderId="0" xfId="3" applyNumberFormat="1" applyFont="1" applyAlignment="1">
      <alignment horizontal="right"/>
    </xf>
    <xf numFmtId="164" fontId="26" fillId="0" borderId="0" xfId="3" applyNumberFormat="1" applyFont="1" applyAlignment="1">
      <alignment horizontal="center"/>
    </xf>
    <xf numFmtId="167" fontId="26" fillId="0" borderId="0" xfId="3" applyNumberFormat="1" applyFont="1"/>
    <xf numFmtId="0" fontId="27" fillId="0" borderId="0" xfId="3" applyFont="1"/>
    <xf numFmtId="165" fontId="26" fillId="0" borderId="0" xfId="3" applyNumberFormat="1" applyFont="1" applyFill="1" applyAlignment="1">
      <alignment horizontal="right"/>
    </xf>
    <xf numFmtId="171" fontId="26" fillId="0" borderId="0" xfId="1" applyNumberFormat="1" applyFont="1" applyFill="1"/>
    <xf numFmtId="1" fontId="26" fillId="0" borderId="0" xfId="3" applyNumberFormat="1" applyFont="1" applyFill="1"/>
    <xf numFmtId="0" fontId="26" fillId="0" borderId="2" xfId="3" applyFont="1" applyBorder="1"/>
    <xf numFmtId="169" fontId="29" fillId="0" borderId="2" xfId="2" applyNumberFormat="1" applyFont="1" applyBorder="1"/>
    <xf numFmtId="164" fontId="26" fillId="0" borderId="0" xfId="3" applyNumberFormat="1" applyFont="1" applyFill="1"/>
    <xf numFmtId="169" fontId="29" fillId="0" borderId="0" xfId="2" applyNumberFormat="1" applyFont="1" applyFill="1"/>
    <xf numFmtId="165" fontId="26" fillId="0" borderId="2" xfId="3" applyNumberFormat="1" applyFont="1" applyBorder="1" applyAlignment="1">
      <alignment horizontal="right"/>
    </xf>
    <xf numFmtId="169" fontId="29" fillId="0" borderId="2" xfId="2" applyNumberFormat="1" applyFont="1" applyFill="1" applyBorder="1"/>
    <xf numFmtId="165" fontId="27" fillId="0" borderId="0" xfId="3" applyNumberFormat="1" applyFont="1" applyAlignment="1">
      <alignment horizontal="right"/>
    </xf>
    <xf numFmtId="164" fontId="27" fillId="0" borderId="0" xfId="3" applyNumberFormat="1" applyFont="1"/>
    <xf numFmtId="0" fontId="26" fillId="0" borderId="0" xfId="3" applyNumberFormat="1" applyFont="1"/>
    <xf numFmtId="164" fontId="26" fillId="0" borderId="2" xfId="3" applyNumberFormat="1" applyFont="1" applyBorder="1"/>
    <xf numFmtId="164" fontId="27" fillId="0" borderId="0" xfId="3" applyNumberFormat="1" applyFont="1" applyAlignment="1">
      <alignment horizontal="right"/>
    </xf>
    <xf numFmtId="169" fontId="28" fillId="0" borderId="0" xfId="2" applyNumberFormat="1" applyFont="1"/>
    <xf numFmtId="43" fontId="26" fillId="0" borderId="0" xfId="0" applyNumberFormat="1" applyFont="1"/>
    <xf numFmtId="167" fontId="13" fillId="0" borderId="0" xfId="3" applyNumberFormat="1" applyFont="1"/>
    <xf numFmtId="0" fontId="13" fillId="0" borderId="1" xfId="3" applyFont="1" applyBorder="1" applyAlignment="1">
      <alignment horizontal="center"/>
    </xf>
    <xf numFmtId="167" fontId="13" fillId="0" borderId="1" xfId="3" applyNumberFormat="1" applyFont="1" applyBorder="1"/>
    <xf numFmtId="0" fontId="26" fillId="0" borderId="0" xfId="0" applyFont="1"/>
    <xf numFmtId="178" fontId="26" fillId="0" borderId="0" xfId="0" applyNumberFormat="1" applyFont="1"/>
    <xf numFmtId="0" fontId="29" fillId="0" borderId="0" xfId="4" applyFont="1"/>
    <xf numFmtId="168" fontId="29" fillId="0" borderId="0" xfId="4" applyNumberFormat="1" applyFont="1" applyAlignment="1">
      <alignment horizontal="center"/>
    </xf>
    <xf numFmtId="0" fontId="26" fillId="0" borderId="0" xfId="3" applyFont="1"/>
    <xf numFmtId="0" fontId="29" fillId="0" borderId="0" xfId="4" applyFont="1" applyFill="1"/>
    <xf numFmtId="165" fontId="26" fillId="0" borderId="0" xfId="3" applyNumberFormat="1" applyFont="1"/>
    <xf numFmtId="169" fontId="29" fillId="0" borderId="0" xfId="2" applyNumberFormat="1" applyFont="1"/>
    <xf numFmtId="177" fontId="26" fillId="0" borderId="0" xfId="3" applyNumberFormat="1" applyFont="1" applyFill="1" applyAlignment="1">
      <alignment horizontal="right"/>
    </xf>
    <xf numFmtId="169" fontId="29" fillId="0" borderId="0" xfId="2" applyNumberFormat="1" applyFont="1" applyBorder="1"/>
    <xf numFmtId="0" fontId="26" fillId="0" borderId="0" xfId="0" applyFont="1" applyBorder="1"/>
    <xf numFmtId="0" fontId="26" fillId="0" borderId="11" xfId="0" applyFont="1" applyBorder="1"/>
    <xf numFmtId="0" fontId="26" fillId="0" borderId="19" xfId="0" applyFont="1" applyBorder="1"/>
    <xf numFmtId="0" fontId="27" fillId="0" borderId="24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6" fillId="0" borderId="13" xfId="0" applyFont="1" applyBorder="1"/>
    <xf numFmtId="180" fontId="26" fillId="0" borderId="11" xfId="0" applyNumberFormat="1" applyFont="1" applyBorder="1"/>
    <xf numFmtId="179" fontId="26" fillId="0" borderId="11" xfId="0" applyNumberFormat="1" applyFont="1" applyFill="1" applyBorder="1"/>
    <xf numFmtId="178" fontId="26" fillId="0" borderId="11" xfId="0" applyNumberFormat="1" applyFont="1" applyBorder="1"/>
    <xf numFmtId="0" fontId="26" fillId="0" borderId="18" xfId="0" applyFont="1" applyBorder="1"/>
    <xf numFmtId="0" fontId="27" fillId="0" borderId="0" xfId="3" applyFont="1" applyAlignment="1">
      <alignment horizontal="right"/>
    </xf>
    <xf numFmtId="164" fontId="29" fillId="0" borderId="0" xfId="5" applyNumberFormat="1" applyFont="1" applyBorder="1"/>
    <xf numFmtId="178" fontId="26" fillId="0" borderId="11" xfId="0" applyNumberFormat="1" applyFont="1" applyFill="1" applyBorder="1"/>
    <xf numFmtId="0" fontId="14" fillId="2" borderId="0" xfId="3" applyFont="1" applyFill="1" applyBorder="1" applyAlignment="1">
      <alignment horizontal="center" vertical="center"/>
    </xf>
    <xf numFmtId="9" fontId="26" fillId="0" borderId="0" xfId="3" applyNumberFormat="1" applyFont="1"/>
    <xf numFmtId="0" fontId="25" fillId="5" borderId="0" xfId="0" applyFont="1" applyFill="1" applyAlignment="1">
      <alignment horizontal="center"/>
    </xf>
    <xf numFmtId="166" fontId="26" fillId="4" borderId="0" xfId="2" applyFont="1" applyFill="1" applyAlignment="1">
      <alignment horizontal="center"/>
    </xf>
    <xf numFmtId="0" fontId="26" fillId="0" borderId="0" xfId="0" applyNumberFormat="1" applyFont="1"/>
    <xf numFmtId="10" fontId="31" fillId="0" borderId="0" xfId="0" applyNumberFormat="1" applyFont="1" applyFill="1"/>
    <xf numFmtId="0" fontId="19" fillId="0" borderId="0" xfId="3" applyFont="1" applyFill="1"/>
    <xf numFmtId="0" fontId="13" fillId="0" borderId="0" xfId="3" applyFont="1" applyFill="1"/>
    <xf numFmtId="181" fontId="26" fillId="0" borderId="0" xfId="3" applyNumberFormat="1" applyFont="1" applyAlignment="1">
      <alignment horizontal="right"/>
    </xf>
    <xf numFmtId="10" fontId="26" fillId="0" borderId="0" xfId="3" applyNumberFormat="1" applyFont="1" applyAlignment="1">
      <alignment horizontal="right"/>
    </xf>
    <xf numFmtId="0" fontId="26" fillId="4" borderId="0" xfId="0" applyFont="1" applyFill="1" applyAlignment="1">
      <alignment horizontal="right"/>
    </xf>
    <xf numFmtId="164" fontId="26" fillId="0" borderId="0" xfId="3" applyNumberFormat="1" applyFont="1" applyBorder="1"/>
    <xf numFmtId="1" fontId="26" fillId="0" borderId="0" xfId="3" applyNumberFormat="1" applyFont="1" applyFill="1" applyBorder="1" applyAlignment="1">
      <alignment horizontal="right"/>
    </xf>
    <xf numFmtId="0" fontId="27" fillId="0" borderId="0" xfId="3" applyFont="1" applyAlignment="1"/>
    <xf numFmtId="0" fontId="35" fillId="0" borderId="0" xfId="73" applyFont="1" applyAlignment="1"/>
    <xf numFmtId="0" fontId="26" fillId="0" borderId="0" xfId="3" applyFont="1" applyAlignment="1"/>
    <xf numFmtId="0" fontId="27" fillId="0" borderId="0" xfId="3" applyFont="1" applyBorder="1" applyAlignment="1">
      <alignment wrapText="1"/>
    </xf>
    <xf numFmtId="0" fontId="27" fillId="0" borderId="0" xfId="3" applyFont="1" applyAlignment="1">
      <alignment horizontal="center" wrapText="1"/>
    </xf>
    <xf numFmtId="0" fontId="27" fillId="0" borderId="0" xfId="3" applyFont="1" applyAlignment="1">
      <alignment wrapText="1"/>
    </xf>
    <xf numFmtId="0" fontId="27" fillId="0" borderId="0" xfId="3" applyFont="1" applyAlignment="1">
      <alignment horizontal="center"/>
    </xf>
    <xf numFmtId="176" fontId="26" fillId="0" borderId="0" xfId="3" applyNumberFormat="1" applyFont="1" applyAlignment="1">
      <alignment wrapText="1"/>
    </xf>
    <xf numFmtId="0" fontId="26" fillId="0" borderId="0" xfId="3" applyFont="1" applyAlignment="1">
      <alignment wrapText="1"/>
    </xf>
    <xf numFmtId="0" fontId="28" fillId="0" borderId="0" xfId="3" applyFont="1" applyAlignment="1"/>
    <xf numFmtId="0" fontId="27" fillId="0" borderId="0" xfId="3" applyFont="1" applyAlignment="1">
      <alignment horizontal="left"/>
    </xf>
    <xf numFmtId="0" fontId="26" fillId="0" borderId="0" xfId="0" applyFont="1" applyAlignment="1">
      <alignment wrapText="1"/>
    </xf>
    <xf numFmtId="179" fontId="26" fillId="0" borderId="11" xfId="0" applyNumberFormat="1" applyFont="1" applyBorder="1"/>
    <xf numFmtId="10" fontId="26" fillId="0" borderId="11" xfId="0" applyNumberFormat="1" applyFont="1" applyFill="1" applyBorder="1"/>
    <xf numFmtId="177" fontId="26" fillId="0" borderId="11" xfId="3" applyNumberFormat="1" applyFont="1" applyFill="1" applyBorder="1" applyAlignment="1">
      <alignment horizontal="right"/>
    </xf>
    <xf numFmtId="0" fontId="26" fillId="0" borderId="0" xfId="0" applyFont="1" applyProtection="1">
      <protection locked="0"/>
    </xf>
    <xf numFmtId="0" fontId="27" fillId="0" borderId="0" xfId="0" applyFont="1" applyProtection="1">
      <protection locked="0"/>
    </xf>
    <xf numFmtId="182" fontId="27" fillId="0" borderId="26" xfId="0" applyNumberFormat="1" applyFont="1" applyBorder="1" applyProtection="1">
      <protection locked="0"/>
    </xf>
    <xf numFmtId="182" fontId="27" fillId="0" borderId="20" xfId="0" applyNumberFormat="1" applyFont="1" applyBorder="1" applyProtection="1">
      <protection locked="0"/>
    </xf>
    <xf numFmtId="182" fontId="27" fillId="0" borderId="25" xfId="0" applyNumberFormat="1" applyFont="1" applyBorder="1" applyProtection="1">
      <protection locked="0"/>
    </xf>
    <xf numFmtId="0" fontId="26" fillId="0" borderId="13" xfId="3" applyFont="1" applyBorder="1" applyProtection="1">
      <protection locked="0"/>
    </xf>
    <xf numFmtId="0" fontId="31" fillId="0" borderId="11" xfId="3" applyFont="1" applyFill="1" applyBorder="1" applyProtection="1">
      <protection locked="0"/>
    </xf>
    <xf numFmtId="164" fontId="27" fillId="0" borderId="0" xfId="0" applyNumberFormat="1" applyFont="1" applyProtection="1">
      <protection locked="0"/>
    </xf>
    <xf numFmtId="182" fontId="26" fillId="0" borderId="28" xfId="0" applyNumberFormat="1" applyFont="1" applyBorder="1" applyProtection="1">
      <protection locked="0"/>
    </xf>
    <xf numFmtId="182" fontId="26" fillId="0" borderId="27" xfId="0" applyNumberFormat="1" applyFont="1" applyBorder="1" applyProtection="1">
      <protection locked="0"/>
    </xf>
    <xf numFmtId="182" fontId="26" fillId="0" borderId="29" xfId="0" applyNumberFormat="1" applyFont="1" applyBorder="1" applyProtection="1">
      <protection locked="0"/>
    </xf>
    <xf numFmtId="182" fontId="31" fillId="6" borderId="0" xfId="0" applyNumberFormat="1" applyFont="1" applyFill="1" applyProtection="1">
      <protection locked="0"/>
    </xf>
    <xf numFmtId="182" fontId="26" fillId="0" borderId="13" xfId="0" applyNumberFormat="1" applyFont="1" applyBorder="1" applyProtection="1">
      <protection locked="0"/>
    </xf>
    <xf numFmtId="182" fontId="26" fillId="0" borderId="0" xfId="0" applyNumberFormat="1" applyFont="1" applyBorder="1" applyProtection="1">
      <protection locked="0"/>
    </xf>
    <xf numFmtId="182" fontId="26" fillId="0" borderId="11" xfId="0" applyNumberFormat="1" applyFont="1" applyBorder="1" applyProtection="1">
      <protection locked="0"/>
    </xf>
    <xf numFmtId="164" fontId="31" fillId="6" borderId="0" xfId="0" applyNumberFormat="1" applyFont="1" applyFill="1" applyProtection="1">
      <protection locked="0"/>
    </xf>
    <xf numFmtId="0" fontId="27" fillId="0" borderId="13" xfId="0" applyFont="1" applyFill="1" applyBorder="1" applyAlignment="1" applyProtection="1">
      <alignment horizontal="center"/>
      <protection locked="0"/>
    </xf>
    <xf numFmtId="0" fontId="27" fillId="0" borderId="11" xfId="0" applyFont="1" applyFill="1" applyBorder="1" applyAlignment="1" applyProtection="1">
      <alignment horizontal="center"/>
      <protection locked="0"/>
    </xf>
    <xf numFmtId="0" fontId="26" fillId="0" borderId="13" xfId="0" applyFont="1" applyBorder="1" applyProtection="1">
      <protection locked="0"/>
    </xf>
    <xf numFmtId="179" fontId="31" fillId="0" borderId="11" xfId="0" applyNumberFormat="1" applyFont="1" applyBorder="1" applyProtection="1">
      <protection locked="0"/>
    </xf>
    <xf numFmtId="0" fontId="31" fillId="6" borderId="2" xfId="0" applyFont="1" applyFill="1" applyBorder="1" applyProtection="1">
      <protection locked="0"/>
    </xf>
    <xf numFmtId="0" fontId="31" fillId="6" borderId="11" xfId="0" applyFont="1" applyFill="1" applyBorder="1" applyProtection="1">
      <protection locked="0"/>
    </xf>
    <xf numFmtId="0" fontId="26" fillId="0" borderId="0" xfId="0" applyFont="1" applyFill="1" applyBorder="1" applyProtection="1">
      <protection locked="0"/>
    </xf>
    <xf numFmtId="180" fontId="26" fillId="0" borderId="11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182" fontId="26" fillId="0" borderId="18" xfId="0" applyNumberFormat="1" applyFont="1" applyBorder="1" applyProtection="1">
      <protection locked="0"/>
    </xf>
    <xf numFmtId="182" fontId="26" fillId="0" borderId="2" xfId="0" applyNumberFormat="1" applyFont="1" applyBorder="1" applyProtection="1">
      <protection locked="0"/>
    </xf>
    <xf numFmtId="182" fontId="26" fillId="0" borderId="19" xfId="0" applyNumberFormat="1" applyFont="1" applyBorder="1" applyProtection="1">
      <protection locked="0"/>
    </xf>
    <xf numFmtId="165" fontId="26" fillId="0" borderId="0" xfId="3" applyNumberFormat="1" applyFont="1" applyFill="1" applyAlignment="1" applyProtection="1">
      <alignment horizontal="right"/>
    </xf>
    <xf numFmtId="1" fontId="26" fillId="0" borderId="0" xfId="3" applyNumberFormat="1" applyFont="1" applyFill="1" applyBorder="1"/>
    <xf numFmtId="2" fontId="26" fillId="0" borderId="0" xfId="3" applyNumberFormat="1" applyFont="1" applyFill="1" applyBorder="1" applyAlignment="1">
      <alignment horizontal="right"/>
    </xf>
    <xf numFmtId="1" fontId="27" fillId="0" borderId="0" xfId="3" applyNumberFormat="1" applyFont="1" applyFill="1" applyBorder="1" applyAlignment="1">
      <alignment horizontal="right"/>
    </xf>
    <xf numFmtId="182" fontId="26" fillId="0" borderId="0" xfId="3" applyNumberFormat="1" applyFont="1" applyFill="1"/>
    <xf numFmtId="0" fontId="16" fillId="2" borderId="0" xfId="3" applyFont="1" applyFill="1" applyBorder="1" applyAlignment="1">
      <alignment horizontal="left" vertical="center"/>
    </xf>
    <xf numFmtId="164" fontId="26" fillId="0" borderId="0" xfId="0" applyNumberFormat="1" applyFont="1" applyBorder="1"/>
    <xf numFmtId="178" fontId="26" fillId="0" borderId="0" xfId="0" applyNumberFormat="1" applyFont="1" applyFill="1" applyBorder="1"/>
    <xf numFmtId="167" fontId="20" fillId="0" borderId="0" xfId="5" applyNumberFormat="1" applyFont="1" applyAlignment="1"/>
    <xf numFmtId="9" fontId="20" fillId="0" borderId="0" xfId="5" applyNumberFormat="1" applyFont="1" applyAlignment="1"/>
    <xf numFmtId="0" fontId="19" fillId="0" borderId="1" xfId="3" applyFont="1" applyBorder="1" applyAlignment="1">
      <alignment horizontal="center" wrapText="1"/>
    </xf>
    <xf numFmtId="181" fontId="13" fillId="0" borderId="0" xfId="3" applyNumberFormat="1" applyFont="1"/>
    <xf numFmtId="2" fontId="29" fillId="0" borderId="28" xfId="4" applyNumberFormat="1" applyFont="1" applyFill="1" applyBorder="1" applyAlignment="1"/>
    <xf numFmtId="0" fontId="26" fillId="0" borderId="0" xfId="3" applyFont="1" applyFill="1" applyAlignment="1">
      <alignment horizontal="center"/>
    </xf>
    <xf numFmtId="0" fontId="26" fillId="0" borderId="0" xfId="3" applyFont="1" applyFill="1" applyBorder="1" applyAlignment="1">
      <alignment horizontal="center"/>
    </xf>
    <xf numFmtId="3" fontId="28" fillId="0" borderId="0" xfId="4" applyNumberFormat="1" applyFont="1" applyFill="1" applyBorder="1" applyAlignment="1">
      <alignment horizontal="center"/>
    </xf>
    <xf numFmtId="3" fontId="28" fillId="0" borderId="0" xfId="4" applyNumberFormat="1" applyFont="1" applyFill="1" applyAlignment="1">
      <alignment horizontal="center"/>
    </xf>
    <xf numFmtId="0" fontId="28" fillId="0" borderId="30" xfId="4" applyFont="1" applyFill="1" applyBorder="1" applyAlignment="1">
      <alignment horizontal="center" wrapText="1"/>
    </xf>
    <xf numFmtId="0" fontId="28" fillId="0" borderId="31" xfId="4" applyFont="1" applyFill="1" applyBorder="1" applyAlignment="1">
      <alignment horizontal="center" wrapText="1"/>
    </xf>
    <xf numFmtId="0" fontId="28" fillId="0" borderId="32" xfId="4" applyFont="1" applyFill="1" applyBorder="1" applyAlignment="1">
      <alignment horizontal="center" wrapText="1"/>
    </xf>
    <xf numFmtId="0" fontId="28" fillId="0" borderId="18" xfId="4" applyFont="1" applyFill="1" applyBorder="1" applyAlignment="1">
      <alignment horizontal="center"/>
    </xf>
    <xf numFmtId="0" fontId="28" fillId="0" borderId="2" xfId="4" applyFont="1" applyFill="1" applyBorder="1" applyAlignment="1">
      <alignment horizontal="center"/>
    </xf>
    <xf numFmtId="0" fontId="28" fillId="0" borderId="19" xfId="4" applyFont="1" applyFill="1" applyBorder="1" applyAlignment="1">
      <alignment horizontal="center"/>
    </xf>
    <xf numFmtId="171" fontId="26" fillId="0" borderId="28" xfId="1" applyNumberFormat="1" applyFont="1" applyFill="1" applyBorder="1" applyAlignment="1" applyProtection="1">
      <alignment horizontal="center"/>
    </xf>
    <xf numFmtId="171" fontId="26" fillId="0" borderId="29" xfId="1" applyNumberFormat="1" applyFont="1" applyFill="1" applyBorder="1" applyAlignment="1" applyProtection="1">
      <alignment horizontal="center"/>
    </xf>
    <xf numFmtId="171" fontId="26" fillId="0" borderId="13" xfId="1" applyNumberFormat="1" applyFont="1" applyFill="1" applyBorder="1" applyAlignment="1" applyProtection="1">
      <alignment horizontal="center"/>
    </xf>
    <xf numFmtId="171" fontId="26" fillId="0" borderId="11" xfId="1" applyNumberFormat="1" applyFont="1" applyFill="1" applyBorder="1" applyAlignment="1" applyProtection="1">
      <alignment horizontal="center"/>
    </xf>
    <xf numFmtId="171" fontId="26" fillId="0" borderId="18" xfId="1" applyNumberFormat="1" applyFont="1" applyFill="1" applyBorder="1" applyAlignment="1" applyProtection="1">
      <alignment horizontal="center"/>
    </xf>
    <xf numFmtId="171" fontId="26" fillId="0" borderId="19" xfId="1" applyNumberFormat="1" applyFont="1" applyFill="1" applyBorder="1" applyAlignment="1" applyProtection="1">
      <alignment horizontal="center"/>
    </xf>
    <xf numFmtId="3" fontId="29" fillId="0" borderId="0" xfId="4" applyNumberFormat="1" applyFont="1" applyFill="1" applyBorder="1" applyAlignment="1">
      <alignment horizontal="center"/>
    </xf>
    <xf numFmtId="177" fontId="26" fillId="0" borderId="0" xfId="3" applyNumberFormat="1" applyFont="1" applyFill="1" applyBorder="1" applyAlignment="1" applyProtection="1">
      <alignment horizontal="right"/>
    </xf>
    <xf numFmtId="179" fontId="26" fillId="0" borderId="0" xfId="0" applyNumberFormat="1" applyFont="1" applyBorder="1" applyProtection="1"/>
    <xf numFmtId="164" fontId="26" fillId="0" borderId="0" xfId="0" applyNumberFormat="1" applyFont="1" applyBorder="1" applyProtection="1"/>
    <xf numFmtId="0" fontId="27" fillId="7" borderId="33" xfId="0" applyFont="1" applyFill="1" applyBorder="1" applyAlignment="1" applyProtection="1">
      <alignment horizontal="center"/>
      <protection locked="0"/>
    </xf>
    <xf numFmtId="0" fontId="29" fillId="0" borderId="0" xfId="4" applyFont="1" applyFill="1" applyBorder="1" applyAlignment="1">
      <alignment horizontal="center" wrapText="1"/>
    </xf>
    <xf numFmtId="0" fontId="29" fillId="0" borderId="13" xfId="4" applyFont="1" applyFill="1" applyBorder="1" applyAlignment="1">
      <alignment horizontal="center" wrapText="1"/>
    </xf>
    <xf numFmtId="0" fontId="29" fillId="0" borderId="11" xfId="4" applyFont="1" applyFill="1" applyBorder="1" applyAlignment="1">
      <alignment horizontal="center" wrapText="1"/>
    </xf>
    <xf numFmtId="168" fontId="29" fillId="0" borderId="0" xfId="4" applyNumberFormat="1" applyFont="1" applyFill="1" applyBorder="1" applyAlignment="1">
      <alignment horizontal="center" wrapText="1"/>
    </xf>
    <xf numFmtId="168" fontId="29" fillId="0" borderId="13" xfId="4" applyNumberFormat="1" applyFont="1" applyFill="1" applyBorder="1" applyAlignment="1">
      <alignment horizontal="center" wrapText="1"/>
    </xf>
    <xf numFmtId="168" fontId="29" fillId="0" borderId="0" xfId="4" applyNumberFormat="1" applyFont="1" applyFill="1" applyAlignment="1">
      <alignment horizontal="center" wrapText="1"/>
    </xf>
    <xf numFmtId="0" fontId="29" fillId="0" borderId="0" xfId="4" applyFont="1" applyFill="1" applyAlignment="1">
      <alignment horizontal="center" wrapText="1"/>
    </xf>
    <xf numFmtId="164" fontId="29" fillId="0" borderId="19" xfId="4" applyNumberFormat="1" applyFont="1" applyFill="1" applyBorder="1"/>
    <xf numFmtId="167" fontId="29" fillId="0" borderId="19" xfId="4" applyNumberFormat="1" applyFont="1" applyFill="1" applyBorder="1"/>
    <xf numFmtId="167" fontId="29" fillId="0" borderId="2" xfId="4" applyNumberFormat="1" applyFont="1" applyFill="1" applyBorder="1"/>
    <xf numFmtId="167" fontId="29" fillId="0" borderId="18" xfId="4" applyNumberFormat="1" applyFont="1" applyFill="1" applyBorder="1"/>
    <xf numFmtId="164" fontId="29" fillId="0" borderId="2" xfId="5" applyNumberFormat="1" applyFont="1" applyFill="1" applyBorder="1"/>
    <xf numFmtId="42" fontId="29" fillId="0" borderId="19" xfId="4" applyNumberFormat="1" applyFont="1" applyFill="1" applyBorder="1"/>
    <xf numFmtId="42" fontId="29" fillId="0" borderId="2" xfId="4" applyNumberFormat="1" applyFont="1" applyFill="1" applyBorder="1"/>
    <xf numFmtId="2" fontId="29" fillId="0" borderId="18" xfId="4" applyNumberFormat="1" applyFont="1" applyFill="1" applyBorder="1" applyAlignment="1"/>
    <xf numFmtId="164" fontId="29" fillId="0" borderId="11" xfId="4" applyNumberFormat="1" applyFont="1" applyFill="1" applyBorder="1"/>
    <xf numFmtId="167" fontId="29" fillId="0" borderId="11" xfId="4" applyNumberFormat="1" applyFont="1" applyFill="1" applyBorder="1"/>
    <xf numFmtId="167" fontId="29" fillId="0" borderId="0" xfId="4" applyNumberFormat="1" applyFont="1" applyFill="1" applyBorder="1"/>
    <xf numFmtId="167" fontId="29" fillId="0" borderId="13" xfId="4" applyNumberFormat="1" applyFont="1" applyFill="1" applyBorder="1"/>
    <xf numFmtId="164" fontId="29" fillId="0" borderId="0" xfId="5" applyNumberFormat="1" applyFont="1" applyFill="1" applyBorder="1"/>
    <xf numFmtId="42" fontId="29" fillId="0" borderId="11" xfId="4" applyNumberFormat="1" applyFont="1" applyFill="1" applyBorder="1"/>
    <xf numFmtId="42" fontId="29" fillId="0" borderId="0" xfId="4" applyNumberFormat="1" applyFont="1" applyFill="1" applyBorder="1"/>
    <xf numFmtId="2" fontId="29" fillId="0" borderId="13" xfId="4" applyNumberFormat="1" applyFont="1" applyFill="1" applyBorder="1" applyAlignment="1"/>
    <xf numFmtId="164" fontId="29" fillId="0" borderId="29" xfId="4" applyNumberFormat="1" applyFont="1" applyFill="1" applyBorder="1"/>
    <xf numFmtId="167" fontId="29" fillId="0" borderId="29" xfId="4" applyNumberFormat="1" applyFont="1" applyFill="1" applyBorder="1"/>
    <xf numFmtId="167" fontId="29" fillId="0" borderId="27" xfId="4" applyNumberFormat="1" applyFont="1" applyFill="1" applyBorder="1"/>
    <xf numFmtId="167" fontId="29" fillId="0" borderId="28" xfId="4" applyNumberFormat="1" applyFont="1" applyFill="1" applyBorder="1"/>
    <xf numFmtId="164" fontId="29" fillId="0" borderId="27" xfId="5" applyNumberFormat="1" applyFont="1" applyFill="1" applyBorder="1"/>
    <xf numFmtId="42" fontId="29" fillId="0" borderId="29" xfId="4" applyNumberFormat="1" applyFont="1" applyFill="1" applyBorder="1"/>
    <xf numFmtId="42" fontId="29" fillId="0" borderId="27" xfId="4" applyNumberFormat="1" applyFont="1" applyFill="1" applyBorder="1"/>
    <xf numFmtId="168" fontId="28" fillId="0" borderId="2" xfId="4" applyNumberFormat="1" applyFont="1" applyFill="1" applyBorder="1" applyAlignment="1">
      <alignment horizontal="center"/>
    </xf>
    <xf numFmtId="168" fontId="28" fillId="0" borderId="18" xfId="4" applyNumberFormat="1" applyFont="1" applyFill="1" applyBorder="1" applyAlignment="1">
      <alignment horizontal="center"/>
    </xf>
    <xf numFmtId="168" fontId="28" fillId="0" borderId="0" xfId="4" applyNumberFormat="1" applyFont="1" applyFill="1" applyAlignment="1">
      <alignment horizontal="center"/>
    </xf>
    <xf numFmtId="0" fontId="28" fillId="0" borderId="11" xfId="4" applyFont="1" applyFill="1" applyBorder="1" applyAlignment="1">
      <alignment horizontal="center" wrapText="1"/>
    </xf>
    <xf numFmtId="168" fontId="28" fillId="0" borderId="0" xfId="4" applyNumberFormat="1" applyFont="1" applyFill="1" applyBorder="1" applyAlignment="1">
      <alignment horizontal="center" wrapText="1"/>
    </xf>
    <xf numFmtId="168" fontId="28" fillId="0" borderId="13" xfId="4" applyNumberFormat="1" applyFont="1" applyFill="1" applyBorder="1" applyAlignment="1">
      <alignment horizontal="center" wrapText="1"/>
    </xf>
    <xf numFmtId="168" fontId="28" fillId="0" borderId="0" xfId="4" applyNumberFormat="1" applyFont="1" applyFill="1" applyAlignment="1">
      <alignment horizontal="center" wrapText="1"/>
    </xf>
    <xf numFmtId="10" fontId="26" fillId="0" borderId="11" xfId="0" applyNumberFormat="1" applyFont="1" applyBorder="1"/>
    <xf numFmtId="0" fontId="26" fillId="0" borderId="36" xfId="0" applyFont="1" applyBorder="1"/>
    <xf numFmtId="0" fontId="26" fillId="0" borderId="35" xfId="0" applyFont="1" applyBorder="1"/>
    <xf numFmtId="0" fontId="26" fillId="0" borderId="34" xfId="0" applyFont="1" applyBorder="1"/>
    <xf numFmtId="3" fontId="26" fillId="0" borderId="0" xfId="0" applyNumberFormat="1" applyFont="1"/>
    <xf numFmtId="0" fontId="26" fillId="0" borderId="0" xfId="0" applyFont="1"/>
    <xf numFmtId="0" fontId="25" fillId="5" borderId="0" xfId="0" applyFont="1" applyFill="1"/>
    <xf numFmtId="0" fontId="27" fillId="5" borderId="0" xfId="0" applyFont="1" applyFill="1"/>
    <xf numFmtId="0" fontId="28" fillId="0" borderId="0" xfId="4" applyFont="1" applyAlignment="1">
      <alignment horizontal="center" wrapText="1"/>
    </xf>
    <xf numFmtId="0" fontId="28" fillId="0" borderId="0" xfId="4" applyFont="1" applyFill="1" applyAlignment="1">
      <alignment horizontal="center" wrapText="1"/>
    </xf>
    <xf numFmtId="0" fontId="28" fillId="0" borderId="0" xfId="4" applyFont="1" applyFill="1" applyAlignment="1">
      <alignment horizontal="center"/>
    </xf>
    <xf numFmtId="171" fontId="26" fillId="0" borderId="0" xfId="1" applyNumberFormat="1" applyFont="1" applyFill="1" applyBorder="1" applyAlignment="1" applyProtection="1">
      <alignment horizontal="center"/>
    </xf>
    <xf numFmtId="0" fontId="29" fillId="0" borderId="0" xfId="4" applyFont="1" applyFill="1"/>
    <xf numFmtId="167" fontId="29" fillId="0" borderId="0" xfId="4" applyNumberFormat="1" applyFont="1" applyFill="1"/>
    <xf numFmtId="166" fontId="29" fillId="0" borderId="0" xfId="2" applyNumberFormat="1" applyFont="1" applyFill="1"/>
    <xf numFmtId="14" fontId="29" fillId="0" borderId="0" xfId="4" applyNumberFormat="1" applyFont="1" applyFill="1"/>
    <xf numFmtId="0" fontId="29" fillId="0" borderId="0" xfId="4" applyNumberFormat="1" applyFont="1" applyFill="1"/>
    <xf numFmtId="164" fontId="29" fillId="0" borderId="0" xfId="5" applyNumberFormat="1" applyFont="1" applyFill="1"/>
    <xf numFmtId="0" fontId="26" fillId="0" borderId="0" xfId="0" applyFont="1" applyBorder="1" applyProtection="1"/>
    <xf numFmtId="0" fontId="26" fillId="0" borderId="2" xfId="0" applyFont="1" applyBorder="1" applyProtection="1"/>
    <xf numFmtId="0" fontId="27" fillId="0" borderId="39" xfId="0" applyFont="1" applyFill="1" applyBorder="1" applyAlignment="1" applyProtection="1">
      <alignment horizontal="center"/>
      <protection locked="0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11" xfId="0" applyFont="1" applyBorder="1" applyProtection="1"/>
    <xf numFmtId="182" fontId="26" fillId="0" borderId="0" xfId="0" applyNumberFormat="1" applyFont="1" applyFill="1" applyBorder="1" applyProtection="1"/>
    <xf numFmtId="182" fontId="26" fillId="0" borderId="2" xfId="0" applyNumberFormat="1" applyFont="1" applyFill="1" applyBorder="1" applyProtection="1"/>
    <xf numFmtId="0" fontId="27" fillId="0" borderId="38" xfId="0" applyFont="1" applyBorder="1" applyAlignment="1" applyProtection="1">
      <alignment horizontal="center"/>
      <protection locked="0"/>
    </xf>
    <xf numFmtId="0" fontId="27" fillId="0" borderId="39" xfId="0" applyFont="1" applyBorder="1" applyAlignment="1" applyProtection="1">
      <alignment horizontal="center"/>
      <protection locked="0"/>
    </xf>
    <xf numFmtId="0" fontId="26" fillId="0" borderId="28" xfId="0" applyFont="1" applyBorder="1" applyProtection="1">
      <protection locked="0"/>
    </xf>
    <xf numFmtId="0" fontId="31" fillId="6" borderId="0" xfId="0" applyFont="1" applyFill="1" applyBorder="1" applyProtection="1">
      <protection locked="0"/>
    </xf>
    <xf numFmtId="0" fontId="26" fillId="0" borderId="0" xfId="0" applyFont="1" applyFill="1" applyBorder="1" applyProtection="1"/>
    <xf numFmtId="0" fontId="27" fillId="0" borderId="20" xfId="0" applyFont="1" applyBorder="1" applyAlignment="1">
      <alignment horizontal="center"/>
    </xf>
    <xf numFmtId="0" fontId="26" fillId="0" borderId="0" xfId="0" applyFont="1" applyProtection="1"/>
    <xf numFmtId="49" fontId="26" fillId="0" borderId="11" xfId="0" applyNumberFormat="1" applyFont="1" applyBorder="1"/>
    <xf numFmtId="0" fontId="26" fillId="0" borderId="40" xfId="0" applyFont="1" applyBorder="1"/>
    <xf numFmtId="0" fontId="26" fillId="0" borderId="41" xfId="0" applyFont="1" applyBorder="1"/>
    <xf numFmtId="164" fontId="31" fillId="0" borderId="0" xfId="0" applyNumberFormat="1" applyFont="1" applyBorder="1" applyProtection="1">
      <protection locked="0"/>
    </xf>
    <xf numFmtId="0" fontId="6" fillId="0" borderId="0" xfId="74"/>
    <xf numFmtId="0" fontId="25" fillId="0" borderId="0" xfId="74" applyFont="1"/>
    <xf numFmtId="0" fontId="27" fillId="0" borderId="0" xfId="3" applyFont="1" applyBorder="1" applyAlignment="1"/>
    <xf numFmtId="49" fontId="31" fillId="6" borderId="11" xfId="0" applyNumberFormat="1" applyFont="1" applyFill="1" applyBorder="1" applyProtection="1">
      <protection locked="0"/>
    </xf>
    <xf numFmtId="182" fontId="6" fillId="0" borderId="0" xfId="74" applyNumberFormat="1"/>
    <xf numFmtId="0" fontId="29" fillId="0" borderId="0" xfId="4" applyFont="1" applyAlignment="1">
      <alignment horizontal="center"/>
    </xf>
    <xf numFmtId="0" fontId="28" fillId="0" borderId="13" xfId="4" applyFont="1" applyBorder="1" applyAlignment="1">
      <alignment horizontal="center" wrapText="1"/>
    </xf>
    <xf numFmtId="0" fontId="28" fillId="0" borderId="0" xfId="4" applyFont="1" applyBorder="1" applyAlignment="1">
      <alignment horizontal="center" wrapText="1"/>
    </xf>
    <xf numFmtId="0" fontId="28" fillId="0" borderId="11" xfId="4" applyFont="1" applyBorder="1" applyAlignment="1">
      <alignment horizontal="center" wrapText="1"/>
    </xf>
    <xf numFmtId="0" fontId="29" fillId="0" borderId="13" xfId="4" applyFont="1" applyBorder="1" applyAlignment="1">
      <alignment horizontal="center" wrapText="1"/>
    </xf>
    <xf numFmtId="0" fontId="29" fillId="0" borderId="0" xfId="4" applyFont="1" applyBorder="1" applyAlignment="1">
      <alignment horizontal="center" wrapText="1"/>
    </xf>
    <xf numFmtId="0" fontId="29" fillId="0" borderId="11" xfId="4" applyFont="1" applyBorder="1" applyAlignment="1">
      <alignment horizontal="center" wrapText="1"/>
    </xf>
    <xf numFmtId="0" fontId="29" fillId="0" borderId="18" xfId="4" applyFont="1" applyBorder="1" applyAlignment="1">
      <alignment horizontal="center" wrapText="1"/>
    </xf>
    <xf numFmtId="0" fontId="29" fillId="0" borderId="2" xfId="4" applyFont="1" applyBorder="1" applyAlignment="1">
      <alignment horizontal="center" wrapText="1"/>
    </xf>
    <xf numFmtId="0" fontId="29" fillId="0" borderId="19" xfId="4" applyFont="1" applyBorder="1" applyAlignment="1">
      <alignment horizontal="center" wrapText="1"/>
    </xf>
    <xf numFmtId="0" fontId="26" fillId="0" borderId="27" xfId="3" applyFont="1" applyBorder="1"/>
    <xf numFmtId="0" fontId="26" fillId="0" borderId="29" xfId="3" applyFont="1" applyBorder="1"/>
    <xf numFmtId="0" fontId="26" fillId="0" borderId="11" xfId="3" applyFont="1" applyBorder="1"/>
    <xf numFmtId="0" fontId="26" fillId="0" borderId="19" xfId="3" applyFont="1" applyBorder="1"/>
    <xf numFmtId="183" fontId="26" fillId="0" borderId="0" xfId="3" applyNumberFormat="1" applyFont="1"/>
    <xf numFmtId="0" fontId="27" fillId="7" borderId="42" xfId="3" applyFont="1" applyFill="1" applyBorder="1" applyAlignment="1">
      <alignment horizontal="center"/>
    </xf>
    <xf numFmtId="0" fontId="26" fillId="0" borderId="28" xfId="3" applyNumberFormat="1" applyFont="1" applyBorder="1"/>
    <xf numFmtId="0" fontId="26" fillId="0" borderId="27" xfId="3" applyNumberFormat="1" applyFont="1" applyBorder="1"/>
    <xf numFmtId="0" fontId="26" fillId="0" borderId="29" xfId="3" applyNumberFormat="1" applyFont="1" applyBorder="1"/>
    <xf numFmtId="0" fontId="26" fillId="0" borderId="13" xfId="3" applyNumberFormat="1" applyFont="1" applyBorder="1"/>
    <xf numFmtId="0" fontId="26" fillId="0" borderId="0" xfId="3" applyNumberFormat="1" applyFont="1" applyBorder="1"/>
    <xf numFmtId="0" fontId="26" fillId="0" borderId="11" xfId="3" applyNumberFormat="1" applyFont="1" applyBorder="1"/>
    <xf numFmtId="0" fontId="26" fillId="0" borderId="18" xfId="3" applyNumberFormat="1" applyFont="1" applyBorder="1"/>
    <xf numFmtId="0" fontId="26" fillId="0" borderId="2" xfId="3" applyNumberFormat="1" applyFont="1" applyBorder="1"/>
    <xf numFmtId="0" fontId="26" fillId="0" borderId="19" xfId="3" applyNumberFormat="1" applyFont="1" applyBorder="1"/>
    <xf numFmtId="0" fontId="29" fillId="0" borderId="13" xfId="4" applyFont="1" applyBorder="1" applyAlignment="1">
      <alignment horizontal="right" wrapText="1"/>
    </xf>
    <xf numFmtId="0" fontId="29" fillId="0" borderId="18" xfId="4" applyFont="1" applyBorder="1" applyAlignment="1">
      <alignment horizontal="right"/>
    </xf>
    <xf numFmtId="183" fontId="26" fillId="0" borderId="28" xfId="3" applyNumberFormat="1" applyFont="1" applyBorder="1"/>
    <xf numFmtId="183" fontId="26" fillId="0" borderId="13" xfId="3" applyNumberFormat="1" applyFont="1" applyBorder="1"/>
    <xf numFmtId="183" fontId="26" fillId="0" borderId="18" xfId="3" applyNumberFormat="1" applyFont="1" applyBorder="1"/>
    <xf numFmtId="0" fontId="28" fillId="0" borderId="46" xfId="4" applyFont="1" applyBorder="1" applyAlignment="1">
      <alignment horizontal="center" wrapText="1"/>
    </xf>
    <xf numFmtId="0" fontId="28" fillId="0" borderId="47" xfId="4" applyFont="1" applyBorder="1" applyAlignment="1">
      <alignment horizontal="center" wrapText="1"/>
    </xf>
    <xf numFmtId="0" fontId="29" fillId="0" borderId="48" xfId="4" applyFont="1" applyBorder="1" applyAlignment="1">
      <alignment horizontal="right" wrapText="1"/>
    </xf>
    <xf numFmtId="0" fontId="29" fillId="0" borderId="49" xfId="4" applyFont="1" applyBorder="1" applyAlignment="1">
      <alignment horizontal="center" wrapText="1"/>
    </xf>
    <xf numFmtId="0" fontId="29" fillId="0" borderId="50" xfId="4" applyFont="1" applyBorder="1" applyAlignment="1">
      <alignment horizontal="right"/>
    </xf>
    <xf numFmtId="0" fontId="29" fillId="0" borderId="51" xfId="4" applyFont="1" applyBorder="1" applyAlignment="1">
      <alignment horizontal="center" wrapText="1"/>
    </xf>
    <xf numFmtId="183" fontId="26" fillId="0" borderId="52" xfId="3" applyNumberFormat="1" applyFont="1" applyBorder="1"/>
    <xf numFmtId="0" fontId="26" fillId="0" borderId="53" xfId="3" applyNumberFormat="1" applyFont="1" applyBorder="1"/>
    <xf numFmtId="183" fontId="26" fillId="0" borderId="48" xfId="3" applyNumberFormat="1" applyFont="1" applyBorder="1"/>
    <xf numFmtId="0" fontId="26" fillId="0" borderId="49" xfId="3" applyNumberFormat="1" applyFont="1" applyBorder="1"/>
    <xf numFmtId="183" fontId="26" fillId="0" borderId="50" xfId="3" applyNumberFormat="1" applyFont="1" applyBorder="1"/>
    <xf numFmtId="0" fontId="26" fillId="0" borderId="51" xfId="3" applyNumberFormat="1" applyFont="1" applyBorder="1"/>
    <xf numFmtId="43" fontId="26" fillId="0" borderId="53" xfId="3" applyNumberFormat="1" applyFont="1" applyBorder="1"/>
    <xf numFmtId="43" fontId="26" fillId="0" borderId="49" xfId="3" applyNumberFormat="1" applyFont="1" applyBorder="1"/>
    <xf numFmtId="43" fontId="26" fillId="0" borderId="51" xfId="3" applyNumberFormat="1" applyFont="1" applyBorder="1"/>
    <xf numFmtId="0" fontId="28" fillId="0" borderId="0" xfId="4" applyFont="1"/>
    <xf numFmtId="184" fontId="29" fillId="0" borderId="0" xfId="4" applyNumberFormat="1" applyFont="1" applyBorder="1"/>
    <xf numFmtId="164" fontId="29" fillId="0" borderId="0" xfId="4" applyNumberFormat="1" applyFont="1" applyBorder="1"/>
    <xf numFmtId="0" fontId="29" fillId="0" borderId="11" xfId="4" applyFont="1" applyBorder="1"/>
    <xf numFmtId="38" fontId="29" fillId="0" borderId="0" xfId="4" applyNumberFormat="1" applyFont="1"/>
    <xf numFmtId="184" fontId="29" fillId="0" borderId="0" xfId="4" applyNumberFormat="1" applyFont="1" applyFill="1" applyBorder="1"/>
    <xf numFmtId="0" fontId="29" fillId="0" borderId="33" xfId="4" applyFont="1" applyBorder="1"/>
    <xf numFmtId="0" fontId="29" fillId="0" borderId="54" xfId="4" applyFont="1" applyBorder="1" applyAlignment="1">
      <alignment horizontal="center"/>
    </xf>
    <xf numFmtId="0" fontId="29" fillId="0" borderId="55" xfId="4" applyFont="1" applyBorder="1" applyAlignment="1">
      <alignment horizontal="center"/>
    </xf>
    <xf numFmtId="0" fontId="29" fillId="0" borderId="56" xfId="4" applyFont="1" applyBorder="1" applyAlignment="1">
      <alignment horizontal="center"/>
    </xf>
    <xf numFmtId="0" fontId="29" fillId="0" borderId="43" xfId="4" applyFont="1" applyBorder="1"/>
    <xf numFmtId="164" fontId="29" fillId="0" borderId="0" xfId="4" applyNumberFormat="1" applyFont="1" applyFill="1" applyBorder="1"/>
    <xf numFmtId="184" fontId="29" fillId="0" borderId="28" xfId="4" applyNumberFormat="1" applyFont="1" applyFill="1" applyBorder="1"/>
    <xf numFmtId="184" fontId="29" fillId="0" borderId="27" xfId="4" applyNumberFormat="1" applyFont="1" applyBorder="1"/>
    <xf numFmtId="184" fontId="29" fillId="0" borderId="29" xfId="4" applyNumberFormat="1" applyFont="1" applyBorder="1"/>
    <xf numFmtId="0" fontId="29" fillId="0" borderId="44" xfId="4" applyFont="1" applyBorder="1"/>
    <xf numFmtId="184" fontId="29" fillId="0" borderId="13" xfId="4" applyNumberFormat="1" applyFont="1" applyFill="1" applyBorder="1"/>
    <xf numFmtId="184" fontId="29" fillId="0" borderId="11" xfId="4" applyNumberFormat="1" applyFont="1" applyBorder="1"/>
    <xf numFmtId="0" fontId="29" fillId="0" borderId="45" xfId="4" applyFont="1" applyBorder="1"/>
    <xf numFmtId="164" fontId="29" fillId="0" borderId="0" xfId="4" applyNumberFormat="1" applyFont="1" applyFill="1" applyBorder="1" applyAlignment="1">
      <alignment horizontal="right"/>
    </xf>
    <xf numFmtId="184" fontId="29" fillId="0" borderId="57" xfId="4" applyNumberFormat="1" applyFont="1" applyBorder="1"/>
    <xf numFmtId="184" fontId="29" fillId="0" borderId="58" xfId="4" applyNumberFormat="1" applyFont="1" applyBorder="1"/>
    <xf numFmtId="184" fontId="29" fillId="0" borderId="58" xfId="4" applyNumberFormat="1" applyFont="1" applyFill="1" applyBorder="1"/>
    <xf numFmtId="184" fontId="29" fillId="0" borderId="59" xfId="4" applyNumberFormat="1" applyFont="1" applyBorder="1"/>
    <xf numFmtId="184" fontId="29" fillId="0" borderId="13" xfId="4" applyNumberFormat="1" applyFont="1" applyBorder="1"/>
    <xf numFmtId="177" fontId="29" fillId="0" borderId="26" xfId="4" applyNumberFormat="1" applyFont="1" applyBorder="1"/>
    <xf numFmtId="177" fontId="29" fillId="0" borderId="20" xfId="4" applyNumberFormat="1" applyFont="1" applyBorder="1"/>
    <xf numFmtId="177" fontId="29" fillId="0" borderId="25" xfId="4" applyNumberFormat="1" applyFont="1" applyBorder="1"/>
    <xf numFmtId="177" fontId="29" fillId="0" borderId="0" xfId="4" applyNumberFormat="1" applyFont="1" applyBorder="1"/>
    <xf numFmtId="185" fontId="29" fillId="0" borderId="0" xfId="4" applyNumberFormat="1" applyFont="1"/>
    <xf numFmtId="0" fontId="29" fillId="0" borderId="43" xfId="4" applyFont="1" applyBorder="1" applyAlignment="1">
      <alignment horizontal="left"/>
    </xf>
    <xf numFmtId="0" fontId="29" fillId="0" borderId="28" xfId="4" applyFont="1" applyBorder="1"/>
    <xf numFmtId="0" fontId="29" fillId="0" borderId="27" xfId="4" applyFont="1" applyBorder="1"/>
    <xf numFmtId="0" fontId="29" fillId="0" borderId="29" xfId="4" applyFont="1" applyBorder="1"/>
    <xf numFmtId="0" fontId="29" fillId="0" borderId="44" xfId="4" applyFont="1" applyBorder="1" applyAlignment="1">
      <alignment horizontal="left"/>
    </xf>
    <xf numFmtId="0" fontId="29" fillId="0" borderId="13" xfId="4" applyFont="1" applyBorder="1"/>
    <xf numFmtId="0" fontId="29" fillId="0" borderId="60" xfId="4" applyFont="1" applyBorder="1" applyAlignment="1">
      <alignment horizontal="left"/>
    </xf>
    <xf numFmtId="14" fontId="26" fillId="0" borderId="18" xfId="4" applyNumberFormat="1" applyFont="1" applyBorder="1"/>
    <xf numFmtId="14" fontId="29" fillId="0" borderId="2" xfId="4" applyNumberFormat="1" applyFont="1" applyBorder="1"/>
    <xf numFmtId="14" fontId="29" fillId="0" borderId="19" xfId="4" applyNumberFormat="1" applyFont="1" applyBorder="1"/>
    <xf numFmtId="14" fontId="29" fillId="0" borderId="0" xfId="4" applyNumberFormat="1" applyFont="1" applyBorder="1"/>
    <xf numFmtId="169" fontId="29" fillId="0" borderId="28" xfId="2" applyNumberFormat="1" applyFont="1" applyBorder="1"/>
    <xf numFmtId="169" fontId="29" fillId="0" borderId="27" xfId="2" applyNumberFormat="1" applyFont="1" applyBorder="1"/>
    <xf numFmtId="169" fontId="29" fillId="0" borderId="29" xfId="2" applyNumberFormat="1" applyFont="1" applyBorder="1"/>
    <xf numFmtId="169" fontId="29" fillId="0" borderId="18" xfId="2" applyNumberFormat="1" applyFont="1" applyBorder="1"/>
    <xf numFmtId="169" fontId="29" fillId="0" borderId="19" xfId="2" applyNumberFormat="1" applyFont="1" applyBorder="1"/>
    <xf numFmtId="0" fontId="29" fillId="0" borderId="20" xfId="4" applyFont="1" applyBorder="1" applyAlignment="1">
      <alignment horizontal="left"/>
    </xf>
    <xf numFmtId="184" fontId="29" fillId="0" borderId="2" xfId="4" applyNumberFormat="1" applyFont="1" applyBorder="1"/>
    <xf numFmtId="184" fontId="29" fillId="0" borderId="18" xfId="4" applyNumberFormat="1" applyFont="1" applyBorder="1"/>
    <xf numFmtId="184" fontId="29" fillId="0" borderId="19" xfId="4" applyNumberFormat="1" applyFont="1" applyBorder="1"/>
    <xf numFmtId="164" fontId="29" fillId="0" borderId="28" xfId="4" applyNumberFormat="1" applyFont="1" applyBorder="1"/>
    <xf numFmtId="164" fontId="29" fillId="0" borderId="27" xfId="5" applyNumberFormat="1" applyFont="1" applyBorder="1"/>
    <xf numFmtId="164" fontId="29" fillId="0" borderId="29" xfId="5" applyNumberFormat="1" applyFont="1" applyBorder="1"/>
    <xf numFmtId="164" fontId="29" fillId="0" borderId="18" xfId="4" applyNumberFormat="1" applyFont="1" applyBorder="1"/>
    <xf numFmtId="164" fontId="29" fillId="0" borderId="2" xfId="5" applyNumberFormat="1" applyFont="1" applyBorder="1"/>
    <xf numFmtId="164" fontId="29" fillId="0" borderId="19" xfId="5" applyNumberFormat="1" applyFont="1" applyBorder="1"/>
    <xf numFmtId="164" fontId="29" fillId="0" borderId="0" xfId="4" applyNumberFormat="1" applyFont="1"/>
    <xf numFmtId="178" fontId="31" fillId="0" borderId="0" xfId="0" applyNumberFormat="1" applyFont="1" applyBorder="1"/>
    <xf numFmtId="178" fontId="31" fillId="0" borderId="11" xfId="0" applyNumberFormat="1" applyFont="1" applyBorder="1"/>
    <xf numFmtId="10" fontId="31" fillId="0" borderId="0" xfId="0" applyNumberFormat="1" applyFont="1" applyBorder="1"/>
    <xf numFmtId="10" fontId="31" fillId="0" borderId="11" xfId="0" applyNumberFormat="1" applyFont="1" applyBorder="1"/>
    <xf numFmtId="164" fontId="31" fillId="0" borderId="0" xfId="0" applyNumberFormat="1" applyFont="1" applyBorder="1"/>
    <xf numFmtId="164" fontId="31" fillId="0" borderId="11" xfId="0" applyNumberFormat="1" applyFont="1" applyBorder="1"/>
    <xf numFmtId="164" fontId="26" fillId="0" borderId="11" xfId="0" applyNumberFormat="1" applyFont="1" applyBorder="1"/>
    <xf numFmtId="10" fontId="26" fillId="0" borderId="0" xfId="0" applyNumberFormat="1" applyFont="1" applyBorder="1"/>
    <xf numFmtId="10" fontId="31" fillId="0" borderId="0" xfId="0" applyNumberFormat="1" applyFont="1" applyFill="1" applyBorder="1"/>
    <xf numFmtId="10" fontId="31" fillId="0" borderId="11" xfId="0" applyNumberFormat="1" applyFont="1" applyFill="1" applyBorder="1"/>
    <xf numFmtId="178" fontId="31" fillId="0" borderId="0" xfId="0" applyNumberFormat="1" applyFont="1" applyFill="1" applyBorder="1"/>
    <xf numFmtId="178" fontId="31" fillId="0" borderId="11" xfId="0" applyNumberFormat="1" applyFont="1" applyFill="1" applyBorder="1"/>
    <xf numFmtId="179" fontId="26" fillId="0" borderId="0" xfId="0" applyNumberFormat="1" applyFont="1" applyBorder="1"/>
    <xf numFmtId="10" fontId="27" fillId="0" borderId="0" xfId="0" applyNumberFormat="1" applyFont="1" applyBorder="1" applyAlignment="1">
      <alignment horizontal="center"/>
    </xf>
    <xf numFmtId="10" fontId="27" fillId="0" borderId="11" xfId="0" applyNumberFormat="1" applyFont="1" applyBorder="1" applyAlignment="1">
      <alignment horizontal="center"/>
    </xf>
    <xf numFmtId="10" fontId="31" fillId="0" borderId="2" xfId="0" applyNumberFormat="1" applyFont="1" applyBorder="1"/>
    <xf numFmtId="10" fontId="26" fillId="0" borderId="19" xfId="0" applyNumberFormat="1" applyFont="1" applyBorder="1"/>
    <xf numFmtId="164" fontId="29" fillId="0" borderId="11" xfId="4" applyNumberFormat="1" applyFont="1" applyBorder="1"/>
    <xf numFmtId="164" fontId="29" fillId="0" borderId="19" xfId="4" applyNumberFormat="1" applyFont="1" applyBorder="1"/>
    <xf numFmtId="0" fontId="28" fillId="4" borderId="0" xfId="4" applyFont="1" applyFill="1"/>
    <xf numFmtId="0" fontId="7" fillId="0" borderId="0" xfId="3" applyAlignment="1"/>
    <xf numFmtId="0" fontId="39" fillId="6" borderId="61" xfId="75" applyFont="1" applyFill="1" applyBorder="1" applyAlignment="1" applyProtection="1">
      <alignment horizontal="center" vertical="top" wrapText="1"/>
      <protection locked="0"/>
    </xf>
    <xf numFmtId="0" fontId="0" fillId="0" borderId="0" xfId="3" applyFont="1" applyAlignment="1">
      <alignment horizontal="right" vertical="center"/>
    </xf>
    <xf numFmtId="0" fontId="7" fillId="0" borderId="62" xfId="3" applyBorder="1"/>
    <xf numFmtId="0" fontId="0" fillId="0" borderId="0" xfId="0" applyAlignment="1"/>
    <xf numFmtId="0" fontId="41" fillId="0" borderId="0" xfId="3" applyFont="1" applyAlignment="1"/>
    <xf numFmtId="0" fontId="0" fillId="0" borderId="0" xfId="0" applyAlignment="1">
      <alignment horizontal="center" vertical="center" wrapText="1"/>
    </xf>
    <xf numFmtId="0" fontId="8" fillId="0" borderId="0" xfId="3" applyFont="1" applyAlignment="1">
      <alignment horizontal="right" vertical="center" wrapText="1" indent="1"/>
    </xf>
    <xf numFmtId="0" fontId="31" fillId="9" borderId="11" xfId="3" applyFont="1" applyFill="1" applyBorder="1" applyProtection="1">
      <protection locked="0"/>
    </xf>
    <xf numFmtId="0" fontId="31" fillId="9" borderId="11" xfId="3" applyFont="1" applyFill="1" applyBorder="1" applyAlignment="1" applyProtection="1">
      <alignment horizontal="left"/>
      <protection locked="0"/>
    </xf>
    <xf numFmtId="179" fontId="31" fillId="9" borderId="11" xfId="0" applyNumberFormat="1" applyFont="1" applyFill="1" applyBorder="1" applyProtection="1">
      <protection locked="0"/>
    </xf>
    <xf numFmtId="10" fontId="31" fillId="9" borderId="11" xfId="0" applyNumberFormat="1" applyFont="1" applyFill="1" applyBorder="1" applyProtection="1">
      <protection locked="0"/>
    </xf>
    <xf numFmtId="178" fontId="31" fillId="9" borderId="11" xfId="0" applyNumberFormat="1" applyFont="1" applyFill="1" applyBorder="1" applyProtection="1">
      <protection locked="0"/>
    </xf>
    <xf numFmtId="10" fontId="31" fillId="9" borderId="19" xfId="0" applyNumberFormat="1" applyFont="1" applyFill="1" applyBorder="1" applyProtection="1">
      <protection locked="0"/>
    </xf>
    <xf numFmtId="0" fontId="31" fillId="9" borderId="29" xfId="0" applyFont="1" applyFill="1" applyBorder="1" applyProtection="1">
      <protection locked="0"/>
    </xf>
    <xf numFmtId="0" fontId="31" fillId="9" borderId="11" xfId="0" applyFont="1" applyFill="1" applyBorder="1" applyProtection="1">
      <protection locked="0"/>
    </xf>
    <xf numFmtId="0" fontId="31" fillId="9" borderId="19" xfId="0" applyFont="1" applyFill="1" applyBorder="1" applyProtection="1">
      <protection locked="0"/>
    </xf>
    <xf numFmtId="43" fontId="29" fillId="0" borderId="0" xfId="4" applyNumberFormat="1" applyFont="1" applyBorder="1"/>
    <xf numFmtId="43" fontId="29" fillId="0" borderId="2" xfId="4" applyNumberFormat="1" applyFont="1" applyBorder="1"/>
    <xf numFmtId="184" fontId="29" fillId="0" borderId="28" xfId="4" applyNumberFormat="1" applyFont="1" applyBorder="1"/>
    <xf numFmtId="0" fontId="5" fillId="0" borderId="0" xfId="76" applyFont="1"/>
    <xf numFmtId="0" fontId="25" fillId="10" borderId="64" xfId="76" applyFont="1" applyFill="1" applyBorder="1" applyAlignment="1">
      <alignment horizontal="center"/>
    </xf>
    <xf numFmtId="0" fontId="5" fillId="0" borderId="43" xfId="76" applyFont="1" applyBorder="1"/>
    <xf numFmtId="0" fontId="5" fillId="0" borderId="44" xfId="76" applyFont="1" applyBorder="1"/>
    <xf numFmtId="0" fontId="26" fillId="0" borderId="44" xfId="76" applyFont="1" applyBorder="1"/>
    <xf numFmtId="0" fontId="5" fillId="0" borderId="60" xfId="76" applyFont="1" applyBorder="1"/>
    <xf numFmtId="0" fontId="5" fillId="0" borderId="13" xfId="76" applyFont="1" applyBorder="1"/>
    <xf numFmtId="10" fontId="26" fillId="0" borderId="0" xfId="76" applyNumberFormat="1" applyFont="1" applyBorder="1"/>
    <xf numFmtId="0" fontId="5" fillId="0" borderId="11" xfId="76" applyFont="1" applyBorder="1"/>
    <xf numFmtId="0" fontId="31" fillId="0" borderId="0" xfId="76" applyFont="1" applyBorder="1"/>
    <xf numFmtId="0" fontId="25" fillId="0" borderId="13" xfId="76" applyFont="1" applyBorder="1"/>
    <xf numFmtId="0" fontId="5" fillId="0" borderId="0" xfId="76" applyFont="1" applyBorder="1"/>
    <xf numFmtId="0" fontId="26" fillId="0" borderId="43" xfId="76" applyFont="1" applyBorder="1"/>
    <xf numFmtId="178" fontId="26" fillId="0" borderId="44" xfId="76" applyNumberFormat="1" applyFont="1" applyBorder="1"/>
    <xf numFmtId="10" fontId="26" fillId="0" borderId="60" xfId="76" applyNumberFormat="1" applyFont="1" applyBorder="1"/>
    <xf numFmtId="10" fontId="26" fillId="0" borderId="44" xfId="76" applyNumberFormat="1" applyFont="1" applyBorder="1"/>
    <xf numFmtId="0" fontId="25" fillId="0" borderId="2" xfId="76" applyFont="1" applyBorder="1"/>
    <xf numFmtId="179" fontId="26" fillId="0" borderId="44" xfId="76" applyNumberFormat="1" applyFont="1" applyBorder="1"/>
    <xf numFmtId="0" fontId="29" fillId="0" borderId="0" xfId="4" applyFont="1" applyBorder="1" applyAlignment="1">
      <alignment horizontal="left"/>
    </xf>
    <xf numFmtId="14" fontId="26" fillId="0" borderId="0" xfId="4" applyNumberFormat="1" applyFont="1" applyBorder="1"/>
    <xf numFmtId="0" fontId="28" fillId="0" borderId="0" xfId="4" applyFont="1" applyFill="1" applyBorder="1" applyAlignment="1">
      <alignment horizontal="center"/>
    </xf>
    <xf numFmtId="0" fontId="28" fillId="0" borderId="13" xfId="4" applyFont="1" applyFill="1" applyBorder="1" applyAlignment="1">
      <alignment horizontal="center"/>
    </xf>
    <xf numFmtId="0" fontId="28" fillId="0" borderId="0" xfId="4" applyFont="1" applyBorder="1" applyAlignment="1">
      <alignment horizontal="center"/>
    </xf>
    <xf numFmtId="0" fontId="29" fillId="0" borderId="18" xfId="4" applyFont="1" applyFill="1" applyBorder="1" applyAlignment="1">
      <alignment horizontal="center" wrapText="1"/>
    </xf>
    <xf numFmtId="0" fontId="29" fillId="0" borderId="19" xfId="4" applyFont="1" applyFill="1" applyBorder="1" applyAlignment="1">
      <alignment horizontal="center" wrapText="1"/>
    </xf>
    <xf numFmtId="0" fontId="4" fillId="0" borderId="60" xfId="76" applyFont="1" applyBorder="1"/>
    <xf numFmtId="0" fontId="4" fillId="0" borderId="44" xfId="76" applyFont="1" applyBorder="1"/>
    <xf numFmtId="0" fontId="0" fillId="0" borderId="0" xfId="0" applyAlignment="1">
      <alignment horizontal="center" vertical="center" wrapText="1"/>
    </xf>
    <xf numFmtId="0" fontId="7" fillId="0" borderId="62" xfId="3" applyBorder="1" applyAlignment="1">
      <alignment horizontal="center"/>
    </xf>
    <xf numFmtId="0" fontId="40" fillId="0" borderId="0" xfId="3" applyFont="1" applyAlignment="1">
      <alignment wrapText="1"/>
    </xf>
    <xf numFmtId="0" fontId="0" fillId="0" borderId="0" xfId="0" applyAlignment="1"/>
    <xf numFmtId="0" fontId="8" fillId="0" borderId="0" xfId="3" applyFont="1" applyAlignment="1"/>
    <xf numFmtId="0" fontId="8" fillId="0" borderId="0" xfId="0" applyFont="1" applyAlignment="1"/>
    <xf numFmtId="0" fontId="8" fillId="0" borderId="62" xfId="0" applyFont="1" applyBorder="1" applyAlignment="1"/>
    <xf numFmtId="0" fontId="16" fillId="2" borderId="0" xfId="3" applyFont="1" applyFill="1" applyBorder="1" applyAlignment="1">
      <alignment horizontal="left" vertical="center"/>
    </xf>
    <xf numFmtId="173" fontId="17" fillId="3" borderId="0" xfId="2" applyNumberFormat="1" applyFont="1" applyFill="1" applyBorder="1" applyAlignment="1" applyProtection="1">
      <alignment horizontal="left" vertical="center"/>
    </xf>
    <xf numFmtId="175" fontId="17" fillId="3" borderId="0" xfId="2" applyNumberFormat="1" applyFont="1" applyFill="1" applyBorder="1" applyAlignment="1" applyProtection="1">
      <alignment horizontal="left" vertical="center"/>
    </xf>
    <xf numFmtId="0" fontId="7" fillId="0" borderId="0" xfId="3" applyBorder="1" applyAlignment="1"/>
    <xf numFmtId="0" fontId="8" fillId="0" borderId="62" xfId="3" applyFont="1" applyBorder="1" applyAlignment="1"/>
    <xf numFmtId="0" fontId="3" fillId="0" borderId="44" xfId="76" applyFont="1" applyBorder="1"/>
    <xf numFmtId="0" fontId="8" fillId="0" borderId="0" xfId="3" applyFont="1" applyBorder="1" applyAlignment="1"/>
    <xf numFmtId="0" fontId="7" fillId="0" borderId="8" xfId="3" applyBorder="1" applyAlignment="1"/>
    <xf numFmtId="0" fontId="7" fillId="0" borderId="9" xfId="3" applyBorder="1" applyAlignment="1"/>
    <xf numFmtId="0" fontId="8" fillId="0" borderId="8" xfId="3" applyFont="1" applyBorder="1" applyAlignment="1"/>
    <xf numFmtId="0" fontId="8" fillId="0" borderId="9" xfId="3" applyFont="1" applyBorder="1" applyAlignment="1"/>
    <xf numFmtId="0" fontId="7" fillId="0" borderId="10" xfId="3" applyBorder="1" applyAlignment="1"/>
    <xf numFmtId="0" fontId="7" fillId="0" borderId="8" xfId="3" applyBorder="1"/>
    <xf numFmtId="0" fontId="7" fillId="0" borderId="9" xfId="3" applyBorder="1"/>
    <xf numFmtId="0" fontId="7" fillId="0" borderId="10" xfId="3" applyBorder="1"/>
    <xf numFmtId="0" fontId="7" fillId="0" borderId="8" xfId="3" applyFont="1" applyBorder="1" applyAlignment="1"/>
    <xf numFmtId="0" fontId="7" fillId="0" borderId="9" xfId="3" applyFont="1" applyBorder="1" applyAlignment="1"/>
    <xf numFmtId="0" fontId="2" fillId="0" borderId="44" xfId="76" applyFont="1" applyBorder="1"/>
    <xf numFmtId="0" fontId="2" fillId="0" borderId="60" xfId="76" applyFont="1" applyBorder="1"/>
    <xf numFmtId="0" fontId="1" fillId="0" borderId="0" xfId="74" applyFont="1"/>
    <xf numFmtId="0" fontId="31" fillId="11" borderId="44" xfId="76" applyFont="1" applyFill="1" applyBorder="1" applyProtection="1">
      <protection locked="0"/>
    </xf>
    <xf numFmtId="49" fontId="31" fillId="11" borderId="44" xfId="76" applyNumberFormat="1" applyFont="1" applyFill="1" applyBorder="1" applyProtection="1">
      <protection locked="0"/>
    </xf>
    <xf numFmtId="0" fontId="31" fillId="11" borderId="43" xfId="76" applyFont="1" applyFill="1" applyBorder="1" applyProtection="1">
      <protection locked="0"/>
    </xf>
    <xf numFmtId="49" fontId="31" fillId="11" borderId="60" xfId="76" applyNumberFormat="1" applyFont="1" applyFill="1" applyBorder="1" applyProtection="1">
      <protection locked="0"/>
    </xf>
    <xf numFmtId="49" fontId="31" fillId="11" borderId="43" xfId="76" applyNumberFormat="1" applyFont="1" applyFill="1" applyBorder="1" applyProtection="1">
      <protection locked="0"/>
    </xf>
    <xf numFmtId="186" fontId="31" fillId="11" borderId="44" xfId="76" applyNumberFormat="1" applyFont="1" applyFill="1" applyBorder="1" applyProtection="1">
      <protection locked="0"/>
    </xf>
    <xf numFmtId="0" fontId="31" fillId="11" borderId="60" xfId="76" applyFont="1" applyFill="1" applyBorder="1" applyProtection="1">
      <protection locked="0"/>
    </xf>
    <xf numFmtId="0" fontId="27" fillId="7" borderId="15" xfId="0" applyFont="1" applyFill="1" applyBorder="1" applyAlignment="1">
      <alignment horizontal="center"/>
    </xf>
    <xf numFmtId="0" fontId="27" fillId="7" borderId="17" xfId="0" applyFont="1" applyFill="1" applyBorder="1" applyAlignment="1">
      <alignment horizontal="center"/>
    </xf>
    <xf numFmtId="0" fontId="27" fillId="7" borderId="16" xfId="0" applyFont="1" applyFill="1" applyBorder="1" applyAlignment="1">
      <alignment horizontal="center"/>
    </xf>
    <xf numFmtId="0" fontId="27" fillId="7" borderId="15" xfId="0" applyFont="1" applyFill="1" applyBorder="1" applyAlignment="1" applyProtection="1">
      <alignment horizontal="center"/>
      <protection locked="0"/>
    </xf>
    <xf numFmtId="0" fontId="27" fillId="7" borderId="16" xfId="0" applyFont="1" applyFill="1" applyBorder="1" applyAlignment="1" applyProtection="1">
      <alignment horizontal="center"/>
      <protection locked="0"/>
    </xf>
    <xf numFmtId="0" fontId="27" fillId="7" borderId="17" xfId="0" applyFont="1" applyFill="1" applyBorder="1" applyAlignment="1" applyProtection="1">
      <alignment horizontal="center"/>
      <protection locked="0"/>
    </xf>
    <xf numFmtId="0" fontId="0" fillId="8" borderId="0" xfId="3" applyFont="1" applyFill="1" applyAlignment="1">
      <alignment horizontal="right"/>
    </xf>
    <xf numFmtId="0" fontId="0" fillId="0" borderId="0" xfId="0" applyAlignment="1"/>
    <xf numFmtId="0" fontId="7" fillId="0" borderId="0" xfId="3" applyBorder="1" applyAlignment="1"/>
    <xf numFmtId="0" fontId="0" fillId="0" borderId="0" xfId="0" applyBorder="1" applyAlignment="1"/>
    <xf numFmtId="0" fontId="0" fillId="0" borderId="9" xfId="0" applyBorder="1" applyAlignment="1"/>
    <xf numFmtId="0" fontId="8" fillId="0" borderId="4" xfId="3" applyFont="1" applyBorder="1" applyAlignment="1">
      <alignment horizontal="center" vertical="center"/>
    </xf>
    <xf numFmtId="0" fontId="0" fillId="0" borderId="4" xfId="0" applyBorder="1" applyAlignment="1"/>
    <xf numFmtId="0" fontId="0" fillId="0" borderId="0" xfId="3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7" fillId="0" borderId="0" xfId="3" applyFont="1" applyAlignment="1">
      <alignment horizontal="center"/>
    </xf>
    <xf numFmtId="0" fontId="0" fillId="0" borderId="0" xfId="0" applyAlignment="1">
      <alignment horizontal="center"/>
    </xf>
    <xf numFmtId="0" fontId="0" fillId="0" borderId="62" xfId="3" applyFont="1" applyBorder="1" applyAlignment="1"/>
    <xf numFmtId="0" fontId="0" fillId="0" borderId="62" xfId="0" applyBorder="1" applyAlignment="1"/>
    <xf numFmtId="0" fontId="7" fillId="0" borderId="62" xfId="3" applyBorder="1" applyAlignment="1"/>
    <xf numFmtId="0" fontId="8" fillId="0" borderId="0" xfId="3" applyFont="1" applyBorder="1" applyAlignment="1">
      <alignment horizontal="right" vertical="center" wrapText="1"/>
    </xf>
    <xf numFmtId="0" fontId="0" fillId="0" borderId="63" xfId="0" applyBorder="1" applyAlignment="1"/>
    <xf numFmtId="0" fontId="7" fillId="8" borderId="62" xfId="3" applyFill="1" applyBorder="1" applyAlignment="1">
      <alignment horizontal="center"/>
    </xf>
    <xf numFmtId="0" fontId="41" fillId="0" borderId="0" xfId="3" applyFont="1" applyAlignment="1">
      <alignment horizontal="center" wrapText="1"/>
    </xf>
    <xf numFmtId="0" fontId="41" fillId="0" borderId="0" xfId="0" applyFont="1" applyAlignment="1">
      <alignment horizontal="center" wrapText="1"/>
    </xf>
    <xf numFmtId="0" fontId="7" fillId="0" borderId="62" xfId="3" applyBorder="1" applyAlignment="1">
      <alignment horizontal="center"/>
    </xf>
    <xf numFmtId="0" fontId="0" fillId="0" borderId="62" xfId="0" applyBorder="1" applyAlignment="1">
      <alignment horizontal="center"/>
    </xf>
    <xf numFmtId="0" fontId="8" fillId="0" borderId="0" xfId="3" applyFont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8" fillId="0" borderId="62" xfId="0" applyFont="1" applyBorder="1" applyAlignment="1"/>
    <xf numFmtId="0" fontId="8" fillId="0" borderId="62" xfId="3" applyFont="1" applyBorder="1" applyAlignment="1"/>
    <xf numFmtId="0" fontId="44" fillId="0" borderId="0" xfId="3" applyFont="1" applyAlignment="1">
      <alignment horizontal="center" wrapText="1"/>
    </xf>
    <xf numFmtId="0" fontId="41" fillId="0" borderId="0" xfId="0" applyFont="1" applyAlignment="1">
      <alignment wrapText="1"/>
    </xf>
    <xf numFmtId="0" fontId="41" fillId="0" borderId="0" xfId="0" applyFont="1" applyAlignment="1"/>
    <xf numFmtId="0" fontId="0" fillId="8" borderId="0" xfId="3" applyFont="1" applyFill="1" applyAlignment="1">
      <alignment horizontal="center" vertical="center" wrapText="1"/>
    </xf>
    <xf numFmtId="0" fontId="7" fillId="0" borderId="6" xfId="3" applyFont="1" applyFill="1" applyBorder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0" borderId="13" xfId="3" applyBorder="1" applyAlignment="1">
      <alignment horizontal="center"/>
    </xf>
    <xf numFmtId="0" fontId="7" fillId="0" borderId="0" xfId="3" applyBorder="1" applyAlignment="1">
      <alignment horizontal="center"/>
    </xf>
    <xf numFmtId="0" fontId="7" fillId="0" borderId="11" xfId="3" applyBorder="1" applyAlignment="1">
      <alignment horizontal="center"/>
    </xf>
    <xf numFmtId="0" fontId="0" fillId="0" borderId="8" xfId="3" applyFont="1" applyBorder="1" applyAlignment="1">
      <alignment horizontal="center" vertical="center"/>
    </xf>
    <xf numFmtId="0" fontId="0" fillId="0" borderId="9" xfId="3" applyFont="1" applyBorder="1" applyAlignment="1">
      <alignment horizontal="center" vertical="center"/>
    </xf>
    <xf numFmtId="0" fontId="0" fillId="0" borderId="12" xfId="3" applyFont="1" applyBorder="1" applyAlignment="1">
      <alignment horizontal="center" vertical="center"/>
    </xf>
    <xf numFmtId="173" fontId="7" fillId="0" borderId="14" xfId="2" applyNumberFormat="1" applyFont="1" applyFill="1" applyBorder="1" applyAlignment="1" applyProtection="1">
      <alignment horizontal="center" vertical="center"/>
    </xf>
    <xf numFmtId="173" fontId="7" fillId="0" borderId="9" xfId="2" applyNumberFormat="1" applyFont="1" applyFill="1" applyBorder="1" applyAlignment="1" applyProtection="1">
      <alignment horizontal="center" vertical="center"/>
    </xf>
    <xf numFmtId="173" fontId="7" fillId="0" borderId="12" xfId="2" applyNumberFormat="1" applyFont="1" applyFill="1" applyBorder="1" applyAlignment="1" applyProtection="1">
      <alignment horizontal="center" vertical="center"/>
    </xf>
    <xf numFmtId="0" fontId="10" fillId="0" borderId="0" xfId="3" applyFont="1" applyAlignment="1">
      <alignment horizontal="center"/>
    </xf>
    <xf numFmtId="0" fontId="19" fillId="0" borderId="0" xfId="3" applyFont="1" applyAlignment="1">
      <alignment horizontal="center"/>
    </xf>
    <xf numFmtId="0" fontId="19" fillId="0" borderId="8" xfId="3" applyFont="1" applyBorder="1" applyAlignment="1">
      <alignment horizontal="center" vertical="center"/>
    </xf>
    <xf numFmtId="0" fontId="19" fillId="0" borderId="9" xfId="3" applyFont="1" applyBorder="1" applyAlignment="1">
      <alignment horizontal="center" vertical="center"/>
    </xf>
    <xf numFmtId="172" fontId="13" fillId="0" borderId="9" xfId="3" applyNumberFormat="1" applyFont="1" applyFill="1" applyBorder="1" applyAlignment="1">
      <alignment horizontal="center" vertical="center"/>
    </xf>
    <xf numFmtId="0" fontId="16" fillId="2" borderId="0" xfId="3" applyFont="1" applyFill="1" applyBorder="1" applyAlignment="1">
      <alignment horizontal="left" vertical="center"/>
    </xf>
    <xf numFmtId="0" fontId="14" fillId="2" borderId="3" xfId="3" applyFont="1" applyFill="1" applyBorder="1" applyAlignment="1">
      <alignment horizontal="center" vertical="center"/>
    </xf>
    <xf numFmtId="0" fontId="14" fillId="2" borderId="4" xfId="3" applyFont="1" applyFill="1" applyBorder="1" applyAlignment="1">
      <alignment horizontal="center" vertical="center"/>
    </xf>
    <xf numFmtId="0" fontId="14" fillId="2" borderId="5" xfId="3" applyFont="1" applyFill="1" applyBorder="1" applyAlignment="1">
      <alignment horizontal="center" vertical="center"/>
    </xf>
    <xf numFmtId="0" fontId="24" fillId="2" borderId="6" xfId="3" applyFont="1" applyFill="1" applyBorder="1" applyAlignment="1">
      <alignment horizontal="center" vertical="center" wrapText="1"/>
    </xf>
    <xf numFmtId="0" fontId="24" fillId="2" borderId="0" xfId="3" applyFont="1" applyFill="1" applyBorder="1" applyAlignment="1">
      <alignment horizontal="center" vertical="center" wrapText="1"/>
    </xf>
    <xf numFmtId="172" fontId="24" fillId="2" borderId="0" xfId="2" applyNumberFormat="1" applyFont="1" applyFill="1" applyBorder="1" applyAlignment="1" applyProtection="1">
      <alignment horizontal="center" vertical="center" wrapText="1"/>
    </xf>
    <xf numFmtId="172" fontId="7" fillId="0" borderId="13" xfId="2" applyNumberFormat="1" applyFont="1" applyFill="1" applyBorder="1" applyAlignment="1" applyProtection="1">
      <alignment horizontal="center" vertical="center"/>
    </xf>
    <xf numFmtId="172" fontId="7" fillId="0" borderId="0" xfId="2" applyNumberFormat="1" applyFont="1" applyFill="1" applyBorder="1" applyAlignment="1" applyProtection="1">
      <alignment horizontal="center" vertical="center"/>
    </xf>
    <xf numFmtId="172" fontId="7" fillId="0" borderId="11" xfId="2" applyNumberFormat="1" applyFont="1" applyFill="1" applyBorder="1" applyAlignment="1" applyProtection="1">
      <alignment horizontal="center" vertical="center"/>
    </xf>
    <xf numFmtId="0" fontId="8" fillId="4" borderId="65" xfId="3" applyFont="1" applyFill="1" applyBorder="1" applyAlignment="1"/>
    <xf numFmtId="0" fontId="0" fillId="4" borderId="66" xfId="0" applyFill="1" applyBorder="1" applyAlignment="1"/>
    <xf numFmtId="0" fontId="0" fillId="4" borderId="67" xfId="0" applyFill="1" applyBorder="1" applyAlignment="1"/>
    <xf numFmtId="0" fontId="7" fillId="0" borderId="71" xfId="3" applyFont="1" applyBorder="1" applyAlignment="1"/>
    <xf numFmtId="0" fontId="7" fillId="0" borderId="72" xfId="3" applyFont="1" applyBorder="1" applyAlignment="1"/>
    <xf numFmtId="0" fontId="7" fillId="0" borderId="73" xfId="3" applyFont="1" applyBorder="1" applyAlignment="1"/>
    <xf numFmtId="0" fontId="7" fillId="0" borderId="68" xfId="3" applyBorder="1" applyAlignment="1"/>
    <xf numFmtId="0" fontId="7" fillId="0" borderId="74" xfId="3" applyFont="1" applyBorder="1" applyAlignment="1"/>
    <xf numFmtId="0" fontId="7" fillId="0" borderId="75" xfId="3" applyFont="1" applyBorder="1" applyAlignment="1"/>
    <xf numFmtId="0" fontId="7" fillId="0" borderId="76" xfId="3" applyFont="1" applyBorder="1" applyAlignment="1"/>
    <xf numFmtId="0" fontId="10" fillId="0" borderId="65" xfId="3" applyFont="1" applyBorder="1" applyAlignment="1">
      <alignment horizontal="center"/>
    </xf>
    <xf numFmtId="0" fontId="10" fillId="0" borderId="66" xfId="3" applyFont="1" applyBorder="1" applyAlignment="1">
      <alignment horizontal="center"/>
    </xf>
    <xf numFmtId="0" fontId="10" fillId="0" borderId="67" xfId="3" applyFont="1" applyBorder="1" applyAlignment="1">
      <alignment horizontal="center"/>
    </xf>
    <xf numFmtId="0" fontId="0" fillId="0" borderId="71" xfId="3" applyFont="1" applyBorder="1" applyAlignment="1"/>
    <xf numFmtId="0" fontId="7" fillId="0" borderId="69" xfId="3" applyBorder="1" applyAlignment="1"/>
    <xf numFmtId="0" fontId="7" fillId="0" borderId="70" xfId="3" applyBorder="1" applyAlignment="1"/>
    <xf numFmtId="0" fontId="0" fillId="0" borderId="74" xfId="3" applyFont="1" applyBorder="1" applyAlignment="1"/>
    <xf numFmtId="0" fontId="41" fillId="0" borderId="74" xfId="3" applyFont="1" applyBorder="1" applyAlignment="1"/>
    <xf numFmtId="0" fontId="41" fillId="0" borderId="75" xfId="3" applyFont="1" applyBorder="1" applyAlignment="1"/>
    <xf numFmtId="0" fontId="41" fillId="0" borderId="76" xfId="3" applyFont="1" applyBorder="1" applyAlignment="1"/>
    <xf numFmtId="0" fontId="8" fillId="0" borderId="0" xfId="3" applyFont="1" applyBorder="1" applyAlignment="1">
      <alignment horizontal="center" vertical="center"/>
    </xf>
    <xf numFmtId="0" fontId="0" fillId="0" borderId="73" xfId="0" applyBorder="1" applyAlignment="1"/>
    <xf numFmtId="0" fontId="0" fillId="0" borderId="74" xfId="3" applyFont="1" applyBorder="1" applyAlignment="1">
      <alignment wrapText="1"/>
    </xf>
    <xf numFmtId="0" fontId="0" fillId="0" borderId="76" xfId="0" applyBorder="1" applyAlignment="1"/>
    <xf numFmtId="0" fontId="0" fillId="0" borderId="69" xfId="0" applyBorder="1" applyAlignment="1"/>
    <xf numFmtId="0" fontId="0" fillId="0" borderId="70" xfId="0" applyBorder="1" applyAlignment="1"/>
    <xf numFmtId="0" fontId="7" fillId="0" borderId="77" xfId="3" applyBorder="1" applyAlignment="1"/>
    <xf numFmtId="0" fontId="0" fillId="0" borderId="77" xfId="0" applyBorder="1" applyAlignment="1"/>
    <xf numFmtId="0" fontId="0" fillId="0" borderId="78" xfId="0" applyBorder="1" applyAlignment="1"/>
    <xf numFmtId="0" fontId="25" fillId="7" borderId="15" xfId="76" applyFont="1" applyFill="1" applyBorder="1" applyAlignment="1">
      <alignment horizontal="center"/>
    </xf>
    <xf numFmtId="0" fontId="25" fillId="7" borderId="16" xfId="76" applyFont="1" applyFill="1" applyBorder="1" applyAlignment="1">
      <alignment horizontal="center"/>
    </xf>
    <xf numFmtId="0" fontId="25" fillId="7" borderId="17" xfId="76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42" fillId="4" borderId="65" xfId="76" applyFont="1" applyFill="1" applyBorder="1" applyAlignment="1">
      <alignment horizontal="center"/>
    </xf>
    <xf numFmtId="0" fontId="43" fillId="4" borderId="66" xfId="0" applyFont="1" applyFill="1" applyBorder="1" applyAlignment="1">
      <alignment horizontal="center"/>
    </xf>
    <xf numFmtId="0" fontId="43" fillId="4" borderId="67" xfId="0" applyFont="1" applyFill="1" applyBorder="1" applyAlignment="1">
      <alignment horizontal="center"/>
    </xf>
    <xf numFmtId="0" fontId="28" fillId="0" borderId="11" xfId="4" applyFont="1" applyBorder="1" applyAlignment="1">
      <alignment horizontal="center" wrapText="1"/>
    </xf>
    <xf numFmtId="0" fontId="26" fillId="0" borderId="31" xfId="3" applyFont="1" applyBorder="1" applyAlignment="1">
      <alignment horizontal="center" wrapText="1"/>
    </xf>
    <xf numFmtId="0" fontId="26" fillId="0" borderId="0" xfId="3" applyFont="1" applyAlignment="1">
      <alignment horizontal="center" wrapText="1"/>
    </xf>
    <xf numFmtId="168" fontId="28" fillId="7" borderId="15" xfId="4" applyNumberFormat="1" applyFont="1" applyFill="1" applyBorder="1" applyAlignment="1">
      <alignment horizontal="center"/>
    </xf>
    <xf numFmtId="168" fontId="28" fillId="7" borderId="16" xfId="4" applyNumberFormat="1" applyFont="1" applyFill="1" applyBorder="1" applyAlignment="1">
      <alignment horizontal="center"/>
    </xf>
    <xf numFmtId="168" fontId="28" fillId="7" borderId="17" xfId="4" applyNumberFormat="1" applyFont="1" applyFill="1" applyBorder="1" applyAlignment="1">
      <alignment horizontal="center"/>
    </xf>
    <xf numFmtId="0" fontId="28" fillId="7" borderId="15" xfId="4" applyFont="1" applyFill="1" applyBorder="1" applyAlignment="1">
      <alignment horizontal="center"/>
    </xf>
    <xf numFmtId="0" fontId="28" fillId="7" borderId="16" xfId="4" applyFont="1" applyFill="1" applyBorder="1" applyAlignment="1">
      <alignment horizontal="center"/>
    </xf>
    <xf numFmtId="0" fontId="28" fillId="7" borderId="17" xfId="4" applyFont="1" applyFill="1" applyBorder="1" applyAlignment="1">
      <alignment horizontal="center"/>
    </xf>
    <xf numFmtId="0" fontId="27" fillId="0" borderId="15" xfId="3" applyFont="1" applyBorder="1" applyAlignment="1">
      <alignment horizontal="center"/>
    </xf>
    <xf numFmtId="0" fontId="27" fillId="0" borderId="17" xfId="3" applyFont="1" applyBorder="1" applyAlignment="1">
      <alignment horizontal="center"/>
    </xf>
    <xf numFmtId="0" fontId="27" fillId="0" borderId="21" xfId="0" applyFont="1" applyBorder="1" applyAlignment="1">
      <alignment vertical="center" textRotation="90"/>
    </xf>
    <xf numFmtId="0" fontId="8" fillId="0" borderId="22" xfId="0" applyFont="1" applyBorder="1" applyAlignment="1">
      <alignment vertical="center" textRotation="90"/>
    </xf>
    <xf numFmtId="0" fontId="8" fillId="0" borderId="23" xfId="0" applyFont="1" applyBorder="1" applyAlignment="1">
      <alignment vertical="center" textRotation="90"/>
    </xf>
    <xf numFmtId="0" fontId="27" fillId="0" borderId="21" xfId="0" applyFont="1" applyBorder="1" applyAlignment="1">
      <alignment horizontal="center" vertical="center" textRotation="90"/>
    </xf>
    <xf numFmtId="0" fontId="27" fillId="0" borderId="22" xfId="0" applyFont="1" applyBorder="1" applyAlignment="1">
      <alignment horizontal="center" vertical="center" textRotation="90"/>
    </xf>
    <xf numFmtId="0" fontId="27" fillId="0" borderId="23" xfId="0" applyFont="1" applyBorder="1" applyAlignment="1">
      <alignment horizontal="center" vertical="center" textRotation="90"/>
    </xf>
    <xf numFmtId="0" fontId="27" fillId="0" borderId="21" xfId="0" applyFont="1" applyBorder="1" applyAlignment="1">
      <alignment horizontal="center" textRotation="90"/>
    </xf>
    <xf numFmtId="0" fontId="27" fillId="0" borderId="22" xfId="0" applyFont="1" applyBorder="1" applyAlignment="1">
      <alignment horizontal="center" textRotation="90"/>
    </xf>
    <xf numFmtId="0" fontId="27" fillId="0" borderId="23" xfId="0" applyFont="1" applyBorder="1" applyAlignment="1">
      <alignment horizontal="center" textRotation="90"/>
    </xf>
  </cellXfs>
  <cellStyles count="77">
    <cellStyle name="Comma" xfId="1" builtinId="3"/>
    <cellStyle name="Currency" xfId="2" builtinId="4"/>
    <cellStyle name="Excel Built-in Normal" xfId="3"/>
    <cellStyle name="Excel Built-in Normal 1" xfId="4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3" builtinId="8"/>
    <cellStyle name="Normal" xfId="0" builtinId="0"/>
    <cellStyle name="Normal 2" xfId="70"/>
    <cellStyle name="Normal 2 10" xfId="72"/>
    <cellStyle name="Normal 2 2" xfId="71"/>
    <cellStyle name="Normal 3" xfId="74"/>
    <cellStyle name="Normal 3 2" xfId="76"/>
    <cellStyle name="Normal_FORMATO UNICO DE AUTORIZACION DE CONSULTA DE BC - ampliado (3)" xfId="75"/>
    <cellStyle name="Percent" xfId="5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CC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53735"/>
      <rgbColor rgb="00EBF3E4"/>
      <rgbColor rgb="00EBF1DE"/>
      <rgbColor rgb="00660066"/>
      <rgbColor rgb="00FF8080"/>
      <rgbColor rgb="000066CC"/>
      <rgbColor rgb="00C6D9F1"/>
      <rgbColor rgb="00000080"/>
      <rgbColor rgb="00FF00FF"/>
      <rgbColor rgb="00FFFF66"/>
      <rgbColor rgb="0000FFFF"/>
      <rgbColor rgb="00800080"/>
      <rgbColor rgb="00800000"/>
      <rgbColor rgb="00008080"/>
      <rgbColor rgb="000000FF"/>
      <rgbColor rgb="0000CCFF"/>
      <rgbColor rgb="00D9D9D9"/>
      <rgbColor rgb="00CCFFCC"/>
      <rgbColor rgb="00FFFF99"/>
      <rgbColor rgb="00B3B3B3"/>
      <rgbColor rgb="00E6B9B8"/>
      <rgbColor rgb="00CC99FF"/>
      <rgbColor rgb="00FFCC99"/>
      <rgbColor rgb="003366FF"/>
      <rgbColor rgb="0033CCCC"/>
      <rgbColor rgb="0066FF00"/>
      <rgbColor rgb="00FFD320"/>
      <rgbColor rgb="00FF9900"/>
      <rgbColor rgb="00FF6600"/>
      <rgbColor rgb="00666666"/>
      <rgbColor rgb="00B2B2B2"/>
      <rgbColor rgb="00003366"/>
      <rgbColor rgb="00339966"/>
      <rgbColor rgb="00003300"/>
      <rgbColor rgb="00333300"/>
      <rgbColor rgb="00993300"/>
      <rgbColor rgb="00993366"/>
      <rgbColor rgb="00442759"/>
      <rgbColor rgb="00333333"/>
    </indexedColors>
    <mruColors>
      <color rgb="FF0000FF"/>
      <color rgb="FFFF0000"/>
      <color rgb="FFEAEAEA"/>
      <color rgb="FFDDDDDD"/>
      <color rgb="FFFFFFCC"/>
      <color rgb="FF00FF00"/>
      <color rgb="FFFB77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25552305476403"/>
          <c:y val="0.21285098822832699"/>
          <c:w val="0.67151091303883403"/>
          <c:h val="0.530119442379983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Savings!$AG$2</c:f>
              <c:strCache>
                <c:ptCount val="1"/>
                <c:pt idx="0">
                  <c:v>CFE Bill (Year 1)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Savings!$J$6</c:f>
              <c:numCache>
                <c:formatCode>_("$"* #,##0_);_("$"* \(#,##0\);_("$"* "-"_);_(@_)</c:formatCode>
                <c:ptCount val="1"/>
                <c:pt idx="0">
                  <c:v>60227.244000000006</c:v>
                </c:pt>
              </c:numCache>
            </c:numRef>
          </c:val>
        </c:ser>
        <c:ser>
          <c:idx val="1"/>
          <c:order val="1"/>
          <c:tx>
            <c:strRef>
              <c:f>Savings!$AH$2</c:f>
              <c:strCache>
                <c:ptCount val="1"/>
                <c:pt idx="0">
                  <c:v>CFE + MySOL Bill (Year 1)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Savings!$AC$6</c:f>
              <c:numCache>
                <c:formatCode>[$$-409]#,##0;[Red]\-[$$-409]#,##0</c:formatCode>
                <c:ptCount val="1"/>
                <c:pt idx="0">
                  <c:v>60227.244000000006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238772264"/>
        <c:axId val="238765992"/>
      </c:barChart>
      <c:catAx>
        <c:axId val="238772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659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8765992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722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7325558505768199"/>
          <c:y val="9.2369161686114504E-2"/>
          <c:w val="0.69185977842885904"/>
          <c:h val="6.42570281124495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530289475804199"/>
          <c:y val="0.23293127013666001"/>
          <c:w val="0.65706121217003599"/>
          <c:h val="0.461846483891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Savings!$J$2</c:f>
              <c:strCache>
                <c:ptCount val="1"/>
                <c:pt idx="0">
                  <c:v>CFE Bill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Savings!$J$6:$J$20</c:f>
              <c:numCache>
                <c:formatCode>_("$"* #,##0_);_("$"* \(#,##0\);_("$"* "-"_);_(@_)</c:formatCode>
                <c:ptCount val="15"/>
                <c:pt idx="0">
                  <c:v>60227.244000000006</c:v>
                </c:pt>
                <c:pt idx="1">
                  <c:v>65045.423520000011</c:v>
                </c:pt>
                <c:pt idx="2">
                  <c:v>70249.057401600017</c:v>
                </c:pt>
                <c:pt idx="3">
                  <c:v>75868.981993728026</c:v>
                </c:pt>
                <c:pt idx="4">
                  <c:v>81938.500553226288</c:v>
                </c:pt>
                <c:pt idx="5">
                  <c:v>88493.580597484382</c:v>
                </c:pt>
                <c:pt idx="6">
                  <c:v>95573.067045283155</c:v>
                </c:pt>
                <c:pt idx="7">
                  <c:v>103218.9124089058</c:v>
                </c:pt>
                <c:pt idx="8">
                  <c:v>111476.4254016183</c:v>
                </c:pt>
                <c:pt idx="9">
                  <c:v>120394.53943374776</c:v>
                </c:pt>
                <c:pt idx="10">
                  <c:v>130026.10258844761</c:v>
                </c:pt>
                <c:pt idx="11">
                  <c:v>140428.19079552341</c:v>
                </c:pt>
                <c:pt idx="12">
                  <c:v>151662.44605916529</c:v>
                </c:pt>
                <c:pt idx="13">
                  <c:v>163795.44174389855</c:v>
                </c:pt>
                <c:pt idx="14">
                  <c:v>176899.07708341046</c:v>
                </c:pt>
              </c:numCache>
            </c:numRef>
          </c:val>
          <c:extLst/>
        </c:ser>
        <c:ser>
          <c:idx val="1"/>
          <c:order val="1"/>
          <c:tx>
            <c:strRef>
              <c:f>Savings!$AC$2</c:f>
              <c:strCache>
                <c:ptCount val="1"/>
                <c:pt idx="0">
                  <c:v>CFE + MySOL Bill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Savings!$AC$6:$AC$20</c:f>
              <c:numCache>
                <c:formatCode>[$$-409]#,##0;[Red]\-[$$-409]#,##0</c:formatCode>
                <c:ptCount val="15"/>
                <c:pt idx="0">
                  <c:v>60227.244000000006</c:v>
                </c:pt>
                <c:pt idx="1">
                  <c:v>35341.908336</c:v>
                </c:pt>
                <c:pt idx="2">
                  <c:v>38169.261002880005</c:v>
                </c:pt>
                <c:pt idx="3">
                  <c:v>41222.801883110413</c:v>
                </c:pt>
                <c:pt idx="4">
                  <c:v>44520.626033759239</c:v>
                </c:pt>
                <c:pt idx="5">
                  <c:v>48082.276116459994</c:v>
                </c:pt>
                <c:pt idx="6">
                  <c:v>51928.858205776785</c:v>
                </c:pt>
                <c:pt idx="7">
                  <c:v>56083.166862238933</c:v>
                </c:pt>
                <c:pt idx="8">
                  <c:v>60569.820211218052</c:v>
                </c:pt>
                <c:pt idx="9">
                  <c:v>65415.405828115494</c:v>
                </c:pt>
                <c:pt idx="10">
                  <c:v>70648.638294364748</c:v>
                </c:pt>
                <c:pt idx="11">
                  <c:v>76300.529357913911</c:v>
                </c:pt>
                <c:pt idx="12">
                  <c:v>82404.571706547038</c:v>
                </c:pt>
                <c:pt idx="13">
                  <c:v>88996.937443070783</c:v>
                </c:pt>
                <c:pt idx="14">
                  <c:v>96116.692438516489</c:v>
                </c:pt>
              </c:numCache>
            </c:numRef>
          </c:val>
          <c:extLst/>
        </c:ser>
        <c:ser>
          <c:idx val="2"/>
          <c:order val="2"/>
          <c:tx>
            <c:strRef>
              <c:f>Savings!$AD$2</c:f>
              <c:strCache>
                <c:ptCount val="1"/>
                <c:pt idx="0">
                  <c:v>Savings ($)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Savings!$AD$6:$AD$20</c:f>
              <c:numCache>
                <c:formatCode>[$$-409]#,##0;[Red]\-[$$-409]#,##0</c:formatCode>
                <c:ptCount val="15"/>
                <c:pt idx="0">
                  <c:v>0</c:v>
                </c:pt>
                <c:pt idx="1">
                  <c:v>29703.515184000011</c:v>
                </c:pt>
                <c:pt idx="2">
                  <c:v>32079.796398720013</c:v>
                </c:pt>
                <c:pt idx="3">
                  <c:v>34646.180110617614</c:v>
                </c:pt>
                <c:pt idx="4">
                  <c:v>37417.874519467048</c:v>
                </c:pt>
                <c:pt idx="5">
                  <c:v>40411.304481024388</c:v>
                </c:pt>
                <c:pt idx="6">
                  <c:v>43644.208839506369</c:v>
                </c:pt>
                <c:pt idx="7">
                  <c:v>47135.745546666869</c:v>
                </c:pt>
                <c:pt idx="8">
                  <c:v>50906.605190400245</c:v>
                </c:pt>
                <c:pt idx="9">
                  <c:v>54979.133605632269</c:v>
                </c:pt>
                <c:pt idx="10">
                  <c:v>59377.464294082863</c:v>
                </c:pt>
                <c:pt idx="11">
                  <c:v>64127.661437609495</c:v>
                </c:pt>
                <c:pt idx="12">
                  <c:v>69257.874352618252</c:v>
                </c:pt>
                <c:pt idx="13">
                  <c:v>74798.504300827772</c:v>
                </c:pt>
                <c:pt idx="14">
                  <c:v>80782.384644893973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38773048"/>
        <c:axId val="238763248"/>
      </c:barChart>
      <c:catAx>
        <c:axId val="238773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63248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238763248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73048"/>
        <c:crosses val="autoZero"/>
        <c:crossBetween val="between"/>
      </c:valAx>
      <c:spPr>
        <a:noFill/>
        <a:ln w="12700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69908902760531"/>
          <c:y val="5.5118407368890211E-2"/>
          <c:w val="0.7652827392910303"/>
          <c:h val="0.15261012554153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25552305476403"/>
          <c:y val="0.21285098822832699"/>
          <c:w val="0.67151091303883403"/>
          <c:h val="0.530119442379983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Savings!$AG$3</c:f>
              <c:strCache>
                <c:ptCount val="1"/>
                <c:pt idx="0">
                  <c:v>Recibo CFE (Año 1)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Savings!$J$6</c:f>
              <c:numCache>
                <c:formatCode>_("$"* #,##0_);_("$"* \(#,##0\);_("$"* "-"_);_(@_)</c:formatCode>
                <c:ptCount val="1"/>
                <c:pt idx="0">
                  <c:v>60227.244000000006</c:v>
                </c:pt>
              </c:numCache>
            </c:numRef>
          </c:val>
        </c:ser>
        <c:ser>
          <c:idx val="1"/>
          <c:order val="1"/>
          <c:tx>
            <c:strRef>
              <c:f>Savings!$AH$3</c:f>
              <c:strCache>
                <c:ptCount val="1"/>
                <c:pt idx="0">
                  <c:v>Recibo CFE + MySOL (Año 1)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Savings!$AC$6</c:f>
              <c:numCache>
                <c:formatCode>[$$-409]#,##0;[Red]\-[$$-409]#,##0</c:formatCode>
                <c:ptCount val="1"/>
                <c:pt idx="0">
                  <c:v>60227.244000000006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238766384"/>
        <c:axId val="238769520"/>
      </c:barChart>
      <c:catAx>
        <c:axId val="238766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695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8769520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66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7325558505768199"/>
          <c:y val="9.2369161686114504E-2"/>
          <c:w val="0.69185977842885904"/>
          <c:h val="6.42570281124495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530289475804199"/>
          <c:y val="0.23293127013666001"/>
          <c:w val="0.65706121217003599"/>
          <c:h val="0.461846483891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Savings!$J$3</c:f>
              <c:strCache>
                <c:ptCount val="1"/>
                <c:pt idx="0">
                  <c:v>Recibo CFE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Savings!$J$6:$J$20</c:f>
              <c:numCache>
                <c:formatCode>_("$"* #,##0_);_("$"* \(#,##0\);_("$"* "-"_);_(@_)</c:formatCode>
                <c:ptCount val="15"/>
                <c:pt idx="0">
                  <c:v>60227.244000000006</c:v>
                </c:pt>
                <c:pt idx="1">
                  <c:v>65045.423520000011</c:v>
                </c:pt>
                <c:pt idx="2">
                  <c:v>70249.057401600017</c:v>
                </c:pt>
                <c:pt idx="3">
                  <c:v>75868.981993728026</c:v>
                </c:pt>
                <c:pt idx="4">
                  <c:v>81938.500553226288</c:v>
                </c:pt>
                <c:pt idx="5">
                  <c:v>88493.580597484382</c:v>
                </c:pt>
                <c:pt idx="6">
                  <c:v>95573.067045283155</c:v>
                </c:pt>
                <c:pt idx="7">
                  <c:v>103218.9124089058</c:v>
                </c:pt>
                <c:pt idx="8">
                  <c:v>111476.4254016183</c:v>
                </c:pt>
                <c:pt idx="9">
                  <c:v>120394.53943374776</c:v>
                </c:pt>
                <c:pt idx="10">
                  <c:v>130026.10258844761</c:v>
                </c:pt>
                <c:pt idx="11">
                  <c:v>140428.19079552341</c:v>
                </c:pt>
                <c:pt idx="12">
                  <c:v>151662.44605916529</c:v>
                </c:pt>
                <c:pt idx="13">
                  <c:v>163795.44174389855</c:v>
                </c:pt>
                <c:pt idx="14">
                  <c:v>176899.07708341046</c:v>
                </c:pt>
              </c:numCache>
            </c:numRef>
          </c:val>
          <c:extLst/>
        </c:ser>
        <c:ser>
          <c:idx val="1"/>
          <c:order val="1"/>
          <c:tx>
            <c:strRef>
              <c:f>Savings!$AC$3</c:f>
              <c:strCache>
                <c:ptCount val="1"/>
                <c:pt idx="0">
                  <c:v>Recibo CFE + MySOL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Savings!$AC$6:$AC$20</c:f>
              <c:numCache>
                <c:formatCode>[$$-409]#,##0;[Red]\-[$$-409]#,##0</c:formatCode>
                <c:ptCount val="15"/>
                <c:pt idx="0">
                  <c:v>60227.244000000006</c:v>
                </c:pt>
                <c:pt idx="1">
                  <c:v>35341.908336</c:v>
                </c:pt>
                <c:pt idx="2">
                  <c:v>38169.261002880005</c:v>
                </c:pt>
                <c:pt idx="3">
                  <c:v>41222.801883110413</c:v>
                </c:pt>
                <c:pt idx="4">
                  <c:v>44520.626033759239</c:v>
                </c:pt>
                <c:pt idx="5">
                  <c:v>48082.276116459994</c:v>
                </c:pt>
                <c:pt idx="6">
                  <c:v>51928.858205776785</c:v>
                </c:pt>
                <c:pt idx="7">
                  <c:v>56083.166862238933</c:v>
                </c:pt>
                <c:pt idx="8">
                  <c:v>60569.820211218052</c:v>
                </c:pt>
                <c:pt idx="9">
                  <c:v>65415.405828115494</c:v>
                </c:pt>
                <c:pt idx="10">
                  <c:v>70648.638294364748</c:v>
                </c:pt>
                <c:pt idx="11">
                  <c:v>76300.529357913911</c:v>
                </c:pt>
                <c:pt idx="12">
                  <c:v>82404.571706547038</c:v>
                </c:pt>
                <c:pt idx="13">
                  <c:v>88996.937443070783</c:v>
                </c:pt>
                <c:pt idx="14">
                  <c:v>96116.692438516489</c:v>
                </c:pt>
              </c:numCache>
            </c:numRef>
          </c:val>
          <c:extLst/>
        </c:ser>
        <c:ser>
          <c:idx val="2"/>
          <c:order val="2"/>
          <c:tx>
            <c:strRef>
              <c:f>Savings!$AD$3</c:f>
              <c:strCache>
                <c:ptCount val="1"/>
                <c:pt idx="0">
                  <c:v>Ahorros $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Savings!$AD$6:$AD$20</c:f>
              <c:numCache>
                <c:formatCode>[$$-409]#,##0;[Red]\-[$$-409]#,##0</c:formatCode>
                <c:ptCount val="15"/>
                <c:pt idx="0">
                  <c:v>0</c:v>
                </c:pt>
                <c:pt idx="1">
                  <c:v>29703.515184000011</c:v>
                </c:pt>
                <c:pt idx="2">
                  <c:v>32079.796398720013</c:v>
                </c:pt>
                <c:pt idx="3">
                  <c:v>34646.180110617614</c:v>
                </c:pt>
                <c:pt idx="4">
                  <c:v>37417.874519467048</c:v>
                </c:pt>
                <c:pt idx="5">
                  <c:v>40411.304481024388</c:v>
                </c:pt>
                <c:pt idx="6">
                  <c:v>43644.208839506369</c:v>
                </c:pt>
                <c:pt idx="7">
                  <c:v>47135.745546666869</c:v>
                </c:pt>
                <c:pt idx="8">
                  <c:v>50906.605190400245</c:v>
                </c:pt>
                <c:pt idx="9">
                  <c:v>54979.133605632269</c:v>
                </c:pt>
                <c:pt idx="10">
                  <c:v>59377.464294082863</c:v>
                </c:pt>
                <c:pt idx="11">
                  <c:v>64127.661437609495</c:v>
                </c:pt>
                <c:pt idx="12">
                  <c:v>69257.874352618252</c:v>
                </c:pt>
                <c:pt idx="13">
                  <c:v>74798.504300827772</c:v>
                </c:pt>
                <c:pt idx="14">
                  <c:v>80782.384644893973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38777752"/>
        <c:axId val="238775400"/>
      </c:barChart>
      <c:catAx>
        <c:axId val="23877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Año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75400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238775400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77752"/>
        <c:crosses val="autoZero"/>
        <c:crossBetween val="between"/>
      </c:valAx>
      <c:spPr>
        <a:noFill/>
        <a:ln w="12700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69908902760531"/>
          <c:y val="5.5118407368890211E-2"/>
          <c:w val="0.7652827392910303"/>
          <c:h val="0.15261012554153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0</xdr:rowOff>
        </xdr:from>
        <xdr:to>
          <xdr:col>3</xdr:col>
          <xdr:colOff>1638300</xdr:colOff>
          <xdr:row>23</xdr:row>
          <xdr:rowOff>9525</xdr:rowOff>
        </xdr:to>
        <xdr:sp macro="" textlink="">
          <xdr:nvSpPr>
            <xdr:cNvPr id="77852" name="Button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4</xdr:col>
          <xdr:colOff>0</xdr:colOff>
          <xdr:row>28</xdr:row>
          <xdr:rowOff>9525</xdr:rowOff>
        </xdr:to>
        <xdr:sp macro="" textlink="">
          <xdr:nvSpPr>
            <xdr:cNvPr id="77859" name="Button 35" hidden="1">
              <a:extLst>
                <a:ext uri="{63B3BB69-23CF-44E3-9099-C40C66FF867C}">
                  <a14:compatExt spid="_x0000_s7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29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77875" name="Button 51" hidden="1">
              <a:extLst>
                <a:ext uri="{63B3BB69-23CF-44E3-9099-C40C66FF867C}">
                  <a14:compatExt spid="_x0000_s77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4</xdr:col>
      <xdr:colOff>523875</xdr:colOff>
      <xdr:row>109</xdr:row>
      <xdr:rowOff>123825</xdr:rowOff>
    </xdr:to>
    <xdr:graphicFrame macro="">
      <xdr:nvGraphicFramePr>
        <xdr:cNvPr id="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89</xdr:row>
      <xdr:rowOff>0</xdr:rowOff>
    </xdr:from>
    <xdr:to>
      <xdr:col>7</xdr:col>
      <xdr:colOff>0</xdr:colOff>
      <xdr:row>109</xdr:row>
      <xdr:rowOff>127000</xdr:rowOff>
    </xdr:to>
    <xdr:graphicFrame macro="">
      <xdr:nvGraphicFramePr>
        <xdr:cNvPr id="2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8468</xdr:rowOff>
    </xdr:from>
    <xdr:to>
      <xdr:col>5</xdr:col>
      <xdr:colOff>114300</xdr:colOff>
      <xdr:row>52</xdr:row>
      <xdr:rowOff>56073</xdr:rowOff>
    </xdr:to>
    <xdr:sp macro="" textlink="" fLocksText="0">
      <xdr:nvSpPr>
        <xdr:cNvPr id="14" name="Picture 14"/>
        <xdr:cNvSpPr>
          <a:spLocks noChangeArrowheads="1"/>
        </xdr:cNvSpPr>
      </xdr:nvSpPr>
      <xdr:spPr bwMode="auto">
        <a:xfrm>
          <a:off x="0" y="7895168"/>
          <a:ext cx="4038600" cy="231455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  <a:extLs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vertOverflow="clip" wrap="square" lIns="90000" tIns="46800" rIns="90000" bIns="46800" anchor="t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5</xdr:col>
      <xdr:colOff>113349</xdr:colOff>
      <xdr:row>38</xdr:row>
      <xdr:rowOff>0</xdr:rowOff>
    </xdr:from>
    <xdr:to>
      <xdr:col>7</xdr:col>
      <xdr:colOff>0</xdr:colOff>
      <xdr:row>52</xdr:row>
      <xdr:rowOff>61858</xdr:rowOff>
    </xdr:to>
    <xdr:pic>
      <xdr:nvPicPr>
        <xdr:cNvPr id="15" name="Graphics 2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028124" y="7486650"/>
          <a:ext cx="4677726" cy="232880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791935</xdr:colOff>
      <xdr:row>4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791935</xdr:colOff>
      <xdr:row>68</xdr:row>
      <xdr:rowOff>9525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96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149</xdr:row>
      <xdr:rowOff>0</xdr:rowOff>
    </xdr:from>
    <xdr:to>
      <xdr:col>3</xdr:col>
      <xdr:colOff>791935</xdr:colOff>
      <xdr:row>154</xdr:row>
      <xdr:rowOff>76200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55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230</xdr:row>
      <xdr:rowOff>0</xdr:rowOff>
    </xdr:from>
    <xdr:to>
      <xdr:col>3</xdr:col>
      <xdr:colOff>791935</xdr:colOff>
      <xdr:row>235</xdr:row>
      <xdr:rowOff>76200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48200"/>
          <a:ext cx="3163660" cy="885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4</xdr:col>
      <xdr:colOff>523875</xdr:colOff>
      <xdr:row>109</xdr:row>
      <xdr:rowOff>123825</xdr:rowOff>
    </xdr:to>
    <xdr:graphicFrame macro="">
      <xdr:nvGraphicFramePr>
        <xdr:cNvPr id="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89</xdr:row>
      <xdr:rowOff>0</xdr:rowOff>
    </xdr:from>
    <xdr:to>
      <xdr:col>7</xdr:col>
      <xdr:colOff>1</xdr:colOff>
      <xdr:row>109</xdr:row>
      <xdr:rowOff>127000</xdr:rowOff>
    </xdr:to>
    <xdr:graphicFrame macro="">
      <xdr:nvGraphicFramePr>
        <xdr:cNvPr id="1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8468</xdr:rowOff>
    </xdr:from>
    <xdr:to>
      <xdr:col>5</xdr:col>
      <xdr:colOff>114300</xdr:colOff>
      <xdr:row>52</xdr:row>
      <xdr:rowOff>56073</xdr:rowOff>
    </xdr:to>
    <xdr:sp macro="" textlink="" fLocksText="0">
      <xdr:nvSpPr>
        <xdr:cNvPr id="13" name="Picture 14"/>
        <xdr:cNvSpPr>
          <a:spLocks noChangeArrowheads="1"/>
        </xdr:cNvSpPr>
      </xdr:nvSpPr>
      <xdr:spPr bwMode="auto">
        <a:xfrm>
          <a:off x="0" y="7895168"/>
          <a:ext cx="4038600" cy="231455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  <a:extLs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vertOverflow="clip" wrap="square" lIns="90000" tIns="46800" rIns="90000" bIns="46800" anchor="t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5</xdr:col>
      <xdr:colOff>113349</xdr:colOff>
      <xdr:row>38</xdr:row>
      <xdr:rowOff>0</xdr:rowOff>
    </xdr:from>
    <xdr:to>
      <xdr:col>7</xdr:col>
      <xdr:colOff>9525</xdr:colOff>
      <xdr:row>52</xdr:row>
      <xdr:rowOff>61858</xdr:rowOff>
    </xdr:to>
    <xdr:pic>
      <xdr:nvPicPr>
        <xdr:cNvPr id="14" name="Graphics 2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037649" y="7886700"/>
          <a:ext cx="4372926" cy="232880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791935</xdr:colOff>
      <xdr:row>4</xdr:row>
      <xdr:rowOff>9525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791935</xdr:colOff>
      <xdr:row>68</xdr:row>
      <xdr:rowOff>9525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96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149</xdr:row>
      <xdr:rowOff>0</xdr:rowOff>
    </xdr:from>
    <xdr:to>
      <xdr:col>3</xdr:col>
      <xdr:colOff>791935</xdr:colOff>
      <xdr:row>154</xdr:row>
      <xdr:rowOff>76200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55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230</xdr:row>
      <xdr:rowOff>0</xdr:rowOff>
    </xdr:from>
    <xdr:to>
      <xdr:col>3</xdr:col>
      <xdr:colOff>791935</xdr:colOff>
      <xdr:row>235</xdr:row>
      <xdr:rowOff>76200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48200"/>
          <a:ext cx="3163660" cy="885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app.cfe.gob.mx/Aplicaciones/CCFE/Tarifas/Tarifas/tarifas_casa.asp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app.cfe.gob.mx/Aplicaciones/CCFE/Tarifas/Tarifas/Tarifas_industria.asp?Tarifa=CMABT&amp;Anio=2017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http://app.cfe.gob.mx/Aplicaciones/CCFE/Tarifas/Tarifas/tarifas_casa.as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pane ySplit="1" topLeftCell="A2" activePane="bottomLeft" state="frozen"/>
      <selection sqref="A1:O10"/>
      <selection pane="bottomLeft" activeCell="A2" sqref="A2"/>
    </sheetView>
  </sheetViews>
  <sheetFormatPr defaultRowHeight="10.5" x14ac:dyDescent="0.15"/>
  <cols>
    <col min="1" max="1" width="30.28515625" style="76" bestFit="1" customWidth="1"/>
    <col min="2" max="2" width="11.5703125" style="76" bestFit="1" customWidth="1"/>
    <col min="3" max="4" width="11.5703125" style="231" customWidth="1"/>
    <col min="5" max="5" width="7.28515625" style="76" bestFit="1" customWidth="1"/>
    <col min="6" max="6" width="32.5703125" style="76" bestFit="1" customWidth="1"/>
    <col min="7" max="7" width="11.5703125" style="76" bestFit="1" customWidth="1"/>
    <col min="8" max="16384" width="9.140625" style="76"/>
  </cols>
  <sheetData>
    <row r="1" spans="1:7" ht="11.25" thickBot="1" x14ac:dyDescent="0.2">
      <c r="A1" s="470" t="s">
        <v>22</v>
      </c>
      <c r="B1" s="472"/>
      <c r="C1" s="472"/>
      <c r="D1" s="471"/>
      <c r="F1" s="470" t="s">
        <v>203</v>
      </c>
      <c r="G1" s="471"/>
    </row>
    <row r="2" spans="1:7" ht="11.25" thickTop="1" x14ac:dyDescent="0.15">
      <c r="A2" s="91" t="s">
        <v>166</v>
      </c>
      <c r="B2" s="369">
        <v>18.5</v>
      </c>
      <c r="C2" s="369"/>
      <c r="D2" s="370"/>
      <c r="F2" s="91" t="s">
        <v>196</v>
      </c>
      <c r="G2" s="92">
        <f>IF(Inputs!$B$18="DAC",INDEX(CFE_History_DAC!$A$4:$DR$27,MATCH(VLOOKUP(Inputs!$B$20,ListData!$B$2:$C$12,2,FALSE),CFE_History_DAC!$A$4:$A$27,0)+1,MATCH(CFE_RatePeriod,CFE_History_DAC!$A$3:$DR$3,0)),IF(Inputs!$B$18="Tarifa 2",INDEX(CFE_History_Tarifa2!$B$4:$DR$9,6,MATCH(CFE_RatePeriod,CFE_History_Tarifa2!$B$3:$DR$3,0)),"NaN"))</f>
        <v>99.95</v>
      </c>
    </row>
    <row r="3" spans="1:7" x14ac:dyDescent="0.15">
      <c r="A3" s="91" t="s">
        <v>17</v>
      </c>
      <c r="B3" s="371">
        <v>0.16</v>
      </c>
      <c r="C3" s="371"/>
      <c r="D3" s="372"/>
      <c r="F3" s="91" t="s">
        <v>197</v>
      </c>
      <c r="G3" s="92">
        <f>IF(Inputs!$B$18="DAC",INDEX(CFE_History_DAC!$A$4:$DR$27,MATCH(VLOOKUP(Inputs!$B$20,ListData!$B$2:$C$12,2,FALSE),CFE_History_DAC!$A$4:$A$27,0)+2,MATCH(CFE_RatePeriod,CFE_History_DAC!$A$3:$DR$3,0)),IF(Inputs!$B$18="Tarifa 2",(MIN(Inputs!$B$15,50*12)*INDEX(CFE_History_Tarifa2!$B$4:$DR$9,2,MATCH(CFE_RatePeriod,CFE_History_Tarifa2!$B$3:$DR$3,0))+MAX(0,MIN(Inputs!$B$15-50*12,50*12))*INDEX(CFE_History_Tarifa2!$B$4:$DR$9,3,MATCH(CFE_RatePeriod,CFE_History_Tarifa2!$B$3:$DR$3,0))+MAX(Inputs!$B$15-100*12,0)*INDEX(CFE_History_Tarifa2!$B$4:$DR$9,4,MATCH(CFE_RatePeriod,CFE_History_Tarifa2!$B$3:$DR$3,0)))/Inputs!$B$15,"NaN"))</f>
        <v>4.66</v>
      </c>
    </row>
    <row r="4" spans="1:7" x14ac:dyDescent="0.15">
      <c r="A4" s="91" t="s">
        <v>82</v>
      </c>
      <c r="B4" s="371">
        <v>0.03</v>
      </c>
      <c r="C4" s="371"/>
      <c r="D4" s="372"/>
      <c r="F4" s="91" t="s">
        <v>193</v>
      </c>
      <c r="G4" s="98">
        <f>$G$3*(1+Inputs!$B$21)</f>
        <v>5.1260000000000003</v>
      </c>
    </row>
    <row r="5" spans="1:7" x14ac:dyDescent="0.15">
      <c r="A5" s="91" t="s">
        <v>202</v>
      </c>
      <c r="B5" s="371">
        <v>0.3</v>
      </c>
      <c r="C5" s="371"/>
      <c r="D5" s="372"/>
      <c r="F5" s="91" t="s">
        <v>186</v>
      </c>
      <c r="G5" s="93">
        <f>Savings!$J$6</f>
        <v>60227.244000000006</v>
      </c>
    </row>
    <row r="6" spans="1:7" x14ac:dyDescent="0.15">
      <c r="A6" s="91" t="s">
        <v>18</v>
      </c>
      <c r="B6" s="371">
        <v>0.08</v>
      </c>
      <c r="C6" s="371"/>
      <c r="D6" s="372"/>
      <c r="F6" s="91"/>
      <c r="G6" s="87"/>
    </row>
    <row r="7" spans="1:7" x14ac:dyDescent="0.15">
      <c r="A7" s="91"/>
      <c r="B7" s="86"/>
      <c r="C7" s="86"/>
      <c r="D7" s="87"/>
      <c r="F7" s="91" t="s">
        <v>611</v>
      </c>
      <c r="G7" s="94">
        <f>G4*(1-Inputs_MySOL!B26)</f>
        <v>4.6134000000000004</v>
      </c>
    </row>
    <row r="8" spans="1:7" x14ac:dyDescent="0.15">
      <c r="A8" s="91" t="s">
        <v>210</v>
      </c>
      <c r="B8" s="373">
        <v>0.9</v>
      </c>
      <c r="C8" s="373"/>
      <c r="D8" s="374"/>
      <c r="F8" s="91" t="s">
        <v>612</v>
      </c>
      <c r="G8" s="93">
        <f>Savings!AC6</f>
        <v>60227.244000000006</v>
      </c>
    </row>
    <row r="9" spans="1:7" x14ac:dyDescent="0.15">
      <c r="A9" s="91" t="s">
        <v>617</v>
      </c>
      <c r="B9" s="161">
        <f>1-SUM(B8:B8)</f>
        <v>9.9999999999999978E-2</v>
      </c>
      <c r="C9" s="161"/>
      <c r="D9" s="375"/>
      <c r="F9" s="91" t="s">
        <v>209</v>
      </c>
      <c r="G9" s="226">
        <f>Savings!$AE$6</f>
        <v>0</v>
      </c>
    </row>
    <row r="10" spans="1:7" x14ac:dyDescent="0.15">
      <c r="A10" s="91"/>
      <c r="B10" s="86"/>
      <c r="C10" s="86"/>
      <c r="D10" s="87"/>
      <c r="F10" s="91"/>
      <c r="G10" s="87"/>
    </row>
    <row r="11" spans="1:7" x14ac:dyDescent="0.15">
      <c r="A11" s="91" t="s">
        <v>83</v>
      </c>
      <c r="B11" s="371">
        <v>3.5000000000000003E-2</v>
      </c>
      <c r="C11" s="371"/>
      <c r="D11" s="372"/>
      <c r="F11" s="91" t="s">
        <v>38</v>
      </c>
      <c r="G11" s="124">
        <f>Inputs!$I$4</f>
        <v>0</v>
      </c>
    </row>
    <row r="12" spans="1:7" x14ac:dyDescent="0.15">
      <c r="A12" s="91" t="s">
        <v>190</v>
      </c>
      <c r="B12" s="371">
        <v>0</v>
      </c>
      <c r="C12" s="371"/>
      <c r="D12" s="372"/>
      <c r="F12" s="91" t="s">
        <v>180</v>
      </c>
      <c r="G12" s="94">
        <f>VLOOKUP(Inputs!$F$4,Components!$A$2:$N$13,12,FALSE)</f>
        <v>270</v>
      </c>
    </row>
    <row r="13" spans="1:7" x14ac:dyDescent="0.15">
      <c r="A13" s="91"/>
      <c r="B13" s="376"/>
      <c r="C13" s="376"/>
      <c r="D13" s="226"/>
      <c r="F13" s="91" t="s">
        <v>181</v>
      </c>
      <c r="G13" s="94">
        <f>VLOOKUP(Inputs!$F$4,Components!$A$2:$N$13,13,FALSE)</f>
        <v>247.9</v>
      </c>
    </row>
    <row r="14" spans="1:7" x14ac:dyDescent="0.15">
      <c r="A14" s="347" t="s">
        <v>226</v>
      </c>
      <c r="B14" s="376">
        <f>B8/SUM($B$8:$B$9)</f>
        <v>0.9</v>
      </c>
      <c r="C14" s="376"/>
      <c r="D14" s="226"/>
      <c r="F14" s="91"/>
      <c r="G14" s="87"/>
    </row>
    <row r="15" spans="1:7" x14ac:dyDescent="0.15">
      <c r="A15" s="347" t="s">
        <v>618</v>
      </c>
      <c r="B15" s="376">
        <f>B9/SUM($B$8:$B$9)</f>
        <v>9.9999999999999978E-2</v>
      </c>
      <c r="C15" s="376"/>
      <c r="D15" s="226"/>
      <c r="F15" s="91" t="s">
        <v>183</v>
      </c>
      <c r="G15" s="125">
        <f>VLOOKUP(Inputs!$F$5,Components!$A$26:$N$47,13,FALSE)</f>
        <v>0.98</v>
      </c>
    </row>
    <row r="16" spans="1:7" x14ac:dyDescent="0.15">
      <c r="A16" s="91"/>
      <c r="B16" s="86"/>
      <c r="C16" s="86"/>
      <c r="D16" s="87"/>
      <c r="F16" s="91"/>
      <c r="G16" s="87"/>
    </row>
    <row r="17" spans="1:8" x14ac:dyDescent="0.15">
      <c r="A17" s="91" t="s">
        <v>187</v>
      </c>
      <c r="B17" s="377">
        <v>-5.0000000000000001E-3</v>
      </c>
      <c r="C17" s="377"/>
      <c r="D17" s="378"/>
      <c r="F17" s="50" t="s">
        <v>200</v>
      </c>
      <c r="G17" s="126">
        <f>Sys_NumPanels*Panel_STC</f>
        <v>0</v>
      </c>
    </row>
    <row r="18" spans="1:8" x14ac:dyDescent="0.15">
      <c r="A18" s="91" t="s">
        <v>218</v>
      </c>
      <c r="B18" s="369">
        <v>100</v>
      </c>
      <c r="C18" s="369"/>
      <c r="D18" s="370"/>
      <c r="F18" s="91" t="s">
        <v>198</v>
      </c>
      <c r="G18" s="124">
        <f>IFERROR(IFERROR(Sys_NumPanels*Panel_PTC*Sys_SunHours*InverterLossPct*(1-Sys_OtherLossPct)*365.25,0)/1000,0)</f>
        <v>0</v>
      </c>
    </row>
    <row r="19" spans="1:8" x14ac:dyDescent="0.15">
      <c r="A19" s="91" t="s">
        <v>224</v>
      </c>
      <c r="B19" s="379">
        <v>12</v>
      </c>
      <c r="C19" s="379"/>
      <c r="D19" s="380"/>
      <c r="F19" s="91" t="s">
        <v>199</v>
      </c>
      <c r="G19" s="124" t="str">
        <f>IFERROR(Sys_kWhPerYear*1000/(Sys_NumPanels*Panel_STC),"NaN")</f>
        <v>NaN</v>
      </c>
    </row>
    <row r="20" spans="1:8" x14ac:dyDescent="0.15">
      <c r="A20" s="91" t="s">
        <v>225</v>
      </c>
      <c r="B20" s="381">
        <f>B19*(Inputs_MySOL!G17/1000)*B2</f>
        <v>0</v>
      </c>
      <c r="C20" s="381"/>
      <c r="D20" s="124"/>
      <c r="F20" s="91"/>
      <c r="G20" s="87"/>
    </row>
    <row r="21" spans="1:8" x14ac:dyDescent="0.15">
      <c r="A21" s="91" t="s">
        <v>619</v>
      </c>
      <c r="B21" s="371">
        <v>0.5</v>
      </c>
      <c r="C21" s="371"/>
      <c r="D21" s="372"/>
      <c r="F21" s="91" t="s">
        <v>215</v>
      </c>
      <c r="G21" s="375">
        <f>IFERROR(Sys_kWhPerYear/CustUsage_kWhPerYear,"NaN")</f>
        <v>0</v>
      </c>
    </row>
    <row r="22" spans="1:8" x14ac:dyDescent="0.15">
      <c r="A22" s="91"/>
      <c r="B22" s="86"/>
      <c r="C22" s="86"/>
      <c r="D22" s="87"/>
      <c r="F22" s="91"/>
      <c r="G22" s="87"/>
    </row>
    <row r="23" spans="1:8" x14ac:dyDescent="0.15">
      <c r="A23" s="91" t="s">
        <v>3</v>
      </c>
      <c r="B23" s="371">
        <v>0.15</v>
      </c>
      <c r="C23" s="371"/>
      <c r="D23" s="372"/>
      <c r="F23" s="50" t="s">
        <v>264</v>
      </c>
      <c r="G23" s="98">
        <f>Unit_Internal!C52</f>
        <v>13.134680000000001</v>
      </c>
    </row>
    <row r="24" spans="1:8" x14ac:dyDescent="0.15">
      <c r="A24" s="91"/>
      <c r="B24" s="371"/>
      <c r="C24" s="371"/>
      <c r="D24" s="372"/>
      <c r="F24" s="50" t="s">
        <v>216</v>
      </c>
      <c r="G24" s="93">
        <f>Sys_SizeWatts*G23</f>
        <v>0</v>
      </c>
    </row>
    <row r="25" spans="1:8" x14ac:dyDescent="0.15">
      <c r="A25" s="145" t="s">
        <v>337</v>
      </c>
      <c r="B25" s="254">
        <v>201703</v>
      </c>
      <c r="C25" s="371"/>
      <c r="D25" s="372"/>
      <c r="F25" s="91"/>
      <c r="G25" s="87"/>
    </row>
    <row r="26" spans="1:8" x14ac:dyDescent="0.15">
      <c r="A26" s="91" t="s">
        <v>185</v>
      </c>
      <c r="B26" s="161">
        <f>Cust_SavingsRate</f>
        <v>0.1</v>
      </c>
      <c r="C26" s="161"/>
      <c r="D26" s="375"/>
      <c r="F26" s="91" t="s">
        <v>613</v>
      </c>
      <c r="G26" s="93">
        <f>Model!C4</f>
        <v>0</v>
      </c>
    </row>
    <row r="27" spans="1:8" x14ac:dyDescent="0.15">
      <c r="A27" s="91" t="s">
        <v>265</v>
      </c>
      <c r="B27" s="162">
        <f>INDEX(Inputs!L3:R27,MATCH(Cust_SavingsRate,Inputs!$K$3:$K$27,0),MATCH(Cust_LeaseTermYears,Inputs!$L$2:$R$2,0))</f>
        <v>0</v>
      </c>
      <c r="C27" s="162"/>
      <c r="D27" s="98"/>
      <c r="F27" s="91" t="s">
        <v>614</v>
      </c>
      <c r="G27" s="386" t="str">
        <f>Model!C5</f>
        <v>NaN</v>
      </c>
    </row>
    <row r="28" spans="1:8" x14ac:dyDescent="0.15">
      <c r="A28" s="91"/>
      <c r="B28" s="371"/>
      <c r="C28" s="371"/>
      <c r="D28" s="372"/>
      <c r="F28" s="91"/>
      <c r="G28" s="87"/>
    </row>
    <row r="29" spans="1:8" x14ac:dyDescent="0.15">
      <c r="A29" s="91"/>
      <c r="B29" s="382" t="s">
        <v>147</v>
      </c>
      <c r="C29" s="382" t="s">
        <v>414</v>
      </c>
      <c r="D29" s="383" t="s">
        <v>415</v>
      </c>
      <c r="E29" s="104"/>
      <c r="F29" s="91" t="s">
        <v>615</v>
      </c>
      <c r="G29" s="93">
        <f>Model!C8</f>
        <v>0</v>
      </c>
    </row>
    <row r="30" spans="1:8" x14ac:dyDescent="0.15">
      <c r="A30" s="91" t="s">
        <v>273</v>
      </c>
      <c r="B30" s="371">
        <v>0.15</v>
      </c>
      <c r="C30" s="371">
        <v>0.14000000000000001</v>
      </c>
      <c r="D30" s="226">
        <f>IF(OR(CFE_RateCategory="DAC",CFE_RateCategory="Tarifa1"),B30,C30)</f>
        <v>0.15</v>
      </c>
      <c r="E30" s="104"/>
      <c r="F30" s="95" t="s">
        <v>616</v>
      </c>
      <c r="G30" s="387" t="str">
        <f>Model!C9</f>
        <v>NaN</v>
      </c>
    </row>
    <row r="31" spans="1:8" x14ac:dyDescent="0.15">
      <c r="A31" s="91" t="s">
        <v>629</v>
      </c>
      <c r="B31" s="371">
        <v>0.25</v>
      </c>
      <c r="C31" s="371">
        <v>0.2</v>
      </c>
      <c r="D31" s="226">
        <f>IF(OR(CFE_RateCategory="DAC",CFE_RateCategory="Tarifa1"),B31,C31)</f>
        <v>0.25</v>
      </c>
      <c r="E31" s="104"/>
      <c r="F31" s="231"/>
      <c r="G31" s="231"/>
      <c r="H31" s="231"/>
    </row>
    <row r="32" spans="1:8" s="231" customFormat="1" x14ac:dyDescent="0.15">
      <c r="A32" s="91" t="s">
        <v>214</v>
      </c>
      <c r="B32" s="371">
        <v>0.05</v>
      </c>
      <c r="C32" s="371">
        <v>0.05</v>
      </c>
      <c r="D32" s="226">
        <f>IF(OR(CFE_RateCategory="DAC",CFE_RateCategory="Tarifa1"),B32,C32)</f>
        <v>0.05</v>
      </c>
      <c r="E32" s="104"/>
      <c r="F32" s="76"/>
      <c r="G32" s="76"/>
      <c r="H32" s="76"/>
    </row>
    <row r="33" spans="1:6" x14ac:dyDescent="0.15">
      <c r="A33" s="91" t="s">
        <v>630</v>
      </c>
      <c r="B33" s="371">
        <v>0.25</v>
      </c>
      <c r="C33" s="377">
        <v>0.2</v>
      </c>
      <c r="D33" s="226">
        <f>IF(OR(CFE_RateCategory="DAC",CFE_RateCategory="Tarifa1"),B33,C33)</f>
        <v>0.25</v>
      </c>
      <c r="E33" s="104"/>
    </row>
    <row r="34" spans="1:6" x14ac:dyDescent="0.15">
      <c r="A34" s="95" t="s">
        <v>631</v>
      </c>
      <c r="B34" s="384">
        <v>0.05</v>
      </c>
      <c r="C34" s="384">
        <v>0.05</v>
      </c>
      <c r="D34" s="385">
        <f>IF(OR(CFE_RateCategory="DAC",CFE_RateCategory="Tarifa1"),B34,C34)</f>
        <v>0.05</v>
      </c>
      <c r="F34" s="72"/>
    </row>
  </sheetData>
  <sheetProtection selectLockedCells="1" selectUnlockedCells="1"/>
  <dataConsolidate/>
  <mergeCells count="2">
    <mergeCell ref="F1:G1"/>
    <mergeCell ref="A1:D1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CFE_History_DAC!$B$3:$I$3</xm:f>
          </x14:formula1>
          <xm:sqref>B25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7"/>
  <sheetViews>
    <sheetView tabSelected="1" workbookViewId="0">
      <pane ySplit="2" topLeftCell="A3" activePane="bottomLeft" state="frozen"/>
      <selection sqref="A1:O10"/>
      <selection pane="bottomLeft" activeCell="A3" sqref="A3"/>
    </sheetView>
  </sheetViews>
  <sheetFormatPr defaultRowHeight="10.5" x14ac:dyDescent="0.15"/>
  <cols>
    <col min="1" max="1" width="25.140625" style="127" bestFit="1" customWidth="1"/>
    <col min="2" max="2" width="28.7109375" style="127" customWidth="1"/>
    <col min="3" max="3" width="4.7109375" style="127" customWidth="1"/>
    <col min="4" max="4" width="24.7109375" style="127" customWidth="1"/>
    <col min="5" max="5" width="19.140625" style="127" hidden="1" customWidth="1"/>
    <col min="6" max="6" width="43" style="127" bestFit="1" customWidth="1"/>
    <col min="7" max="7" width="11" style="127" bestFit="1" customWidth="1"/>
    <col min="8" max="8" width="14.5703125" style="127" bestFit="1" customWidth="1"/>
    <col min="9" max="9" width="7.5703125" style="127" bestFit="1" customWidth="1"/>
    <col min="10" max="10" width="4.7109375" style="127" customWidth="1"/>
    <col min="11" max="11" width="21" style="127" bestFit="1" customWidth="1"/>
    <col min="12" max="12" width="11.85546875" style="127" customWidth="1"/>
    <col min="13" max="18" width="10.7109375" style="127" customWidth="1"/>
    <col min="19" max="19" width="4.7109375" style="127" customWidth="1"/>
    <col min="20" max="20" width="19.28515625" style="127" bestFit="1" customWidth="1"/>
    <col min="21" max="16384" width="9.140625" style="127"/>
  </cols>
  <sheetData>
    <row r="1" spans="1:21" x14ac:dyDescent="0.15">
      <c r="K1" s="188" t="s">
        <v>31</v>
      </c>
      <c r="L1" s="128" t="s">
        <v>263</v>
      </c>
    </row>
    <row r="2" spans="1:21" ht="11.25" thickBot="1" x14ac:dyDescent="0.2">
      <c r="A2" s="473" t="s">
        <v>417</v>
      </c>
      <c r="B2" s="475"/>
      <c r="D2" s="473" t="s">
        <v>168</v>
      </c>
      <c r="E2" s="474"/>
      <c r="F2" s="474"/>
      <c r="G2" s="474"/>
      <c r="H2" s="474"/>
      <c r="I2" s="475"/>
      <c r="K2" s="128" t="s">
        <v>313</v>
      </c>
      <c r="L2" s="129">
        <v>5</v>
      </c>
      <c r="M2" s="130">
        <v>6</v>
      </c>
      <c r="N2" s="130">
        <v>7</v>
      </c>
      <c r="O2" s="130">
        <v>8</v>
      </c>
      <c r="P2" s="130">
        <v>9</v>
      </c>
      <c r="Q2" s="130">
        <v>10</v>
      </c>
      <c r="R2" s="131">
        <v>15</v>
      </c>
    </row>
    <row r="3" spans="1:21" ht="11.25" thickTop="1" x14ac:dyDescent="0.15">
      <c r="A3" s="132" t="s">
        <v>450</v>
      </c>
      <c r="B3" s="397"/>
      <c r="D3" s="251" t="s">
        <v>165</v>
      </c>
      <c r="E3" s="252"/>
      <c r="F3" s="252" t="s">
        <v>89</v>
      </c>
      <c r="G3" s="246" t="s">
        <v>418</v>
      </c>
      <c r="H3" s="246" t="s">
        <v>315</v>
      </c>
      <c r="I3" s="247" t="s">
        <v>80</v>
      </c>
      <c r="K3" s="134">
        <v>0.01</v>
      </c>
      <c r="L3" s="135"/>
      <c r="M3" s="136"/>
      <c r="N3" s="136"/>
      <c r="O3" s="136"/>
      <c r="P3" s="136"/>
      <c r="Q3" s="136"/>
      <c r="R3" s="137"/>
      <c r="T3" s="127" t="s">
        <v>269</v>
      </c>
      <c r="U3" s="138">
        <v>15</v>
      </c>
    </row>
    <row r="4" spans="1:21" x14ac:dyDescent="0.15">
      <c r="A4" s="132"/>
      <c r="B4" s="133"/>
      <c r="D4" s="253" t="s">
        <v>2</v>
      </c>
      <c r="E4" s="244"/>
      <c r="F4" s="254" t="s">
        <v>334</v>
      </c>
      <c r="G4" s="249">
        <f>VLOOKUP(F4,Components!$A$2:$N$13,12,FALSE)</f>
        <v>270</v>
      </c>
      <c r="H4" s="249">
        <f>VLOOKUP(F4,Components!$A$2:$N$13,13,FALSE)</f>
        <v>247.9</v>
      </c>
      <c r="I4" s="403">
        <v>0</v>
      </c>
      <c r="K4" s="134">
        <v>0.02</v>
      </c>
      <c r="L4" s="139"/>
      <c r="M4" s="140"/>
      <c r="N4" s="140"/>
      <c r="O4" s="140"/>
      <c r="P4" s="140"/>
      <c r="Q4" s="140"/>
      <c r="R4" s="141"/>
      <c r="T4" s="127" t="s">
        <v>313</v>
      </c>
      <c r="U4" s="142">
        <v>0.1</v>
      </c>
    </row>
    <row r="5" spans="1:21" x14ac:dyDescent="0.15">
      <c r="A5" s="132" t="s">
        <v>285</v>
      </c>
      <c r="B5" s="397"/>
      <c r="D5" s="145" t="s">
        <v>4</v>
      </c>
      <c r="E5" s="244" t="str">
        <f>VLOOKUP(B17,Components!$P$26:$R$28,3,FALSE)</f>
        <v>Components!A26:A39</v>
      </c>
      <c r="F5" s="254" t="s">
        <v>706</v>
      </c>
      <c r="G5" s="249">
        <f>VLOOKUP(F5,Components!$A$26:$N$47,10,FALSE)</f>
        <v>3800</v>
      </c>
      <c r="H5" s="249" t="str">
        <f>TEXT(VLOOKUP(F5,Components!$A$26:$N$47,11,FALSE),"#,##")&amp;" | "&amp;TEXT(VLOOKUP(F5,Components!$A$26:$N$47,12,FALSE),"#,##")</f>
        <v>2,945 | 5,890</v>
      </c>
      <c r="I5" s="404">
        <v>0</v>
      </c>
      <c r="K5" s="134">
        <v>0.03</v>
      </c>
      <c r="L5" s="139"/>
      <c r="M5" s="140"/>
      <c r="N5" s="140"/>
      <c r="O5" s="140"/>
      <c r="P5" s="140"/>
      <c r="Q5" s="140"/>
      <c r="R5" s="141"/>
    </row>
    <row r="6" spans="1:21" x14ac:dyDescent="0.15">
      <c r="A6" s="132" t="s">
        <v>552</v>
      </c>
      <c r="B6" s="397"/>
      <c r="D6" s="145" t="s">
        <v>5</v>
      </c>
      <c r="E6" s="244" t="str">
        <f>VLOOKUP(B17,Components!$P$15:$R$17,3,FALSE)</f>
        <v>Components!A15:A16</v>
      </c>
      <c r="F6" s="255" t="str">
        <f>IFERROR(VLOOKUP(F4,Components!$A$2:$O$3,15,FALSE),"A fatal error has occurred.  Please contact MySol.")</f>
        <v>SolarEdge_P300</v>
      </c>
      <c r="G6" s="249">
        <f>VLOOKUP(F6,Components!$A$15:$N$24,12,FALSE)</f>
        <v>300</v>
      </c>
      <c r="H6" s="249"/>
      <c r="I6" s="404">
        <v>0</v>
      </c>
      <c r="K6" s="134">
        <v>0.04</v>
      </c>
      <c r="L6" s="139"/>
      <c r="M6" s="140"/>
      <c r="N6" s="140"/>
      <c r="O6" s="140"/>
      <c r="P6" s="140"/>
      <c r="Q6" s="140"/>
      <c r="R6" s="141"/>
    </row>
    <row r="7" spans="1:21" x14ac:dyDescent="0.15">
      <c r="A7" s="132" t="s">
        <v>23</v>
      </c>
      <c r="B7" s="397"/>
      <c r="D7" s="145" t="s">
        <v>142</v>
      </c>
      <c r="E7" s="244"/>
      <c r="F7" s="254" t="s">
        <v>139</v>
      </c>
      <c r="G7" s="249"/>
      <c r="H7" s="249"/>
      <c r="I7" s="404">
        <v>0</v>
      </c>
      <c r="K7" s="134">
        <v>0.05</v>
      </c>
      <c r="L7" s="139"/>
      <c r="M7" s="140"/>
      <c r="N7" s="140"/>
      <c r="O7" s="140"/>
      <c r="P7" s="140"/>
      <c r="Q7" s="140"/>
      <c r="R7" s="141"/>
    </row>
    <row r="8" spans="1:21" x14ac:dyDescent="0.15">
      <c r="A8" s="132" t="s">
        <v>24</v>
      </c>
      <c r="B8" s="397"/>
      <c r="D8" s="145" t="s">
        <v>7</v>
      </c>
      <c r="E8" s="244"/>
      <c r="F8" s="255" t="s">
        <v>211</v>
      </c>
      <c r="G8" s="249"/>
      <c r="H8" s="249"/>
      <c r="I8" s="248">
        <v>0</v>
      </c>
      <c r="K8" s="134">
        <v>0.06</v>
      </c>
      <c r="L8" s="139"/>
      <c r="M8" s="140"/>
      <c r="N8" s="140"/>
      <c r="O8" s="140"/>
      <c r="P8" s="140"/>
      <c r="Q8" s="140"/>
      <c r="R8" s="141"/>
    </row>
    <row r="9" spans="1:21" ht="11.25" x14ac:dyDescent="0.15">
      <c r="A9" s="132" t="s">
        <v>169</v>
      </c>
      <c r="B9" s="397"/>
      <c r="D9" s="151" t="s">
        <v>286</v>
      </c>
      <c r="E9" s="245"/>
      <c r="F9" s="147" t="s">
        <v>453</v>
      </c>
      <c r="G9" s="250"/>
      <c r="H9" s="250"/>
      <c r="I9" s="405">
        <v>0</v>
      </c>
      <c r="K9" s="134">
        <v>7.0000000000000007E-2</v>
      </c>
      <c r="L9" s="139"/>
      <c r="M9" s="140"/>
      <c r="N9" s="140"/>
      <c r="O9" s="140"/>
      <c r="P9" s="140"/>
      <c r="Q9" s="140"/>
      <c r="R9" s="141"/>
    </row>
    <row r="10" spans="1:21" x14ac:dyDescent="0.15">
      <c r="A10" s="132" t="s">
        <v>25</v>
      </c>
      <c r="B10" s="397"/>
      <c r="K10" s="134">
        <v>0.08</v>
      </c>
      <c r="L10" s="139"/>
      <c r="M10" s="140"/>
      <c r="N10" s="140"/>
      <c r="O10" s="140"/>
      <c r="P10" s="140"/>
      <c r="Q10" s="140"/>
      <c r="R10" s="141"/>
    </row>
    <row r="11" spans="1:21" x14ac:dyDescent="0.15">
      <c r="A11" s="132" t="s">
        <v>26</v>
      </c>
      <c r="B11" s="397"/>
      <c r="D11" s="127" t="s">
        <v>266</v>
      </c>
      <c r="F11" s="155">
        <v>2.8</v>
      </c>
      <c r="G11" s="155"/>
      <c r="H11" s="155"/>
      <c r="I11" s="149"/>
      <c r="K11" s="134">
        <v>0.09</v>
      </c>
      <c r="L11" s="139"/>
      <c r="M11" s="140"/>
      <c r="N11" s="140"/>
      <c r="O11" s="140"/>
      <c r="P11" s="140"/>
      <c r="Q11" s="140"/>
      <c r="R11" s="141"/>
    </row>
    <row r="12" spans="1:21" x14ac:dyDescent="0.15">
      <c r="A12" s="132" t="s">
        <v>27</v>
      </c>
      <c r="B12" s="397"/>
      <c r="D12" s="127" t="s">
        <v>267</v>
      </c>
      <c r="F12" s="155">
        <v>2.5</v>
      </c>
      <c r="G12" s="155"/>
      <c r="H12" s="155"/>
      <c r="I12" s="149"/>
      <c r="K12" s="134">
        <v>0.1</v>
      </c>
      <c r="L12" s="139"/>
      <c r="M12" s="140"/>
      <c r="N12" s="140"/>
      <c r="O12" s="140"/>
      <c r="P12" s="140"/>
      <c r="Q12" s="140"/>
      <c r="R12" s="141"/>
    </row>
    <row r="13" spans="1:21" x14ac:dyDescent="0.15">
      <c r="A13" s="132" t="s">
        <v>28</v>
      </c>
      <c r="B13" s="398"/>
      <c r="D13" s="127" t="s">
        <v>268</v>
      </c>
      <c r="F13" s="155">
        <v>1.4</v>
      </c>
      <c r="G13" s="155"/>
      <c r="H13" s="155"/>
      <c r="I13" s="149"/>
      <c r="K13" s="134">
        <v>0.11</v>
      </c>
      <c r="L13" s="139"/>
      <c r="M13" s="140"/>
      <c r="N13" s="140"/>
      <c r="O13" s="140"/>
      <c r="P13" s="140"/>
      <c r="Q13" s="140"/>
      <c r="R13" s="141"/>
    </row>
    <row r="14" spans="1:21" x14ac:dyDescent="0.15">
      <c r="A14" s="143"/>
      <c r="B14" s="144"/>
      <c r="K14" s="134">
        <v>0.12</v>
      </c>
      <c r="L14" s="139"/>
      <c r="M14" s="140"/>
      <c r="N14" s="140"/>
      <c r="O14" s="140"/>
      <c r="P14" s="140"/>
      <c r="Q14" s="140"/>
      <c r="R14" s="141"/>
    </row>
    <row r="15" spans="1:21" x14ac:dyDescent="0.15">
      <c r="A15" s="145" t="s">
        <v>194</v>
      </c>
      <c r="B15" s="399">
        <v>10000</v>
      </c>
      <c r="K15" s="134">
        <v>0.13</v>
      </c>
      <c r="L15" s="139"/>
      <c r="M15" s="140"/>
      <c r="N15" s="140"/>
      <c r="O15" s="140"/>
      <c r="P15" s="140"/>
      <c r="Q15" s="140"/>
      <c r="R15" s="141"/>
    </row>
    <row r="16" spans="1:21" x14ac:dyDescent="0.15">
      <c r="A16" s="145"/>
      <c r="B16" s="146"/>
      <c r="D16" s="51" t="s">
        <v>200</v>
      </c>
      <c r="E16" s="51"/>
      <c r="F16" s="185">
        <f>Sys_NumPanels*Panel_STC</f>
        <v>0</v>
      </c>
      <c r="G16" s="185"/>
      <c r="H16" s="185"/>
      <c r="K16" s="134">
        <v>0.14000000000000001</v>
      </c>
      <c r="L16" s="139"/>
      <c r="M16" s="140"/>
      <c r="N16" s="140"/>
      <c r="O16" s="140"/>
      <c r="P16" s="140"/>
      <c r="Q16" s="140"/>
      <c r="R16" s="141"/>
    </row>
    <row r="17" spans="1:18" x14ac:dyDescent="0.15">
      <c r="A17" s="145" t="s">
        <v>314</v>
      </c>
      <c r="B17" s="148">
        <v>1</v>
      </c>
      <c r="D17" s="86" t="s">
        <v>288</v>
      </c>
      <c r="E17" s="86"/>
      <c r="F17" s="186">
        <f>Sys_kWhPerYear</f>
        <v>0</v>
      </c>
      <c r="G17" s="186"/>
      <c r="H17" s="186"/>
      <c r="K17" s="134">
        <v>0.15</v>
      </c>
      <c r="L17" s="139"/>
      <c r="M17" s="140"/>
      <c r="N17" s="140"/>
      <c r="O17" s="140"/>
      <c r="P17" s="140"/>
      <c r="Q17" s="140"/>
      <c r="R17" s="141"/>
    </row>
    <row r="18" spans="1:18" x14ac:dyDescent="0.15">
      <c r="A18" s="145" t="s">
        <v>208</v>
      </c>
      <c r="B18" s="148" t="s">
        <v>147</v>
      </c>
      <c r="D18" s="86" t="s">
        <v>199</v>
      </c>
      <c r="E18" s="86"/>
      <c r="F18" s="186" t="str">
        <f>Sys_Factor</f>
        <v>NaN</v>
      </c>
      <c r="G18" s="186"/>
      <c r="H18" s="186"/>
      <c r="K18" s="134">
        <v>0.16</v>
      </c>
      <c r="L18" s="139"/>
      <c r="M18" s="140"/>
      <c r="N18" s="140"/>
      <c r="O18" s="140"/>
      <c r="P18" s="140"/>
      <c r="Q18" s="140"/>
      <c r="R18" s="141"/>
    </row>
    <row r="19" spans="1:18" x14ac:dyDescent="0.15">
      <c r="A19" s="145" t="s">
        <v>331</v>
      </c>
      <c r="B19" s="265">
        <v>1</v>
      </c>
      <c r="D19" s="86" t="s">
        <v>287</v>
      </c>
      <c r="E19" s="86"/>
      <c r="F19" s="187">
        <f>IFERROR(Sys_kWhPerYear/CustUsage_kWhPerYear,0)</f>
        <v>0</v>
      </c>
      <c r="G19" s="187"/>
      <c r="H19" s="187"/>
      <c r="K19" s="134">
        <v>0.17</v>
      </c>
      <c r="L19" s="139"/>
      <c r="M19" s="140"/>
      <c r="N19" s="140"/>
      <c r="O19" s="140"/>
      <c r="P19" s="140"/>
      <c r="Q19" s="140"/>
      <c r="R19" s="141"/>
    </row>
    <row r="20" spans="1:18" x14ac:dyDescent="0.15">
      <c r="A20" s="145" t="s">
        <v>143</v>
      </c>
      <c r="B20" s="148" t="s">
        <v>77</v>
      </c>
      <c r="K20" s="134">
        <v>0.18</v>
      </c>
      <c r="L20" s="139"/>
      <c r="M20" s="140"/>
      <c r="N20" s="140"/>
      <c r="O20" s="140"/>
      <c r="P20" s="140"/>
      <c r="Q20" s="140"/>
      <c r="R20" s="141"/>
    </row>
    <row r="21" spans="1:18" x14ac:dyDescent="0.15">
      <c r="A21" s="145" t="s">
        <v>16</v>
      </c>
      <c r="B21" s="400">
        <v>0.1</v>
      </c>
      <c r="D21" s="86"/>
      <c r="E21" s="86"/>
      <c r="F21" s="244" t="str">
        <f>IF(OR(AND(VLOOKUP(F5,Components!$A$1:$N$66,8,FALSE)&gt;2,B17&lt;=2),AND(VLOOKUP(F5,Components!$A$1:$N$66,8,FALSE)&lt;=2,B17&gt;2)),"Inverter phases does not match CFE Hilos",IF(I5*VLOOKUP(F5,Components!$A$1:$N$66,12,FALSE)&lt;$F$16,"Inverter Wp rating too low for System Size",IF(I5*VLOOKUP(F5,Components!$A$1:$N$66,11,FALSE)&gt;$F$16,"Inverter Wp rating too high for System Size","")))</f>
        <v/>
      </c>
      <c r="G21" s="244"/>
      <c r="H21" s="244"/>
      <c r="K21" s="134">
        <v>0.19</v>
      </c>
      <c r="L21" s="139"/>
      <c r="M21" s="140"/>
      <c r="N21" s="140"/>
      <c r="O21" s="140"/>
      <c r="P21" s="140"/>
      <c r="Q21" s="140"/>
      <c r="R21" s="141"/>
    </row>
    <row r="22" spans="1:18" x14ac:dyDescent="0.15">
      <c r="A22" s="145"/>
      <c r="B22" s="150"/>
      <c r="C22" s="261"/>
      <c r="F22" s="257" t="str">
        <f>IFERROR(IF(F19&gt;1,"System Production is greater than Customer Usage.  Either reduce system size or increase Customer Usage",""),"Error")</f>
        <v/>
      </c>
      <c r="K22" s="134">
        <v>0.2</v>
      </c>
      <c r="L22" s="139"/>
      <c r="M22" s="140"/>
      <c r="N22" s="140"/>
      <c r="O22" s="140"/>
      <c r="P22" s="140"/>
      <c r="Q22" s="140"/>
      <c r="R22" s="141"/>
    </row>
    <row r="23" spans="1:18" x14ac:dyDescent="0.15">
      <c r="A23" s="145" t="s">
        <v>182</v>
      </c>
      <c r="B23" s="401">
        <v>5.86</v>
      </c>
      <c r="C23" s="261"/>
      <c r="F23" s="257" t="str">
        <f>IF(AND(LEFT(F5,9)="SolarEdge",SysSpec_PV_Units&lt;&gt;SysSpec_Optimizers_Units),"# Units of Optimizers must match PV Panels when using SolarEdge Inverter","")</f>
        <v/>
      </c>
      <c r="K23" s="134">
        <v>0.21</v>
      </c>
      <c r="L23" s="139"/>
      <c r="M23" s="140"/>
      <c r="N23" s="140"/>
      <c r="O23" s="140"/>
      <c r="P23" s="140"/>
      <c r="Q23" s="140"/>
      <c r="R23" s="141"/>
    </row>
    <row r="24" spans="1:18" x14ac:dyDescent="0.15">
      <c r="A24" s="151" t="s">
        <v>184</v>
      </c>
      <c r="B24" s="402">
        <v>0.12</v>
      </c>
      <c r="K24" s="134">
        <v>0.22</v>
      </c>
      <c r="L24" s="139"/>
      <c r="M24" s="140"/>
      <c r="N24" s="140"/>
      <c r="O24" s="140"/>
      <c r="P24" s="140"/>
      <c r="Q24" s="140"/>
      <c r="R24" s="141"/>
    </row>
    <row r="25" spans="1:18" x14ac:dyDescent="0.15">
      <c r="K25" s="134">
        <v>0.23</v>
      </c>
      <c r="L25" s="139"/>
      <c r="M25" s="140"/>
      <c r="N25" s="140"/>
      <c r="O25" s="140"/>
      <c r="P25" s="140"/>
      <c r="Q25" s="140"/>
      <c r="R25" s="141"/>
    </row>
    <row r="26" spans="1:18" x14ac:dyDescent="0.15">
      <c r="K26" s="134">
        <v>0.24</v>
      </c>
      <c r="L26" s="139"/>
      <c r="M26" s="140"/>
      <c r="N26" s="140"/>
      <c r="O26" s="140"/>
      <c r="P26" s="140"/>
      <c r="Q26" s="140"/>
      <c r="R26" s="141"/>
    </row>
    <row r="27" spans="1:18" x14ac:dyDescent="0.15">
      <c r="K27" s="134">
        <v>0.25</v>
      </c>
      <c r="L27" s="152"/>
      <c r="M27" s="153"/>
      <c r="N27" s="153"/>
      <c r="O27" s="153"/>
      <c r="P27" s="153"/>
      <c r="Q27" s="153"/>
      <c r="R27" s="154"/>
    </row>
  </sheetData>
  <sheetProtection selectLockedCells="1"/>
  <mergeCells count="2">
    <mergeCell ref="D2:I2"/>
    <mergeCell ref="A2:B2"/>
  </mergeCells>
  <conditionalFormatting sqref="L3:R27">
    <cfRule type="expression" dxfId="3" priority="3">
      <formula>IF(AND(L$2=$U$3,$K3=$U$4),TRUE,FALSE)</formula>
    </cfRule>
  </conditionalFormatting>
  <conditionalFormatting sqref="F19">
    <cfRule type="expression" dxfId="2" priority="2">
      <formula>IF(F19&gt;1,TRUE,FALSE)</formula>
    </cfRule>
  </conditionalFormatting>
  <conditionalFormatting sqref="I6">
    <cfRule type="expression" dxfId="1" priority="1">
      <formula>IF(AND(LEFT(F5,9)="SolarEdge",SysSpec_PV_Units&lt;&gt;SysSpec_Optimizers_Units),TRUE,FALSE)</formula>
    </cfRule>
  </conditionalFormatting>
  <dataValidations count="3">
    <dataValidation type="list" allowBlank="1" showInputMessage="1" showErrorMessage="1" sqref="U3">
      <formula1>$L$2:$R$2</formula1>
    </dataValidation>
    <dataValidation type="list" allowBlank="1" showInputMessage="1" showErrorMessage="1" sqref="U4">
      <formula1>$K$3:$K$27</formula1>
    </dataValidation>
    <dataValidation type="list" allowBlank="1" showInputMessage="1" showErrorMessage="1" sqref="F5">
      <formula1>INDIRECT(E5)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52" r:id="rId4" name="Button 28">
              <controlPr defaultSize="0" print="0" autoFill="0" autoPict="0" macro="[0]!mcrGenerateScenarios">
                <anchor moveWithCells="1" sizeWithCells="1">
                  <from>
                    <xdr:col>3</xdr:col>
                    <xdr:colOff>9525</xdr:colOff>
                    <xdr:row>20</xdr:row>
                    <xdr:rowOff>0</xdr:rowOff>
                  </from>
                  <to>
                    <xdr:col>3</xdr:col>
                    <xdr:colOff>1638300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5" name="Button 35">
              <controlPr defaultSize="0" print="0" autoFill="0" autoPict="0" macro="[0]!mcrSaveFile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4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5" r:id="rId6" name="Button 51">
              <controlPr defaultSize="0" print="0" autoFill="0" autoPict="0" macro="[0]!mcrClearForm">
                <anchor moveWithCells="1" sizeWithCells="1">
                  <from>
                    <xdr:col>3</xdr:col>
                    <xdr:colOff>9525</xdr:colOff>
                    <xdr:row>29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01D22B3-0EEE-4168-9495-AE30A29F0B3F}">
            <xm:f>IF(OR(OR(AND(VLOOKUP(F5,Components!$A$1:$N$66,8,FALSE)&gt;2,B17&lt;=2),AND(VLOOKUP(F5,Components!$A$1:$N$66,8,FALSE)&lt;=2,B17&gt;2)),I5*VLOOKUP(F5,Components!$A$1:$N$66,12,FALSE)&lt;$F$16,I5*VLOOKUP(F5,Components!$A$1:$N$66,11,FALSE)&gt;$F$16),TRUE,FALSE)</xm:f>
            <x14:dxf>
              <fill>
                <patternFill>
                  <bgColor rgb="FFFF0000"/>
                </patternFill>
              </fill>
            </x14:dxf>
          </x14:cfRule>
          <xm:sqref>F5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Components!$A$2:$A$3</xm:f>
          </x14:formula1>
          <xm:sqref>F4</xm:sqref>
        </x14:dataValidation>
        <x14:dataValidation type="list" allowBlank="1" showInputMessage="1" showErrorMessage="1">
          <x14:formula1>
            <xm:f>Components!$A$52</xm:f>
          </x14:formula1>
          <xm:sqref>F7</xm:sqref>
        </x14:dataValidation>
        <x14:dataValidation type="list" allowBlank="1" showInputMessage="1" showErrorMessage="1">
          <x14:formula1>
            <xm:f>Components!$A$62:$A$63</xm:f>
          </x14:formula1>
          <xm:sqref>F9</xm:sqref>
        </x14:dataValidation>
        <x14:dataValidation type="list" allowBlank="1" showInputMessage="1" showErrorMessage="1">
          <x14:formula1>
            <xm:f>ListData!$B$2:$B$12</xm:f>
          </x14:formula1>
          <xm:sqref>B20</xm:sqref>
        </x14:dataValidation>
        <x14:dataValidation type="list" allowBlank="1" showInputMessage="1" showErrorMessage="1">
          <x14:formula1>
            <xm:f>ListData!$B$29:$B$31</xm:f>
          </x14:formula1>
          <xm:sqref>B17</xm:sqref>
        </x14:dataValidation>
        <x14:dataValidation type="list" allowBlank="1" showInputMessage="1" showErrorMessage="1">
          <x14:formula1>
            <xm:f>ListData!$B$20:$B$26</xm:f>
          </x14:formula1>
          <xm:sqref>B19</xm:sqref>
        </x14:dataValidation>
        <x14:dataValidation type="list" allowBlank="1" showInputMessage="1" showErrorMessage="1">
          <x14:formula1>
            <xm:f>ListData!$B$15:$B$17</xm:f>
          </x14:formula1>
          <xm:sqref>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3:G289"/>
  <sheetViews>
    <sheetView zoomScaleNormal="100" workbookViewId="0"/>
  </sheetViews>
  <sheetFormatPr defaultColWidth="11.42578125" defaultRowHeight="12.75" x14ac:dyDescent="0.2"/>
  <cols>
    <col min="1" max="1" width="15.7109375" style="3" customWidth="1"/>
    <col min="2" max="2" width="7.42578125" style="3" customWidth="1"/>
    <col min="3" max="3" width="12.42578125" style="3" customWidth="1"/>
    <col min="4" max="4" width="12.7109375" style="3" bestFit="1" customWidth="1"/>
    <col min="5" max="5" width="11.42578125" style="3"/>
    <col min="6" max="6" width="14.7109375" style="3" customWidth="1"/>
    <col min="7" max="7" width="59.7109375" style="3" customWidth="1"/>
    <col min="8" max="16384" width="11.42578125" style="3"/>
  </cols>
  <sheetData>
    <row r="3" spans="1:7" ht="23.25" x14ac:dyDescent="0.35">
      <c r="G3" s="4" t="s">
        <v>576</v>
      </c>
    </row>
    <row r="4" spans="1:7" ht="20.25" x14ac:dyDescent="0.3">
      <c r="B4" s="5"/>
      <c r="G4" s="6" t="str">
        <f>IF(Cust_Company="",Cust_FirstName&amp;" "&amp;Cust_LastName,Cust_Company)</f>
        <v xml:space="preserve"> </v>
      </c>
    </row>
    <row r="5" spans="1:7" ht="15" x14ac:dyDescent="0.2">
      <c r="G5" s="7" t="str">
        <f>IF(Inputs!B10="","",Inputs!B10)</f>
        <v/>
      </c>
    </row>
    <row r="6" spans="1:7" ht="15" x14ac:dyDescent="0.2">
      <c r="G6" s="7" t="str">
        <f>IF(Inputs!B11="","",Inputs!B11)</f>
        <v/>
      </c>
    </row>
    <row r="7" spans="1:7" ht="15" x14ac:dyDescent="0.2">
      <c r="G7" s="7" t="str">
        <f>Inputs!B12&amp;"  "&amp;Inputs!B13</f>
        <v xml:space="preserve">  </v>
      </c>
    </row>
    <row r="8" spans="1:7" ht="15" x14ac:dyDescent="0.2">
      <c r="G8" s="7" t="str">
        <f>"PV system size is "&amp;TEXT(Inputs_MySOL!$G$17/1000,"0.00")&amp;"kW"</f>
        <v>PV system size is 0.00kW</v>
      </c>
    </row>
    <row r="9" spans="1:7" ht="15.75" customHeight="1" x14ac:dyDescent="0.2">
      <c r="G9" s="1" t="str">
        <f>SysSpec_PV_Units&amp;" "&amp;Inputs!F$4</f>
        <v>0 Trina Solar_TSM-270PA05A</v>
      </c>
    </row>
    <row r="10" spans="1:7" ht="15.75" customHeight="1" x14ac:dyDescent="0.3">
      <c r="A10"/>
      <c r="B10" s="8"/>
      <c r="C10" s="8"/>
      <c r="G10" s="1" t="str">
        <f>SysSpec_Inverters_Units&amp;" "&amp;Inputs!F$5</f>
        <v>0 SolarEdge Technologies_SE3800 (240V) HD Wave</v>
      </c>
    </row>
    <row r="11" spans="1:7" ht="15.75" customHeight="1" x14ac:dyDescent="0.2">
      <c r="A11"/>
      <c r="G11" s="1" t="str">
        <f>SysSpec_Optimizers_Units&amp;" "&amp;Inputs!F$6</f>
        <v>0 SolarEdge_P300</v>
      </c>
    </row>
    <row r="12" spans="1:7" ht="15.75" customHeight="1" x14ac:dyDescent="0.2">
      <c r="A12"/>
    </row>
    <row r="13" spans="1:7" ht="15.75" customHeight="1" x14ac:dyDescent="0.2">
      <c r="A13"/>
      <c r="C13" s="9"/>
    </row>
    <row r="14" spans="1:7" ht="15.75" customHeight="1" x14ac:dyDescent="0.2"/>
    <row r="15" spans="1:7" ht="15.75" customHeight="1" x14ac:dyDescent="0.2"/>
    <row r="16" spans="1:7" ht="15.75" customHeight="1" x14ac:dyDescent="0.2"/>
    <row r="17" spans="1:7" ht="15.75" customHeight="1" x14ac:dyDescent="0.2"/>
    <row r="18" spans="1:7" ht="15.75" customHeight="1" x14ac:dyDescent="0.2">
      <c r="A18" s="1"/>
      <c r="B18" s="1"/>
      <c r="C18" s="1"/>
      <c r="D18" s="522" t="s">
        <v>577</v>
      </c>
      <c r="E18" s="522"/>
      <c r="F18" s="522"/>
      <c r="G18" s="443" t="s">
        <v>578</v>
      </c>
    </row>
    <row r="19" spans="1:7" ht="15.75" customHeight="1" x14ac:dyDescent="0.2"/>
    <row r="20" spans="1:7" ht="15.75" customHeight="1" x14ac:dyDescent="0.2">
      <c r="A20" s="10" t="s">
        <v>31</v>
      </c>
      <c r="B20" s="11"/>
      <c r="C20" s="11"/>
      <c r="D20" s="12">
        <f>Cust_InitialPymt</f>
        <v>0</v>
      </c>
      <c r="E20" s="12"/>
      <c r="F20" s="12"/>
      <c r="G20" s="444" t="str">
        <f>IF(D20=0,"Go solar with no upfront cost","Go solar with low upfront cost")</f>
        <v>Go solar with no upfront cost</v>
      </c>
    </row>
    <row r="21" spans="1:7" ht="15.75" customHeight="1" x14ac:dyDescent="0.2"/>
    <row r="22" spans="1:7" ht="15.75" customHeight="1" x14ac:dyDescent="0.2">
      <c r="A22" s="10" t="s">
        <v>632</v>
      </c>
      <c r="B22" s="11"/>
      <c r="C22" s="11"/>
      <c r="D22" s="13">
        <f>Savings!AA6/12</f>
        <v>0</v>
      </c>
      <c r="E22" s="13"/>
      <c r="F22" s="13"/>
      <c r="G22" s="444" t="s">
        <v>633</v>
      </c>
    </row>
    <row r="23" spans="1:7" ht="15.75" customHeight="1" x14ac:dyDescent="0.2"/>
    <row r="24" spans="1:7" ht="15.75" customHeight="1" x14ac:dyDescent="0.2">
      <c r="A24" s="10" t="s">
        <v>33</v>
      </c>
      <c r="B24" s="11"/>
      <c r="C24" s="11"/>
      <c r="D24" s="14">
        <f>Inputs_MySOL!$B$11</f>
        <v>3.5000000000000003E-2</v>
      </c>
      <c r="E24" s="14"/>
      <c r="F24" s="14"/>
      <c r="G24" s="444" t="str">
        <f>"Low compared to "&amp;TEXT(Inputs_MySOL!$B$6,"0.0%")&amp;" CFE rate increases"</f>
        <v>Low compared to 8.0% CFE rate increases</v>
      </c>
    </row>
    <row r="25" spans="1:7" ht="15.75" customHeight="1" x14ac:dyDescent="0.2"/>
    <row r="26" spans="1:7" ht="15.75" customHeight="1" x14ac:dyDescent="0.2">
      <c r="A26" s="10" t="s">
        <v>34</v>
      </c>
      <c r="B26" s="11"/>
      <c r="C26" s="11"/>
      <c r="D26" s="15">
        <f>Cust_LeaseTermYears</f>
        <v>15</v>
      </c>
      <c r="E26" s="15"/>
      <c r="F26" s="13"/>
      <c r="G26" s="444" t="s">
        <v>35</v>
      </c>
    </row>
    <row r="27" spans="1:7" ht="15.75" customHeight="1" x14ac:dyDescent="0.2"/>
    <row r="28" spans="1:7" ht="15.75" customHeight="1" x14ac:dyDescent="0.2">
      <c r="A28" s="10" t="s">
        <v>37</v>
      </c>
      <c r="B28" s="11"/>
      <c r="C28" s="11"/>
      <c r="D28" s="13" t="s">
        <v>32</v>
      </c>
      <c r="E28" s="13"/>
      <c r="F28" s="13"/>
      <c r="G28" s="444" t="s">
        <v>328</v>
      </c>
    </row>
    <row r="29" spans="1:7" ht="15.75" customHeight="1" x14ac:dyDescent="0.2"/>
    <row r="30" spans="1:7" ht="15.75" customHeight="1" x14ac:dyDescent="0.2">
      <c r="A30" s="10" t="s">
        <v>39</v>
      </c>
      <c r="B30" s="11"/>
      <c r="C30" s="11"/>
      <c r="D30" s="17" t="s">
        <v>32</v>
      </c>
      <c r="E30" s="17"/>
      <c r="F30" s="17"/>
      <c r="G30" s="445" t="s">
        <v>330</v>
      </c>
    </row>
    <row r="31" spans="1:7" ht="15.75" customHeight="1" x14ac:dyDescent="0.2"/>
    <row r="32" spans="1:7" ht="15.75" customHeight="1" x14ac:dyDescent="0.2">
      <c r="A32" s="10" t="s">
        <v>14</v>
      </c>
      <c r="B32" s="11"/>
      <c r="C32" s="11"/>
      <c r="D32" s="17" t="s">
        <v>32</v>
      </c>
      <c r="E32" s="17"/>
      <c r="F32" s="17"/>
      <c r="G32" s="445" t="s">
        <v>329</v>
      </c>
    </row>
    <row r="33" spans="1:7" ht="15.75" customHeight="1" x14ac:dyDescent="0.2"/>
    <row r="34" spans="1:7" ht="15.75" customHeight="1" x14ac:dyDescent="0.2">
      <c r="A34" s="10" t="s">
        <v>579</v>
      </c>
      <c r="B34" s="11"/>
      <c r="C34" s="11"/>
      <c r="D34" s="13" t="s">
        <v>32</v>
      </c>
      <c r="E34" s="13"/>
      <c r="F34" s="17"/>
      <c r="G34" s="444" t="s">
        <v>419</v>
      </c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6"/>
      <c r="B39" s="1"/>
      <c r="C39" s="1"/>
      <c r="D39" s="1"/>
      <c r="E39" s="1"/>
      <c r="F39" s="1"/>
      <c r="G39" s="1"/>
    </row>
    <row r="67" spans="1:7" ht="23.25" x14ac:dyDescent="0.35">
      <c r="G67" s="4" t="s">
        <v>576</v>
      </c>
    </row>
    <row r="68" spans="1:7" ht="20.25" x14ac:dyDescent="0.3">
      <c r="B68" s="5"/>
      <c r="G68" s="6" t="str">
        <f>G4</f>
        <v xml:space="preserve"> </v>
      </c>
    </row>
    <row r="69" spans="1:7" ht="15" x14ac:dyDescent="0.2">
      <c r="G69" s="7" t="str">
        <f>G5</f>
        <v/>
      </c>
    </row>
    <row r="70" spans="1:7" ht="15" x14ac:dyDescent="0.2">
      <c r="G70" s="7" t="str">
        <f>G6</f>
        <v/>
      </c>
    </row>
    <row r="71" spans="1:7" ht="15" x14ac:dyDescent="0.2">
      <c r="G71" s="7" t="str">
        <f>G7</f>
        <v xml:space="preserve">  </v>
      </c>
    </row>
    <row r="72" spans="1:7" ht="15" x14ac:dyDescent="0.2">
      <c r="G72" s="7" t="str">
        <f>G8</f>
        <v>PV system size is 0.00kW</v>
      </c>
    </row>
    <row r="73" spans="1:7" x14ac:dyDescent="0.2">
      <c r="A73"/>
      <c r="G73" s="1" t="str">
        <f>SysSpec_PV_Units&amp;" "&amp;Inputs!F$4</f>
        <v>0 Trina Solar_TSM-270PA05A</v>
      </c>
    </row>
    <row r="74" spans="1:7" ht="20.25" x14ac:dyDescent="0.3">
      <c r="B74" s="8"/>
      <c r="C74" s="8"/>
      <c r="G74" s="1" t="str">
        <f>SysSpec_Inverters_Units&amp;" "&amp;Inputs!F$5</f>
        <v>0 SolarEdge Technologies_SE3800 (240V) HD Wave</v>
      </c>
    </row>
    <row r="75" spans="1:7" x14ac:dyDescent="0.2">
      <c r="G75" s="1" t="str">
        <f>SysSpec_Optimizers_Units&amp;" "&amp;Inputs!F$6</f>
        <v>0 SolarEdge_P300</v>
      </c>
    </row>
    <row r="77" spans="1:7" x14ac:dyDescent="0.2">
      <c r="C77" s="9"/>
    </row>
    <row r="83" spans="1:7" ht="30.75" customHeight="1" x14ac:dyDescent="0.25">
      <c r="A83" s="18" t="s">
        <v>271</v>
      </c>
      <c r="B83" s="19"/>
      <c r="C83" s="165" t="s">
        <v>580</v>
      </c>
      <c r="D83" s="165" t="s">
        <v>581</v>
      </c>
      <c r="E83" s="20" t="s">
        <v>270</v>
      </c>
      <c r="G83" s="21" t="str">
        <f>15&amp;" Year Summary"</f>
        <v>15 Year Summary</v>
      </c>
    </row>
    <row r="84" spans="1:7" ht="15" x14ac:dyDescent="0.2">
      <c r="A84" s="7" t="s">
        <v>19</v>
      </c>
      <c r="B84" s="7"/>
      <c r="C84" s="73">
        <f>Savings!J6</f>
        <v>60227.244000000006</v>
      </c>
      <c r="D84" s="73">
        <f>Savings!W6</f>
        <v>60227.244000000006</v>
      </c>
      <c r="E84" s="7"/>
      <c r="G84" s="22" t="str">
        <f>"Savings in year " &amp;15&amp;" is "&amp;TEXT(Savings!AE20,"0.0%")</f>
        <v>Savings in year 15 is 45.7%</v>
      </c>
    </row>
    <row r="85" spans="1:7" ht="15" x14ac:dyDescent="0.2">
      <c r="A85" s="19" t="s">
        <v>582</v>
      </c>
      <c r="B85" s="19"/>
      <c r="C85" s="74" t="s">
        <v>42</v>
      </c>
      <c r="D85" s="75">
        <f>Savings!AA6</f>
        <v>0</v>
      </c>
      <c r="E85" s="7"/>
      <c r="G85" s="22" t="str">
        <f>"Savings over "&amp;15&amp;" years is $"&amp;TEXT(G138,"#,##")</f>
        <v>Savings over 15 years is $719,268</v>
      </c>
    </row>
    <row r="86" spans="1:7" ht="15.75" x14ac:dyDescent="0.25">
      <c r="A86" s="21" t="s">
        <v>29</v>
      </c>
      <c r="C86" s="23">
        <f>SUM(C84:C85)</f>
        <v>60227.244000000006</v>
      </c>
      <c r="D86" s="23">
        <f>SUM(D84:D85)</f>
        <v>60227.244000000006</v>
      </c>
      <c r="E86" s="163">
        <f>C86-D86</f>
        <v>0</v>
      </c>
      <c r="F86" s="25"/>
      <c r="G86" s="21"/>
    </row>
    <row r="87" spans="1:7" ht="15.75" x14ac:dyDescent="0.25">
      <c r="A87" s="7"/>
      <c r="C87" s="166"/>
      <c r="D87" s="166"/>
      <c r="E87" s="25"/>
      <c r="G87" s="21"/>
    </row>
    <row r="88" spans="1:7" ht="15.75" x14ac:dyDescent="0.25">
      <c r="A88" s="21"/>
      <c r="C88" s="23"/>
      <c r="D88" s="23"/>
      <c r="E88" s="163"/>
      <c r="F88" s="25"/>
      <c r="G88" s="21"/>
    </row>
    <row r="89" spans="1:7" x14ac:dyDescent="0.2">
      <c r="A89" s="2"/>
      <c r="C89" s="24"/>
    </row>
    <row r="118" spans="1:7" ht="13.5" thickBot="1" x14ac:dyDescent="0.25"/>
    <row r="119" spans="1:7" ht="18" x14ac:dyDescent="0.2">
      <c r="A119" s="523" t="s">
        <v>610</v>
      </c>
      <c r="B119" s="524"/>
      <c r="C119" s="524"/>
      <c r="D119" s="524"/>
      <c r="E119" s="524"/>
      <c r="F119" s="524"/>
      <c r="G119" s="525"/>
    </row>
    <row r="120" spans="1:7" ht="18" x14ac:dyDescent="0.2">
      <c r="A120" s="29"/>
      <c r="B120" s="99"/>
      <c r="C120" s="99"/>
      <c r="D120" s="99"/>
      <c r="E120" s="99"/>
      <c r="F120" s="99"/>
      <c r="G120" s="30"/>
    </row>
    <row r="121" spans="1:7" ht="16.5" customHeight="1" x14ac:dyDescent="0.2">
      <c r="A121" s="526" t="s">
        <v>21</v>
      </c>
      <c r="B121" s="527"/>
      <c r="C121" s="527"/>
      <c r="D121" s="528" t="s">
        <v>31</v>
      </c>
      <c r="E121" s="528"/>
      <c r="F121" s="528"/>
      <c r="G121" s="31" t="s">
        <v>30</v>
      </c>
    </row>
    <row r="122" spans="1:7" x14ac:dyDescent="0.2">
      <c r="A122" s="505">
        <v>1</v>
      </c>
      <c r="B122" s="506"/>
      <c r="C122" s="507"/>
      <c r="D122" s="529">
        <f>Inputs_MySOL!$B$27</f>
        <v>0</v>
      </c>
      <c r="E122" s="530"/>
      <c r="F122" s="531"/>
      <c r="G122" s="26">
        <f>Savings!AD6</f>
        <v>0</v>
      </c>
    </row>
    <row r="123" spans="1:7" x14ac:dyDescent="0.2">
      <c r="A123" s="505">
        <v>2</v>
      </c>
      <c r="B123" s="506"/>
      <c r="C123" s="507"/>
      <c r="D123" s="508"/>
      <c r="E123" s="509"/>
      <c r="F123" s="510"/>
      <c r="G123" s="26">
        <f>Savings!AD7</f>
        <v>29703.515184000011</v>
      </c>
    </row>
    <row r="124" spans="1:7" x14ac:dyDescent="0.2">
      <c r="A124" s="505">
        <v>3</v>
      </c>
      <c r="B124" s="506"/>
      <c r="C124" s="507"/>
      <c r="D124" s="508"/>
      <c r="E124" s="509"/>
      <c r="F124" s="510"/>
      <c r="G124" s="26">
        <f>Savings!AD8</f>
        <v>32079.796398720013</v>
      </c>
    </row>
    <row r="125" spans="1:7" x14ac:dyDescent="0.2">
      <c r="A125" s="505">
        <v>4</v>
      </c>
      <c r="B125" s="506"/>
      <c r="C125" s="507"/>
      <c r="D125" s="508"/>
      <c r="E125" s="509"/>
      <c r="F125" s="510"/>
      <c r="G125" s="26">
        <f>Savings!AD9</f>
        <v>34646.180110617614</v>
      </c>
    </row>
    <row r="126" spans="1:7" x14ac:dyDescent="0.2">
      <c r="A126" s="505">
        <v>5</v>
      </c>
      <c r="B126" s="506"/>
      <c r="C126" s="507"/>
      <c r="D126" s="508"/>
      <c r="E126" s="509"/>
      <c r="F126" s="510"/>
      <c r="G126" s="26">
        <f>Savings!AD10</f>
        <v>37417.874519467048</v>
      </c>
    </row>
    <row r="127" spans="1:7" x14ac:dyDescent="0.2">
      <c r="A127" s="505">
        <v>6</v>
      </c>
      <c r="B127" s="506"/>
      <c r="C127" s="507"/>
      <c r="D127" s="508"/>
      <c r="E127" s="509"/>
      <c r="F127" s="510"/>
      <c r="G127" s="26">
        <f>Savings!AD11</f>
        <v>40411.304481024388</v>
      </c>
    </row>
    <row r="128" spans="1:7" x14ac:dyDescent="0.2">
      <c r="A128" s="505">
        <v>7</v>
      </c>
      <c r="B128" s="506"/>
      <c r="C128" s="507"/>
      <c r="D128" s="508"/>
      <c r="E128" s="509"/>
      <c r="F128" s="510"/>
      <c r="G128" s="26">
        <f>Savings!AD12</f>
        <v>43644.208839506369</v>
      </c>
    </row>
    <row r="129" spans="1:7" x14ac:dyDescent="0.2">
      <c r="A129" s="505">
        <v>8</v>
      </c>
      <c r="B129" s="506"/>
      <c r="C129" s="507"/>
      <c r="D129" s="508"/>
      <c r="E129" s="509"/>
      <c r="F129" s="510"/>
      <c r="G129" s="26">
        <f>Savings!AD13</f>
        <v>47135.745546666869</v>
      </c>
    </row>
    <row r="130" spans="1:7" x14ac:dyDescent="0.2">
      <c r="A130" s="505">
        <v>9</v>
      </c>
      <c r="B130" s="506"/>
      <c r="C130" s="507"/>
      <c r="D130" s="508"/>
      <c r="E130" s="509"/>
      <c r="F130" s="510"/>
      <c r="G130" s="26">
        <f>Savings!AD14</f>
        <v>50906.605190400245</v>
      </c>
    </row>
    <row r="131" spans="1:7" x14ac:dyDescent="0.2">
      <c r="A131" s="505">
        <v>10</v>
      </c>
      <c r="B131" s="506"/>
      <c r="C131" s="507"/>
      <c r="D131" s="508"/>
      <c r="E131" s="509"/>
      <c r="F131" s="510"/>
      <c r="G131" s="26">
        <f>Savings!AD15</f>
        <v>54979.133605632269</v>
      </c>
    </row>
    <row r="132" spans="1:7" x14ac:dyDescent="0.2">
      <c r="A132" s="505">
        <v>11</v>
      </c>
      <c r="B132" s="506"/>
      <c r="C132" s="507"/>
      <c r="D132" s="508"/>
      <c r="E132" s="509"/>
      <c r="F132" s="510"/>
      <c r="G132" s="26">
        <f>Savings!AD16</f>
        <v>59377.464294082863</v>
      </c>
    </row>
    <row r="133" spans="1:7" x14ac:dyDescent="0.2">
      <c r="A133" s="505">
        <v>12</v>
      </c>
      <c r="B133" s="506"/>
      <c r="C133" s="507"/>
      <c r="D133" s="508"/>
      <c r="E133" s="509"/>
      <c r="F133" s="510"/>
      <c r="G133" s="26">
        <f>Savings!AD17</f>
        <v>64127.661437609495</v>
      </c>
    </row>
    <row r="134" spans="1:7" x14ac:dyDescent="0.2">
      <c r="A134" s="505">
        <v>13</v>
      </c>
      <c r="B134" s="506"/>
      <c r="C134" s="507"/>
      <c r="D134" s="508"/>
      <c r="E134" s="509"/>
      <c r="F134" s="510"/>
      <c r="G134" s="26">
        <f>Savings!AD18</f>
        <v>69257.874352618252</v>
      </c>
    </row>
    <row r="135" spans="1:7" x14ac:dyDescent="0.2">
      <c r="A135" s="505">
        <v>14</v>
      </c>
      <c r="B135" s="506"/>
      <c r="C135" s="507"/>
      <c r="D135" s="508"/>
      <c r="E135" s="509"/>
      <c r="F135" s="510"/>
      <c r="G135" s="26">
        <f>Savings!AD19</f>
        <v>74798.504300827772</v>
      </c>
    </row>
    <row r="136" spans="1:7" x14ac:dyDescent="0.2">
      <c r="A136" s="505">
        <v>15</v>
      </c>
      <c r="B136" s="506"/>
      <c r="C136" s="507"/>
      <c r="D136" s="508"/>
      <c r="E136" s="509"/>
      <c r="F136" s="510"/>
      <c r="G136" s="26">
        <f>Savings!AD20</f>
        <v>80782.384644893973</v>
      </c>
    </row>
    <row r="137" spans="1:7" ht="13.5" thickBot="1" x14ac:dyDescent="0.25">
      <c r="A137" s="511" t="s">
        <v>78</v>
      </c>
      <c r="B137" s="512"/>
      <c r="C137" s="513"/>
      <c r="D137" s="514">
        <f>Inputs_MySOL!$B$18</f>
        <v>100</v>
      </c>
      <c r="E137" s="515"/>
      <c r="F137" s="516"/>
      <c r="G137" s="28"/>
    </row>
    <row r="138" spans="1:7" ht="16.5" thickBot="1" x14ac:dyDescent="0.25">
      <c r="A138" s="519" t="s">
        <v>36</v>
      </c>
      <c r="B138" s="520"/>
      <c r="C138" s="520"/>
      <c r="D138" s="521">
        <f>SUM(D122:F137)</f>
        <v>100</v>
      </c>
      <c r="E138" s="521"/>
      <c r="F138" s="521"/>
      <c r="G138" s="27">
        <f>SUM(G122:G136)</f>
        <v>719268.25290606706</v>
      </c>
    </row>
    <row r="141" spans="1:7" x14ac:dyDescent="0.2">
      <c r="A141" s="478"/>
      <c r="B141" s="479"/>
      <c r="C141" s="479"/>
      <c r="D141" s="479"/>
      <c r="E141" s="479"/>
      <c r="F141" s="479"/>
      <c r="G141" s="479"/>
    </row>
    <row r="142" spans="1:7" ht="13.5" thickBot="1" x14ac:dyDescent="0.25">
      <c r="A142" s="480"/>
      <c r="B142" s="480"/>
      <c r="C142" s="480"/>
      <c r="D142" s="480"/>
      <c r="E142" s="480"/>
      <c r="F142" s="480"/>
      <c r="G142" s="480"/>
    </row>
    <row r="143" spans="1:7" x14ac:dyDescent="0.2">
      <c r="A143" s="481" t="s">
        <v>448</v>
      </c>
      <c r="B143" s="482"/>
      <c r="C143" s="482"/>
      <c r="D143" s="482"/>
      <c r="E143" s="482"/>
      <c r="F143" s="482"/>
      <c r="G143" s="482"/>
    </row>
    <row r="144" spans="1:7" x14ac:dyDescent="0.2">
      <c r="A144" s="477"/>
      <c r="B144" s="477"/>
      <c r="C144" s="477"/>
      <c r="D144" s="477"/>
      <c r="E144" s="477"/>
      <c r="F144" s="477"/>
      <c r="G144" s="477"/>
    </row>
    <row r="160" spans="1:7" ht="28.5" customHeight="1" x14ac:dyDescent="0.35">
      <c r="A160" s="517" t="s">
        <v>421</v>
      </c>
      <c r="B160" s="517"/>
      <c r="C160" s="517"/>
      <c r="D160" s="517"/>
      <c r="E160" s="517"/>
      <c r="F160" s="517"/>
      <c r="G160" s="517"/>
    </row>
    <row r="161" spans="1:7" ht="15.75" x14ac:dyDescent="0.25">
      <c r="A161" s="518" t="s">
        <v>422</v>
      </c>
      <c r="B161" s="486"/>
      <c r="C161" s="486"/>
      <c r="D161" s="486"/>
      <c r="E161" s="486"/>
      <c r="F161" s="486"/>
      <c r="G161" s="486"/>
    </row>
    <row r="163" spans="1:7" ht="12.75" customHeight="1" x14ac:dyDescent="0.2">
      <c r="A163" s="484" t="s">
        <v>423</v>
      </c>
      <c r="B163" s="484"/>
      <c r="C163" s="484"/>
      <c r="D163" s="484"/>
      <c r="E163" s="484"/>
      <c r="F163" s="484"/>
      <c r="G163" s="484"/>
    </row>
    <row r="164" spans="1:7" x14ac:dyDescent="0.2">
      <c r="A164" s="484"/>
      <c r="B164" s="484"/>
      <c r="C164" s="484"/>
      <c r="D164" s="484"/>
      <c r="E164" s="484"/>
      <c r="F164" s="484"/>
      <c r="G164" s="484"/>
    </row>
    <row r="165" spans="1:7" x14ac:dyDescent="0.2">
      <c r="A165" s="484"/>
      <c r="B165" s="484"/>
      <c r="C165" s="484"/>
      <c r="D165" s="484"/>
      <c r="E165" s="484"/>
      <c r="F165" s="484"/>
      <c r="G165" s="484"/>
    </row>
    <row r="166" spans="1:7" ht="12.75" customHeight="1" x14ac:dyDescent="0.2">
      <c r="A166" s="483" t="s">
        <v>424</v>
      </c>
      <c r="B166" s="484"/>
      <c r="C166" s="484"/>
      <c r="D166" s="484"/>
      <c r="E166" s="484"/>
      <c r="F166" s="484"/>
      <c r="G166" s="484"/>
    </row>
    <row r="167" spans="1:7" x14ac:dyDescent="0.2">
      <c r="A167" s="484"/>
      <c r="B167" s="484"/>
      <c r="C167" s="484"/>
      <c r="D167" s="484"/>
      <c r="E167" s="484"/>
      <c r="F167" s="484"/>
      <c r="G167" s="484"/>
    </row>
    <row r="168" spans="1:7" x14ac:dyDescent="0.2">
      <c r="A168" s="484"/>
      <c r="B168" s="484"/>
      <c r="C168" s="484"/>
      <c r="D168" s="484"/>
      <c r="E168" s="484"/>
      <c r="F168" s="484"/>
      <c r="G168" s="484"/>
    </row>
    <row r="169" spans="1:7" x14ac:dyDescent="0.2">
      <c r="A169" s="484"/>
      <c r="B169" s="484"/>
      <c r="C169" s="484"/>
      <c r="D169" s="484"/>
      <c r="E169" s="484"/>
      <c r="F169" s="484"/>
      <c r="G169" s="484"/>
    </row>
    <row r="170" spans="1:7" x14ac:dyDescent="0.2">
      <c r="A170" s="484"/>
      <c r="B170" s="484"/>
      <c r="C170" s="484"/>
      <c r="D170" s="484"/>
      <c r="E170" s="484"/>
      <c r="F170" s="484"/>
      <c r="G170" s="484"/>
    </row>
    <row r="171" spans="1:7" x14ac:dyDescent="0.2">
      <c r="A171" s="484"/>
      <c r="B171" s="484"/>
      <c r="C171" s="484"/>
      <c r="D171" s="484"/>
      <c r="E171" s="484"/>
      <c r="F171" s="484"/>
      <c r="G171" s="484"/>
    </row>
    <row r="172" spans="1:7" ht="12.75" customHeight="1" x14ac:dyDescent="0.2">
      <c r="A172" s="484" t="s">
        <v>425</v>
      </c>
      <c r="B172" s="484"/>
      <c r="C172" s="484"/>
      <c r="D172" s="484"/>
      <c r="E172" s="484"/>
      <c r="F172" s="484"/>
      <c r="G172" s="484"/>
    </row>
    <row r="173" spans="1:7" x14ac:dyDescent="0.2">
      <c r="A173" s="484"/>
      <c r="B173" s="484"/>
      <c r="C173" s="484"/>
      <c r="D173" s="484"/>
      <c r="E173" s="484"/>
      <c r="F173" s="484"/>
      <c r="G173" s="484"/>
    </row>
    <row r="174" spans="1:7" x14ac:dyDescent="0.2">
      <c r="A174" s="436"/>
      <c r="B174" s="436"/>
      <c r="C174" s="436"/>
      <c r="D174" s="436"/>
      <c r="E174" s="436"/>
      <c r="F174" s="436"/>
      <c r="G174" s="436"/>
    </row>
    <row r="175" spans="1:7" x14ac:dyDescent="0.2">
      <c r="A175" s="389"/>
      <c r="B175" s="389"/>
      <c r="C175" s="389"/>
      <c r="D175" s="389"/>
      <c r="E175" s="389"/>
      <c r="F175" s="389"/>
      <c r="G175" s="389"/>
    </row>
    <row r="176" spans="1:7" x14ac:dyDescent="0.2">
      <c r="A176" s="485" t="s">
        <v>426</v>
      </c>
      <c r="B176" s="486"/>
      <c r="C176" s="486"/>
      <c r="D176" s="486"/>
      <c r="E176" s="486"/>
      <c r="F176" s="486"/>
      <c r="G176" s="486"/>
    </row>
    <row r="177" spans="1:7" ht="13.5" thickBot="1" x14ac:dyDescent="0.25"/>
    <row r="178" spans="1:7" ht="36" thickBot="1" x14ac:dyDescent="0.25">
      <c r="A178"/>
      <c r="B178"/>
      <c r="C178" s="396"/>
      <c r="D178" s="490" t="s">
        <v>427</v>
      </c>
      <c r="E178" s="491"/>
      <c r="F178" s="390"/>
    </row>
    <row r="179" spans="1:7" ht="36" thickBot="1" x14ac:dyDescent="0.25">
      <c r="A179" s="391"/>
      <c r="C179" s="396"/>
      <c r="D179" s="490" t="s">
        <v>428</v>
      </c>
      <c r="E179" s="491"/>
      <c r="F179" s="390"/>
    </row>
    <row r="180" spans="1:7" ht="36" thickBot="1" x14ac:dyDescent="0.25">
      <c r="C180" s="396"/>
      <c r="D180" s="490" t="s">
        <v>427</v>
      </c>
      <c r="E180" s="491"/>
      <c r="F180" s="390"/>
    </row>
    <row r="182" spans="1:7" x14ac:dyDescent="0.2">
      <c r="A182" s="2" t="s">
        <v>429</v>
      </c>
      <c r="B182" s="2"/>
    </row>
    <row r="183" spans="1:7" ht="25.5" customHeight="1" thickBot="1" x14ac:dyDescent="0.25">
      <c r="A183" s="487"/>
      <c r="B183" s="488"/>
      <c r="C183" s="488"/>
      <c r="D183" s="488"/>
      <c r="E183" s="488"/>
      <c r="F183" s="488"/>
      <c r="G183" s="488"/>
    </row>
    <row r="185" spans="1:7" x14ac:dyDescent="0.2">
      <c r="A185" s="2" t="s">
        <v>430</v>
      </c>
      <c r="B185" s="2"/>
    </row>
    <row r="186" spans="1:7" ht="25.5" customHeight="1" thickBot="1" x14ac:dyDescent="0.25">
      <c r="A186" s="489"/>
      <c r="B186" s="488"/>
      <c r="C186" s="488"/>
      <c r="D186" s="488"/>
      <c r="E186" s="488"/>
      <c r="F186" s="488"/>
      <c r="G186" s="488"/>
    </row>
    <row r="188" spans="1:7" ht="25.5" customHeight="1" thickBot="1" x14ac:dyDescent="0.25">
      <c r="A188" s="2" t="s">
        <v>431</v>
      </c>
      <c r="B188" s="440"/>
      <c r="C188" s="441"/>
      <c r="D188" s="499"/>
      <c r="E188" s="488"/>
      <c r="F188" s="488"/>
      <c r="G188" s="488"/>
    </row>
    <row r="190" spans="1:7" ht="25.5" customHeight="1" thickBot="1" x14ac:dyDescent="0.25">
      <c r="A190" s="440" t="s">
        <v>432</v>
      </c>
      <c r="B190" s="500"/>
      <c r="C190" s="488"/>
      <c r="D190" s="488"/>
      <c r="E190" s="488"/>
      <c r="F190" s="488"/>
      <c r="G190" s="488"/>
    </row>
    <row r="192" spans="1:7" ht="25.5" customHeight="1" thickBot="1" x14ac:dyDescent="0.25">
      <c r="A192" s="440" t="s">
        <v>433</v>
      </c>
      <c r="B192" s="488"/>
      <c r="C192" s="488"/>
      <c r="D192" s="488"/>
      <c r="E192" s="488"/>
      <c r="F192" s="488"/>
      <c r="G192" s="488"/>
    </row>
    <row r="194" spans="1:7" ht="25.5" customHeight="1" thickBot="1" x14ac:dyDescent="0.25">
      <c r="A194" s="2" t="s">
        <v>434</v>
      </c>
      <c r="B194" s="447"/>
      <c r="C194" s="437"/>
      <c r="D194" s="437"/>
      <c r="E194" s="437"/>
      <c r="F194" s="2" t="s">
        <v>435</v>
      </c>
      <c r="G194" s="392"/>
    </row>
    <row r="196" spans="1:7" ht="25.5" customHeight="1" thickBot="1" x14ac:dyDescent="0.25">
      <c r="A196" s="2" t="s">
        <v>436</v>
      </c>
      <c r="B196" s="447"/>
      <c r="C196" s="437"/>
      <c r="D196" s="437"/>
      <c r="E196" s="437"/>
      <c r="F196" s="2" t="s">
        <v>437</v>
      </c>
      <c r="G196" s="392"/>
    </row>
    <row r="198" spans="1:7" ht="25.5" customHeight="1" thickBot="1" x14ac:dyDescent="0.25">
      <c r="A198" s="440" t="s">
        <v>438</v>
      </c>
      <c r="B198" s="440"/>
      <c r="C198" s="441"/>
      <c r="D198" s="442"/>
      <c r="E198" s="495"/>
      <c r="F198" s="495"/>
      <c r="G198" s="495"/>
    </row>
    <row r="200" spans="1:7" ht="12.75" customHeight="1" x14ac:dyDescent="0.2">
      <c r="A200" s="493" t="s">
        <v>439</v>
      </c>
      <c r="B200" s="494"/>
      <c r="C200" s="494"/>
      <c r="D200" s="494"/>
      <c r="E200" s="494"/>
      <c r="F200" s="494"/>
      <c r="G200" s="494"/>
    </row>
    <row r="201" spans="1:7" x14ac:dyDescent="0.2">
      <c r="A201" s="494"/>
      <c r="B201" s="494"/>
      <c r="C201" s="494"/>
      <c r="D201" s="494"/>
      <c r="E201" s="494"/>
      <c r="F201" s="494"/>
      <c r="G201" s="494"/>
    </row>
    <row r="202" spans="1:7" x14ac:dyDescent="0.2">
      <c r="A202" s="494"/>
      <c r="B202" s="494"/>
      <c r="C202" s="494"/>
      <c r="D202" s="494"/>
      <c r="E202" s="494"/>
      <c r="F202" s="494"/>
      <c r="G202" s="494"/>
    </row>
    <row r="203" spans="1:7" x14ac:dyDescent="0.2">
      <c r="A203" s="494"/>
      <c r="B203" s="494"/>
      <c r="C203" s="494"/>
      <c r="D203" s="494"/>
      <c r="E203" s="494"/>
      <c r="F203" s="494"/>
      <c r="G203" s="494"/>
    </row>
    <row r="206" spans="1:7" ht="25.5" customHeight="1" thickBot="1" x14ac:dyDescent="0.25">
      <c r="A206" s="495"/>
      <c r="B206" s="496"/>
      <c r="C206" s="496"/>
      <c r="D206" s="496"/>
      <c r="E206" s="496"/>
      <c r="F206" s="496"/>
      <c r="G206" s="496"/>
    </row>
    <row r="207" spans="1:7" x14ac:dyDescent="0.2">
      <c r="A207" s="497" t="s">
        <v>440</v>
      </c>
      <c r="B207" s="486"/>
      <c r="C207" s="486"/>
      <c r="D207" s="486"/>
      <c r="E207" s="486"/>
      <c r="F207" s="486"/>
      <c r="G207" s="486"/>
    </row>
    <row r="208" spans="1:7" x14ac:dyDescent="0.2">
      <c r="A208" s="439"/>
      <c r="B208" s="439"/>
      <c r="C208" s="439"/>
      <c r="D208" s="439"/>
      <c r="E208" s="439"/>
      <c r="F208" s="439"/>
      <c r="G208" s="439"/>
    </row>
    <row r="209" spans="1:7" x14ac:dyDescent="0.2">
      <c r="A209" s="498" t="s">
        <v>441</v>
      </c>
      <c r="B209" s="477"/>
      <c r="C209" s="477"/>
      <c r="D209" s="477"/>
      <c r="E209" s="477"/>
      <c r="F209" s="477"/>
      <c r="G209" s="477"/>
    </row>
    <row r="211" spans="1:7" ht="12.75" customHeight="1" x14ac:dyDescent="0.2">
      <c r="A211" s="501" t="s">
        <v>442</v>
      </c>
      <c r="B211" s="494"/>
      <c r="C211" s="494"/>
      <c r="D211" s="494"/>
      <c r="E211" s="494"/>
      <c r="F211" s="494"/>
      <c r="G211" s="494"/>
    </row>
    <row r="212" spans="1:7" x14ac:dyDescent="0.2">
      <c r="A212" s="494"/>
      <c r="B212" s="494"/>
      <c r="C212" s="494"/>
      <c r="D212" s="494"/>
      <c r="E212" s="494"/>
      <c r="F212" s="494"/>
      <c r="G212" s="494"/>
    </row>
    <row r="214" spans="1:7" ht="12.75" customHeight="1" x14ac:dyDescent="0.2">
      <c r="A214" s="438"/>
      <c r="B214" s="439"/>
      <c r="C214" s="439"/>
      <c r="D214" s="439"/>
      <c r="E214" s="439"/>
      <c r="F214" s="439"/>
      <c r="G214" s="439"/>
    </row>
    <row r="215" spans="1:7" x14ac:dyDescent="0.2">
      <c r="A215" s="439"/>
      <c r="B215" s="439"/>
      <c r="C215" s="439"/>
      <c r="D215" s="439"/>
      <c r="E215" s="439"/>
      <c r="F215" s="439"/>
      <c r="G215" s="439"/>
    </row>
    <row r="216" spans="1:7" x14ac:dyDescent="0.2">
      <c r="A216" s="439"/>
      <c r="B216" s="439"/>
      <c r="C216" s="439"/>
      <c r="D216" s="439"/>
      <c r="E216" s="439"/>
      <c r="F216" s="439"/>
      <c r="G216" s="439"/>
    </row>
    <row r="217" spans="1:7" x14ac:dyDescent="0.2">
      <c r="A217" s="502" t="s">
        <v>443</v>
      </c>
      <c r="B217" s="503"/>
      <c r="C217" s="503"/>
      <c r="D217" s="503"/>
      <c r="E217" s="503"/>
      <c r="F217" s="503"/>
      <c r="G217" s="503"/>
    </row>
    <row r="218" spans="1:7" x14ac:dyDescent="0.2">
      <c r="A218" s="503"/>
      <c r="B218" s="503"/>
      <c r="C218" s="503"/>
      <c r="D218" s="503"/>
      <c r="E218" s="503"/>
      <c r="F218" s="503"/>
      <c r="G218" s="503"/>
    </row>
    <row r="219" spans="1:7" x14ac:dyDescent="0.2">
      <c r="A219" s="503"/>
      <c r="B219" s="503"/>
      <c r="C219" s="503"/>
      <c r="D219" s="503"/>
      <c r="E219" s="503"/>
      <c r="F219" s="503"/>
      <c r="G219" s="503"/>
    </row>
    <row r="220" spans="1:7" x14ac:dyDescent="0.2">
      <c r="A220" s="503"/>
      <c r="B220" s="503"/>
      <c r="C220" s="503"/>
      <c r="D220" s="503"/>
      <c r="E220" s="503"/>
      <c r="F220" s="503"/>
      <c r="G220" s="503"/>
    </row>
    <row r="221" spans="1:7" x14ac:dyDescent="0.2">
      <c r="A221" s="503"/>
      <c r="B221" s="503"/>
      <c r="C221" s="503"/>
      <c r="D221" s="503"/>
      <c r="E221" s="503"/>
      <c r="F221" s="503"/>
      <c r="G221" s="503"/>
    </row>
    <row r="222" spans="1:7" x14ac:dyDescent="0.2">
      <c r="A222" s="394"/>
      <c r="B222" s="439"/>
      <c r="C222" s="439"/>
      <c r="D222" s="439"/>
      <c r="E222" s="439"/>
      <c r="F222" s="439"/>
      <c r="G222" s="439"/>
    </row>
    <row r="223" spans="1:7" ht="12.75" customHeight="1" x14ac:dyDescent="0.2">
      <c r="A223" s="504" t="s">
        <v>444</v>
      </c>
      <c r="B223" s="477"/>
      <c r="C223" s="477"/>
      <c r="D223" s="477"/>
      <c r="E223" s="477"/>
      <c r="F223" s="477"/>
      <c r="G223" s="477"/>
    </row>
    <row r="224" spans="1:7" x14ac:dyDescent="0.2">
      <c r="A224" s="477"/>
      <c r="B224" s="477"/>
      <c r="C224" s="477"/>
      <c r="D224" s="477"/>
      <c r="E224" s="477"/>
      <c r="F224" s="477"/>
      <c r="G224" s="477"/>
    </row>
    <row r="225" spans="1:7" x14ac:dyDescent="0.2">
      <c r="A225" s="477"/>
      <c r="B225" s="477"/>
      <c r="C225" s="477"/>
      <c r="D225" s="477"/>
      <c r="E225" s="477"/>
      <c r="F225" s="477"/>
      <c r="G225" s="477"/>
    </row>
    <row r="226" spans="1:7" ht="25.5" customHeight="1" thickBot="1" x14ac:dyDescent="0.25">
      <c r="A226" s="476" t="s">
        <v>445</v>
      </c>
      <c r="B226" s="477"/>
      <c r="C226" s="477"/>
      <c r="D226" s="477"/>
      <c r="E226" s="492"/>
      <c r="F226" s="492"/>
      <c r="G226" s="492"/>
    </row>
    <row r="227" spans="1:7" ht="25.5" customHeight="1" thickBot="1" x14ac:dyDescent="0.25">
      <c r="A227" s="476" t="s">
        <v>446</v>
      </c>
      <c r="B227" s="477"/>
      <c r="C227" s="477"/>
      <c r="D227" s="477"/>
      <c r="E227" s="492"/>
      <c r="F227" s="492"/>
      <c r="G227" s="492"/>
    </row>
    <row r="228" spans="1:7" ht="25.5" customHeight="1" thickBot="1" x14ac:dyDescent="0.25">
      <c r="A228" s="476" t="s">
        <v>447</v>
      </c>
      <c r="B228" s="477"/>
      <c r="C228" s="477"/>
      <c r="D228" s="477"/>
      <c r="E228" s="492"/>
      <c r="F228" s="492"/>
      <c r="G228" s="492"/>
    </row>
    <row r="236" spans="1:7" ht="13.5" thickBot="1" x14ac:dyDescent="0.25"/>
    <row r="237" spans="1:7" ht="24" thickBot="1" x14ac:dyDescent="0.4">
      <c r="A237" s="542" t="s">
        <v>671</v>
      </c>
      <c r="B237" s="543"/>
      <c r="C237" s="543"/>
      <c r="D237" s="543"/>
      <c r="E237" s="543"/>
      <c r="F237" s="543"/>
      <c r="G237" s="544"/>
    </row>
    <row r="238" spans="1:7" ht="25.5" customHeight="1" thickBot="1" x14ac:dyDescent="0.25">
      <c r="A238" s="545" t="s">
        <v>703</v>
      </c>
      <c r="B238" s="536"/>
      <c r="C238" s="537"/>
      <c r="D238" s="546"/>
      <c r="E238" s="546"/>
      <c r="F238" s="546"/>
      <c r="G238" s="547"/>
    </row>
    <row r="239" spans="1:7" ht="25.5" customHeight="1" thickBot="1" x14ac:dyDescent="0.25">
      <c r="A239" s="548" t="s">
        <v>704</v>
      </c>
      <c r="B239" s="540"/>
      <c r="C239" s="541"/>
      <c r="D239" s="489"/>
      <c r="E239" s="489"/>
      <c r="F239" s="489"/>
      <c r="G239" s="538"/>
    </row>
    <row r="240" spans="1:7" ht="12.75" customHeight="1" thickBot="1" x14ac:dyDescent="0.25">
      <c r="A240" s="458"/>
      <c r="B240" s="459"/>
      <c r="C240" s="459"/>
      <c r="D240" s="451"/>
      <c r="E240" s="451"/>
      <c r="F240" s="451"/>
      <c r="G240" s="454"/>
    </row>
    <row r="241" spans="1:7" ht="12.75" customHeight="1" thickBot="1" x14ac:dyDescent="0.25">
      <c r="A241" s="440"/>
      <c r="B241" s="440"/>
      <c r="C241" s="440"/>
      <c r="D241" s="446"/>
      <c r="E241" s="446"/>
      <c r="F241" s="446"/>
      <c r="G241" s="446"/>
    </row>
    <row r="242" spans="1:7" ht="12.75" customHeight="1" thickBot="1" x14ac:dyDescent="0.25">
      <c r="A242" s="532" t="s">
        <v>673</v>
      </c>
      <c r="B242" s="533"/>
      <c r="C242" s="534"/>
      <c r="D242" s="450"/>
      <c r="E242" s="451"/>
      <c r="F242" s="451"/>
      <c r="G242" s="451"/>
    </row>
    <row r="243" spans="1:7" ht="25.5" customHeight="1" thickBot="1" x14ac:dyDescent="0.25">
      <c r="A243" s="535" t="s">
        <v>489</v>
      </c>
      <c r="B243" s="536"/>
      <c r="C243" s="537"/>
      <c r="D243" s="489"/>
      <c r="E243" s="489"/>
      <c r="F243" s="489"/>
      <c r="G243" s="538"/>
    </row>
    <row r="244" spans="1:7" ht="25.5" customHeight="1" thickBot="1" x14ac:dyDescent="0.25">
      <c r="A244" s="539" t="s">
        <v>668</v>
      </c>
      <c r="B244" s="540"/>
      <c r="C244" s="541"/>
      <c r="D244" s="489"/>
      <c r="E244" s="489"/>
      <c r="F244" s="489"/>
      <c r="G244" s="538"/>
    </row>
    <row r="245" spans="1:7" ht="12.75" customHeight="1" thickBot="1" x14ac:dyDescent="0.25">
      <c r="A245" s="452"/>
      <c r="B245" s="453"/>
      <c r="C245" s="453"/>
      <c r="D245" s="451"/>
      <c r="E245" s="451"/>
      <c r="F245" s="451"/>
      <c r="G245" s="454"/>
    </row>
    <row r="246" spans="1:7" ht="12.75" customHeight="1" thickBot="1" x14ac:dyDescent="0.25">
      <c r="A246" s="440"/>
      <c r="B246" s="440"/>
      <c r="C246" s="440"/>
      <c r="D246" s="446"/>
      <c r="E246" s="446"/>
      <c r="F246" s="446"/>
      <c r="G246" s="446"/>
    </row>
    <row r="247" spans="1:7" ht="12.75" customHeight="1" thickBot="1" x14ac:dyDescent="0.25">
      <c r="A247" s="532" t="s">
        <v>672</v>
      </c>
      <c r="B247" s="533"/>
      <c r="C247" s="534"/>
      <c r="D247" s="450"/>
      <c r="E247" s="451"/>
      <c r="F247" s="451"/>
      <c r="G247" s="451"/>
    </row>
    <row r="248" spans="1:7" ht="25.5" customHeight="1" thickBot="1" x14ac:dyDescent="0.25">
      <c r="A248" s="535" t="s">
        <v>653</v>
      </c>
      <c r="B248" s="536"/>
      <c r="C248" s="537"/>
      <c r="D248" s="489"/>
      <c r="E248" s="489"/>
      <c r="F248" s="489"/>
      <c r="G248" s="538"/>
    </row>
    <row r="249" spans="1:7" ht="25.5" customHeight="1" thickBot="1" x14ac:dyDescent="0.25">
      <c r="A249" s="539" t="s">
        <v>654</v>
      </c>
      <c r="B249" s="540"/>
      <c r="C249" s="541"/>
      <c r="D249" s="489"/>
      <c r="E249" s="489"/>
      <c r="F249" s="489"/>
      <c r="G249" s="538"/>
    </row>
    <row r="250" spans="1:7" ht="25.5" customHeight="1" thickBot="1" x14ac:dyDescent="0.25">
      <c r="A250" s="539" t="s">
        <v>655</v>
      </c>
      <c r="B250" s="540"/>
      <c r="C250" s="541"/>
      <c r="D250" s="489"/>
      <c r="E250" s="489"/>
      <c r="F250" s="489"/>
      <c r="G250" s="538"/>
    </row>
    <row r="251" spans="1:7" ht="25.5" customHeight="1" thickBot="1" x14ac:dyDescent="0.25">
      <c r="A251" s="539" t="s">
        <v>656</v>
      </c>
      <c r="B251" s="540"/>
      <c r="C251" s="541"/>
      <c r="D251" s="489"/>
      <c r="E251" s="489"/>
      <c r="F251" s="489"/>
      <c r="G251" s="538"/>
    </row>
    <row r="252" spans="1:7" ht="25.5" customHeight="1" thickBot="1" x14ac:dyDescent="0.25">
      <c r="A252" s="539" t="s">
        <v>657</v>
      </c>
      <c r="B252" s="540"/>
      <c r="C252" s="541"/>
      <c r="D252" s="489"/>
      <c r="E252" s="489"/>
      <c r="F252" s="489"/>
      <c r="G252" s="538"/>
    </row>
    <row r="253" spans="1:7" ht="25.5" customHeight="1" thickBot="1" x14ac:dyDescent="0.25">
      <c r="A253" s="539" t="s">
        <v>658</v>
      </c>
      <c r="B253" s="540"/>
      <c r="C253" s="541"/>
      <c r="D253" s="489"/>
      <c r="E253" s="489"/>
      <c r="F253" s="489"/>
      <c r="G253" s="538"/>
    </row>
    <row r="254" spans="1:7" ht="25.5" customHeight="1" thickBot="1" x14ac:dyDescent="0.25">
      <c r="A254" s="539" t="s">
        <v>659</v>
      </c>
      <c r="B254" s="540"/>
      <c r="C254" s="541"/>
      <c r="D254" s="489"/>
      <c r="E254" s="489"/>
      <c r="F254" s="489"/>
      <c r="G254" s="538"/>
    </row>
    <row r="255" spans="1:7" ht="25.5" customHeight="1" thickBot="1" x14ac:dyDescent="0.25">
      <c r="A255" s="539" t="s">
        <v>666</v>
      </c>
      <c r="B255" s="540"/>
      <c r="C255" s="541"/>
      <c r="D255" s="489"/>
      <c r="E255" s="489"/>
      <c r="F255" s="489"/>
      <c r="G255" s="538"/>
    </row>
    <row r="256" spans="1:7" ht="25.5" customHeight="1" thickBot="1" x14ac:dyDescent="0.25">
      <c r="A256" s="539" t="s">
        <v>660</v>
      </c>
      <c r="B256" s="540"/>
      <c r="C256" s="541"/>
      <c r="D256" s="489"/>
      <c r="E256" s="489"/>
      <c r="F256" s="489"/>
      <c r="G256" s="538"/>
    </row>
    <row r="257" spans="1:7" ht="25.5" customHeight="1" thickBot="1" x14ac:dyDescent="0.25">
      <c r="A257" s="539" t="s">
        <v>661</v>
      </c>
      <c r="B257" s="540"/>
      <c r="C257" s="541"/>
      <c r="D257" s="489"/>
      <c r="E257" s="489"/>
      <c r="F257" s="489"/>
      <c r="G257" s="538"/>
    </row>
    <row r="258" spans="1:7" ht="25.5" customHeight="1" thickBot="1" x14ac:dyDescent="0.25">
      <c r="A258" s="539" t="s">
        <v>662</v>
      </c>
      <c r="B258" s="540"/>
      <c r="C258" s="541"/>
      <c r="D258" s="489"/>
      <c r="E258" s="489"/>
      <c r="F258" s="489"/>
      <c r="G258" s="538"/>
    </row>
    <row r="259" spans="1:7" ht="25.5" customHeight="1" thickBot="1" x14ac:dyDescent="0.25">
      <c r="A259" s="539" t="s">
        <v>663</v>
      </c>
      <c r="B259" s="540"/>
      <c r="C259" s="541"/>
      <c r="D259" s="489"/>
      <c r="E259" s="489"/>
      <c r="F259" s="489"/>
      <c r="G259" s="538"/>
    </row>
    <row r="260" spans="1:7" ht="25.5" customHeight="1" thickBot="1" x14ac:dyDescent="0.25">
      <c r="A260" s="539" t="s">
        <v>664</v>
      </c>
      <c r="B260" s="540"/>
      <c r="C260" s="541"/>
      <c r="D260" s="489"/>
      <c r="E260" s="489"/>
      <c r="F260" s="489"/>
      <c r="G260" s="538"/>
    </row>
    <row r="261" spans="1:7" ht="25.5" customHeight="1" thickBot="1" x14ac:dyDescent="0.25">
      <c r="A261" s="549" t="s">
        <v>670</v>
      </c>
      <c r="B261" s="550"/>
      <c r="C261" s="551"/>
      <c r="D261" s="489"/>
      <c r="E261" s="489"/>
      <c r="F261" s="489"/>
      <c r="G261" s="538"/>
    </row>
    <row r="262" spans="1:7" ht="25.5" customHeight="1" thickBot="1" x14ac:dyDescent="0.25">
      <c r="A262" s="539" t="s">
        <v>665</v>
      </c>
      <c r="B262" s="540"/>
      <c r="C262" s="541"/>
      <c r="D262" s="489"/>
      <c r="E262" s="489"/>
      <c r="F262" s="489"/>
      <c r="G262" s="538"/>
    </row>
    <row r="263" spans="1:7" ht="12.75" customHeight="1" thickBot="1" x14ac:dyDescent="0.25">
      <c r="A263" s="452"/>
      <c r="B263" s="453"/>
      <c r="C263" s="453"/>
      <c r="D263" s="451"/>
      <c r="E263" s="451"/>
      <c r="F263" s="451"/>
      <c r="G263" s="454"/>
    </row>
    <row r="264" spans="1:7" ht="12.75" customHeight="1" thickBot="1" x14ac:dyDescent="0.25">
      <c r="A264" s="449"/>
      <c r="B264" s="449"/>
      <c r="C264" s="449"/>
      <c r="D264" s="446"/>
      <c r="E264" s="446"/>
      <c r="F264" s="446"/>
      <c r="G264" s="446"/>
    </row>
    <row r="265" spans="1:7" ht="12.75" customHeight="1" thickBot="1" x14ac:dyDescent="0.25">
      <c r="A265" s="532" t="s">
        <v>674</v>
      </c>
      <c r="B265" s="533"/>
      <c r="C265" s="534"/>
      <c r="D265" s="450"/>
      <c r="E265" s="451"/>
      <c r="F265" s="451"/>
      <c r="G265" s="451"/>
    </row>
    <row r="266" spans="1:7" ht="25.5" customHeight="1" thickBot="1" x14ac:dyDescent="0.25">
      <c r="A266" s="535" t="s">
        <v>519</v>
      </c>
      <c r="B266" s="536"/>
      <c r="C266" s="537"/>
      <c r="D266" s="489"/>
      <c r="E266" s="489"/>
      <c r="F266" s="489"/>
      <c r="G266" s="538"/>
    </row>
    <row r="267" spans="1:7" ht="25.5" customHeight="1" thickBot="1" x14ac:dyDescent="0.25">
      <c r="A267" s="548" t="s">
        <v>704</v>
      </c>
      <c r="B267" s="540"/>
      <c r="C267" s="541"/>
      <c r="D267" s="489"/>
      <c r="E267" s="489"/>
      <c r="F267" s="489"/>
      <c r="G267" s="538"/>
    </row>
    <row r="268" spans="1:7" ht="12.75" customHeight="1" thickBot="1" x14ac:dyDescent="0.25">
      <c r="A268" s="452"/>
      <c r="B268" s="453"/>
      <c r="C268" s="453"/>
      <c r="D268" s="451"/>
      <c r="E268" s="451"/>
      <c r="F268" s="451"/>
      <c r="G268" s="454"/>
    </row>
    <row r="269" spans="1:7" ht="12.75" customHeight="1" thickBot="1" x14ac:dyDescent="0.25">
      <c r="A269" s="440"/>
      <c r="B269" s="440"/>
      <c r="C269" s="440"/>
      <c r="D269" s="446"/>
      <c r="E269" s="446"/>
      <c r="F269" s="446"/>
      <c r="G269" s="446"/>
    </row>
    <row r="270" spans="1:7" ht="12.75" customHeight="1" thickBot="1" x14ac:dyDescent="0.25">
      <c r="A270" s="532" t="s">
        <v>675</v>
      </c>
      <c r="B270" s="533"/>
      <c r="C270" s="534"/>
      <c r="D270" s="450"/>
      <c r="E270" s="451"/>
      <c r="F270" s="451"/>
      <c r="G270" s="451"/>
    </row>
    <row r="271" spans="1:7" ht="25.5" customHeight="1" thickBot="1" x14ac:dyDescent="0.25">
      <c r="A271" s="535" t="s">
        <v>489</v>
      </c>
      <c r="B271" s="536"/>
      <c r="C271" s="537"/>
      <c r="D271" s="546"/>
      <c r="E271" s="546"/>
      <c r="F271" s="546"/>
      <c r="G271" s="547"/>
    </row>
    <row r="272" spans="1:7" ht="25.5" customHeight="1" thickBot="1" x14ac:dyDescent="0.25">
      <c r="A272" s="539" t="s">
        <v>668</v>
      </c>
      <c r="B272" s="540"/>
      <c r="C272" s="541"/>
      <c r="D272" s="489"/>
      <c r="E272" s="489"/>
      <c r="F272" s="489"/>
      <c r="G272" s="538"/>
    </row>
    <row r="273" spans="1:7" ht="12.75" customHeight="1" thickBot="1" x14ac:dyDescent="0.25">
      <c r="A273" s="452"/>
      <c r="B273" s="453"/>
      <c r="C273" s="453"/>
      <c r="D273" s="451"/>
      <c r="E273" s="451"/>
      <c r="F273" s="451"/>
      <c r="G273" s="454"/>
    </row>
    <row r="274" spans="1:7" ht="12.75" customHeight="1" thickBot="1" x14ac:dyDescent="0.25">
      <c r="A274" s="440"/>
      <c r="B274" s="440"/>
      <c r="C274" s="440"/>
      <c r="D274" s="446"/>
      <c r="E274" s="446"/>
      <c r="F274" s="446"/>
      <c r="G274" s="446"/>
    </row>
    <row r="275" spans="1:7" ht="12.75" customHeight="1" thickBot="1" x14ac:dyDescent="0.25">
      <c r="A275" s="532" t="s">
        <v>676</v>
      </c>
      <c r="B275" s="533"/>
      <c r="C275" s="534"/>
      <c r="D275" s="450"/>
      <c r="E275" s="451"/>
      <c r="F275" s="451"/>
      <c r="G275" s="451"/>
    </row>
    <row r="276" spans="1:7" ht="25.5" customHeight="1" thickBot="1" x14ac:dyDescent="0.25">
      <c r="A276" s="535" t="s">
        <v>653</v>
      </c>
      <c r="B276" s="536"/>
      <c r="C276" s="537"/>
      <c r="D276" s="489"/>
      <c r="E276" s="489"/>
      <c r="F276" s="489"/>
      <c r="G276" s="538"/>
    </row>
    <row r="277" spans="1:7" ht="25.5" customHeight="1" thickBot="1" x14ac:dyDescent="0.25">
      <c r="A277" s="539" t="s">
        <v>654</v>
      </c>
      <c r="B277" s="540"/>
      <c r="C277" s="541"/>
      <c r="D277" s="489"/>
      <c r="E277" s="489"/>
      <c r="F277" s="489"/>
      <c r="G277" s="538"/>
    </row>
    <row r="278" spans="1:7" ht="25.5" customHeight="1" thickBot="1" x14ac:dyDescent="0.25">
      <c r="A278" s="539" t="s">
        <v>655</v>
      </c>
      <c r="B278" s="540"/>
      <c r="C278" s="541"/>
      <c r="D278" s="489"/>
      <c r="E278" s="489"/>
      <c r="F278" s="489"/>
      <c r="G278" s="538"/>
    </row>
    <row r="279" spans="1:7" ht="25.5" customHeight="1" thickBot="1" x14ac:dyDescent="0.25">
      <c r="A279" s="539" t="s">
        <v>656</v>
      </c>
      <c r="B279" s="540"/>
      <c r="C279" s="541"/>
      <c r="D279" s="489"/>
      <c r="E279" s="489"/>
      <c r="F279" s="489"/>
      <c r="G279" s="538"/>
    </row>
    <row r="280" spans="1:7" ht="25.5" customHeight="1" thickBot="1" x14ac:dyDescent="0.25">
      <c r="A280" s="539" t="s">
        <v>657</v>
      </c>
      <c r="B280" s="540"/>
      <c r="C280" s="541"/>
      <c r="D280" s="489"/>
      <c r="E280" s="489"/>
      <c r="F280" s="489"/>
      <c r="G280" s="538"/>
    </row>
    <row r="281" spans="1:7" ht="25.5" customHeight="1" thickBot="1" x14ac:dyDescent="0.25">
      <c r="A281" s="539" t="s">
        <v>658</v>
      </c>
      <c r="B281" s="540"/>
      <c r="C281" s="541"/>
      <c r="D281" s="489"/>
      <c r="E281" s="489"/>
      <c r="F281" s="489"/>
      <c r="G281" s="538"/>
    </row>
    <row r="282" spans="1:7" ht="25.5" customHeight="1" thickBot="1" x14ac:dyDescent="0.25">
      <c r="A282" s="539" t="s">
        <v>659</v>
      </c>
      <c r="B282" s="540"/>
      <c r="C282" s="541"/>
      <c r="D282" s="489"/>
      <c r="E282" s="489"/>
      <c r="F282" s="489"/>
      <c r="G282" s="538"/>
    </row>
    <row r="283" spans="1:7" ht="25.5" customHeight="1" thickBot="1" x14ac:dyDescent="0.25">
      <c r="A283" s="539" t="s">
        <v>666</v>
      </c>
      <c r="B283" s="540"/>
      <c r="C283" s="541"/>
      <c r="D283" s="489"/>
      <c r="E283" s="489"/>
      <c r="F283" s="489"/>
      <c r="G283" s="538"/>
    </row>
    <row r="284" spans="1:7" ht="25.5" customHeight="1" thickBot="1" x14ac:dyDescent="0.25">
      <c r="A284" s="539" t="s">
        <v>660</v>
      </c>
      <c r="B284" s="540"/>
      <c r="C284" s="541"/>
      <c r="D284" s="489"/>
      <c r="E284" s="489"/>
      <c r="F284" s="489"/>
      <c r="G284" s="538"/>
    </row>
    <row r="285" spans="1:7" ht="25.5" customHeight="1" thickBot="1" x14ac:dyDescent="0.25">
      <c r="A285" s="539" t="s">
        <v>661</v>
      </c>
      <c r="B285" s="540"/>
      <c r="C285" s="541"/>
      <c r="D285" s="489"/>
      <c r="E285" s="489"/>
      <c r="F285" s="489"/>
      <c r="G285" s="538"/>
    </row>
    <row r="286" spans="1:7" ht="25.5" customHeight="1" thickBot="1" x14ac:dyDescent="0.25">
      <c r="A286" s="539" t="s">
        <v>662</v>
      </c>
      <c r="B286" s="540"/>
      <c r="C286" s="541"/>
      <c r="D286" s="489"/>
      <c r="E286" s="489"/>
      <c r="F286" s="489"/>
      <c r="G286" s="538"/>
    </row>
    <row r="287" spans="1:7" ht="25.5" customHeight="1" thickBot="1" x14ac:dyDescent="0.25">
      <c r="A287" s="539" t="s">
        <v>663</v>
      </c>
      <c r="B287" s="540"/>
      <c r="C287" s="541"/>
      <c r="D287" s="489"/>
      <c r="E287" s="489"/>
      <c r="F287" s="489"/>
      <c r="G287" s="538"/>
    </row>
    <row r="288" spans="1:7" ht="25.5" customHeight="1" thickBot="1" x14ac:dyDescent="0.25">
      <c r="A288" s="539" t="s">
        <v>664</v>
      </c>
      <c r="B288" s="540"/>
      <c r="C288" s="541"/>
      <c r="D288" s="489"/>
      <c r="E288" s="489"/>
      <c r="F288" s="489"/>
      <c r="G288" s="538"/>
    </row>
    <row r="289" spans="1:7" ht="13.5" thickBot="1" x14ac:dyDescent="0.25">
      <c r="A289" s="455"/>
      <c r="B289" s="456"/>
      <c r="C289" s="456"/>
      <c r="D289" s="456"/>
      <c r="E289" s="456"/>
      <c r="F289" s="456"/>
      <c r="G289" s="457"/>
    </row>
  </sheetData>
  <sheetProtection selectLockedCells="1" selectUnlockedCells="1"/>
  <mergeCells count="146">
    <mergeCell ref="A286:C286"/>
    <mergeCell ref="D286:G286"/>
    <mergeCell ref="A287:C287"/>
    <mergeCell ref="D287:G287"/>
    <mergeCell ref="A288:C288"/>
    <mergeCell ref="D288:G288"/>
    <mergeCell ref="A283:C283"/>
    <mergeCell ref="D283:G283"/>
    <mergeCell ref="A284:C284"/>
    <mergeCell ref="D284:G284"/>
    <mergeCell ref="A285:C285"/>
    <mergeCell ref="D285:G285"/>
    <mergeCell ref="A280:C280"/>
    <mergeCell ref="D280:G280"/>
    <mergeCell ref="A281:C281"/>
    <mergeCell ref="D281:G281"/>
    <mergeCell ref="A282:C282"/>
    <mergeCell ref="D282:G282"/>
    <mergeCell ref="A277:C277"/>
    <mergeCell ref="D277:G277"/>
    <mergeCell ref="A278:C278"/>
    <mergeCell ref="D278:G278"/>
    <mergeCell ref="A279:C279"/>
    <mergeCell ref="D279:G279"/>
    <mergeCell ref="A272:C272"/>
    <mergeCell ref="D272:G272"/>
    <mergeCell ref="A275:C275"/>
    <mergeCell ref="A276:C276"/>
    <mergeCell ref="D276:G276"/>
    <mergeCell ref="A267:C267"/>
    <mergeCell ref="D267:G267"/>
    <mergeCell ref="A270:C270"/>
    <mergeCell ref="A271:C271"/>
    <mergeCell ref="D271:G271"/>
    <mergeCell ref="A262:C262"/>
    <mergeCell ref="D262:G262"/>
    <mergeCell ref="A265:C265"/>
    <mergeCell ref="A266:C266"/>
    <mergeCell ref="D266:G266"/>
    <mergeCell ref="A259:C259"/>
    <mergeCell ref="D259:G259"/>
    <mergeCell ref="A260:C260"/>
    <mergeCell ref="D260:G260"/>
    <mergeCell ref="A261:C261"/>
    <mergeCell ref="D261:G261"/>
    <mergeCell ref="A256:C256"/>
    <mergeCell ref="D256:G256"/>
    <mergeCell ref="A257:C257"/>
    <mergeCell ref="D257:G257"/>
    <mergeCell ref="A258:C258"/>
    <mergeCell ref="D258:G258"/>
    <mergeCell ref="A253:C253"/>
    <mergeCell ref="D253:G253"/>
    <mergeCell ref="A254:C254"/>
    <mergeCell ref="D254:G254"/>
    <mergeCell ref="A255:C255"/>
    <mergeCell ref="D255:G255"/>
    <mergeCell ref="A250:C250"/>
    <mergeCell ref="D250:G250"/>
    <mergeCell ref="A251:C251"/>
    <mergeCell ref="D251:G251"/>
    <mergeCell ref="A252:C252"/>
    <mergeCell ref="D252:G252"/>
    <mergeCell ref="A247:C247"/>
    <mergeCell ref="A248:C248"/>
    <mergeCell ref="D248:G248"/>
    <mergeCell ref="A249:C249"/>
    <mergeCell ref="D249:G249"/>
    <mergeCell ref="A242:C242"/>
    <mergeCell ref="A243:C243"/>
    <mergeCell ref="D243:G243"/>
    <mergeCell ref="A244:C244"/>
    <mergeCell ref="D244:G244"/>
    <mergeCell ref="A237:G237"/>
    <mergeCell ref="A238:C238"/>
    <mergeCell ref="D238:G238"/>
    <mergeCell ref="A239:C239"/>
    <mergeCell ref="D239:G239"/>
    <mergeCell ref="D18:F18"/>
    <mergeCell ref="A119:G119"/>
    <mergeCell ref="A121:C121"/>
    <mergeCell ref="D121:F121"/>
    <mergeCell ref="A122:C122"/>
    <mergeCell ref="D122:F122"/>
    <mergeCell ref="A123:C123"/>
    <mergeCell ref="D123:F123"/>
    <mergeCell ref="A124:C124"/>
    <mergeCell ref="D124:F124"/>
    <mergeCell ref="A125:C125"/>
    <mergeCell ref="D125:F125"/>
    <mergeCell ref="A126:C126"/>
    <mergeCell ref="D126:F126"/>
    <mergeCell ref="A127:C127"/>
    <mergeCell ref="D127:F127"/>
    <mergeCell ref="A128:C128"/>
    <mergeCell ref="D128:F128"/>
    <mergeCell ref="A129:C129"/>
    <mergeCell ref="D129:F129"/>
    <mergeCell ref="A130:C130"/>
    <mergeCell ref="D130:F130"/>
    <mergeCell ref="A131:C131"/>
    <mergeCell ref="D131:F131"/>
    <mergeCell ref="A132:C132"/>
    <mergeCell ref="D132:F132"/>
    <mergeCell ref="A133:C133"/>
    <mergeCell ref="D133:F133"/>
    <mergeCell ref="A134:C134"/>
    <mergeCell ref="D134:F134"/>
    <mergeCell ref="A223:G225"/>
    <mergeCell ref="A226:D226"/>
    <mergeCell ref="E226:G226"/>
    <mergeCell ref="A135:C135"/>
    <mergeCell ref="D135:F135"/>
    <mergeCell ref="A136:C136"/>
    <mergeCell ref="D136:F136"/>
    <mergeCell ref="A137:C137"/>
    <mergeCell ref="D137:F137"/>
    <mergeCell ref="A160:G160"/>
    <mergeCell ref="A161:G161"/>
    <mergeCell ref="A163:G165"/>
    <mergeCell ref="A138:C138"/>
    <mergeCell ref="D138:F138"/>
    <mergeCell ref="A228:D228"/>
    <mergeCell ref="A141:G142"/>
    <mergeCell ref="A143:G144"/>
    <mergeCell ref="A166:G171"/>
    <mergeCell ref="A172:G173"/>
    <mergeCell ref="A176:G176"/>
    <mergeCell ref="A183:G183"/>
    <mergeCell ref="A186:G186"/>
    <mergeCell ref="D178:E178"/>
    <mergeCell ref="D179:E179"/>
    <mergeCell ref="D180:E180"/>
    <mergeCell ref="E228:G228"/>
    <mergeCell ref="A200:G203"/>
    <mergeCell ref="A206:G206"/>
    <mergeCell ref="A207:G207"/>
    <mergeCell ref="A209:G209"/>
    <mergeCell ref="A227:D227"/>
    <mergeCell ref="E227:G227"/>
    <mergeCell ref="B192:G192"/>
    <mergeCell ref="E198:G198"/>
    <mergeCell ref="D188:G188"/>
    <mergeCell ref="B190:G190"/>
    <mergeCell ref="A211:G212"/>
    <mergeCell ref="A217:G221"/>
  </mergeCells>
  <printOptions horizontalCentered="1"/>
  <pageMargins left="0.78749999999999998" right="0.78749999999999998" top="1.05277777777778" bottom="1.05277777777778" header="0.78749999999999998" footer="0.78749999999999998"/>
  <pageSetup scale="52" firstPageNumber="0" orientation="portrait" horizontalDpi="300" verticalDpi="300" r:id="rId1"/>
  <headerFooter>
    <oddFooter>&amp;Cproposal valid for 15 days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3:G289"/>
  <sheetViews>
    <sheetView zoomScaleNormal="100" zoomScalePageLayoutView="150" workbookViewId="0"/>
  </sheetViews>
  <sheetFormatPr defaultColWidth="11.42578125" defaultRowHeight="12.75" x14ac:dyDescent="0.2"/>
  <cols>
    <col min="1" max="1" width="15.7109375" style="3" customWidth="1"/>
    <col min="2" max="2" width="7.42578125" style="3" customWidth="1"/>
    <col min="3" max="3" width="12.42578125" style="3" customWidth="1"/>
    <col min="4" max="4" width="12.7109375" style="3" bestFit="1" customWidth="1"/>
    <col min="5" max="5" width="11.42578125" style="3"/>
    <col min="6" max="6" width="14.7109375" style="3" customWidth="1"/>
    <col min="7" max="7" width="59.7109375" style="3" customWidth="1"/>
    <col min="8" max="16384" width="11.42578125" style="3"/>
  </cols>
  <sheetData>
    <row r="3" spans="1:7" ht="23.25" x14ac:dyDescent="0.35">
      <c r="G3" s="4" t="s">
        <v>575</v>
      </c>
    </row>
    <row r="4" spans="1:7" ht="20.25" x14ac:dyDescent="0.3">
      <c r="B4" s="5"/>
      <c r="G4" s="6" t="str">
        <f>IF(Cust_Company="",Cust_FirstName&amp;" "&amp;Cust_LastName,Cust_Company)</f>
        <v xml:space="preserve"> </v>
      </c>
    </row>
    <row r="5" spans="1:7" ht="15" x14ac:dyDescent="0.2">
      <c r="G5" s="7" t="str">
        <f>IF(Inputs!B10="","",Inputs!B10)</f>
        <v/>
      </c>
    </row>
    <row r="6" spans="1:7" ht="15" x14ac:dyDescent="0.2">
      <c r="G6" s="7" t="str">
        <f>IF(Inputs!B11="","",Inputs!B11)</f>
        <v/>
      </c>
    </row>
    <row r="7" spans="1:7" ht="15" x14ac:dyDescent="0.2">
      <c r="G7" s="7" t="str">
        <f>Inputs!B12&amp;"  "&amp;Inputs!B13</f>
        <v xml:space="preserve">  </v>
      </c>
    </row>
    <row r="8" spans="1:7" ht="15" x14ac:dyDescent="0.2">
      <c r="G8" s="7" t="str">
        <f>"Tamaño  de Sistema PV  "&amp;TEXT(Inputs_MySOL!$G$17/1000,"0.00")&amp;"kW"</f>
        <v>Tamaño  de Sistema PV  0.00kW</v>
      </c>
    </row>
    <row r="9" spans="1:7" ht="15.75" customHeight="1" x14ac:dyDescent="0.2">
      <c r="G9" s="1" t="str">
        <f>SysSpec_PV_Units&amp;" "&amp;Inputs!F$4</f>
        <v>0 Trina Solar_TSM-270PA05A</v>
      </c>
    </row>
    <row r="10" spans="1:7" ht="15.75" customHeight="1" x14ac:dyDescent="0.3">
      <c r="A10"/>
      <c r="B10" s="8"/>
      <c r="C10" s="8"/>
      <c r="G10" s="1" t="str">
        <f>SysSpec_Inverters_Units&amp;" "&amp;Inputs!F$5</f>
        <v>0 SolarEdge Technologies_SE3800 (240V) HD Wave</v>
      </c>
    </row>
    <row r="11" spans="1:7" ht="15.75" customHeight="1" x14ac:dyDescent="0.2">
      <c r="A11"/>
      <c r="G11" s="1" t="str">
        <f>SysSpec_Optimizers_Units&amp;" "&amp;Inputs!F$6</f>
        <v>0 SolarEdge_P300</v>
      </c>
    </row>
    <row r="12" spans="1:7" ht="15.75" customHeight="1" x14ac:dyDescent="0.2">
      <c r="A12"/>
    </row>
    <row r="13" spans="1:7" ht="15.75" customHeight="1" x14ac:dyDescent="0.2">
      <c r="A13"/>
      <c r="C13" s="9"/>
    </row>
    <row r="14" spans="1:7" ht="15.75" customHeight="1" x14ac:dyDescent="0.2"/>
    <row r="15" spans="1:7" ht="15.75" customHeight="1" x14ac:dyDescent="0.2"/>
    <row r="16" spans="1:7" ht="15.75" customHeight="1" x14ac:dyDescent="0.2"/>
    <row r="17" spans="1:7" ht="15.75" customHeight="1" x14ac:dyDescent="0.2"/>
    <row r="18" spans="1:7" ht="15.75" customHeight="1" x14ac:dyDescent="0.2">
      <c r="A18" s="1"/>
      <c r="B18" s="1"/>
      <c r="C18" s="1"/>
      <c r="D18" s="522" t="s">
        <v>604</v>
      </c>
      <c r="E18" s="522"/>
      <c r="F18" s="522"/>
      <c r="G18" s="160" t="s">
        <v>605</v>
      </c>
    </row>
    <row r="19" spans="1:7" ht="15.75" customHeight="1" x14ac:dyDescent="0.2"/>
    <row r="20" spans="1:7" ht="15.75" customHeight="1" x14ac:dyDescent="0.2">
      <c r="A20" s="10" t="s">
        <v>151</v>
      </c>
      <c r="B20" s="11"/>
      <c r="C20" s="11"/>
      <c r="D20" s="12">
        <f>Cust_InitialPymt</f>
        <v>0</v>
      </c>
      <c r="E20" s="12"/>
      <c r="F20" s="12"/>
      <c r="G20" s="13" t="str">
        <f>IF(D20=0,"Independizate a Solar con $0 pesos","Independizate a Solar con $"&amp;TEXT(D20,"#,##")&amp;" pesos")</f>
        <v>Independizate a Solar con $0 pesos</v>
      </c>
    </row>
    <row r="21" spans="1:7" ht="15.75" customHeight="1" x14ac:dyDescent="0.2"/>
    <row r="22" spans="1:7" ht="15.75" customHeight="1" x14ac:dyDescent="0.2">
      <c r="A22" s="10" t="s">
        <v>634</v>
      </c>
      <c r="B22" s="11"/>
      <c r="C22" s="11"/>
      <c r="D22" s="13">
        <f>Savings!AA6/12</f>
        <v>0</v>
      </c>
      <c r="E22" s="13"/>
      <c r="F22" s="13"/>
      <c r="G22" s="13" t="s">
        <v>635</v>
      </c>
    </row>
    <row r="23" spans="1:7" ht="15.75" customHeight="1" x14ac:dyDescent="0.2"/>
    <row r="24" spans="1:7" ht="15.75" customHeight="1" x14ac:dyDescent="0.2">
      <c r="A24" s="10" t="s">
        <v>152</v>
      </c>
      <c r="B24" s="11"/>
      <c r="C24" s="11"/>
      <c r="D24" s="14">
        <f>Inputs_MySOL!$B$11</f>
        <v>3.5000000000000003E-2</v>
      </c>
      <c r="E24" s="14"/>
      <c r="F24" s="14"/>
      <c r="G24" s="13" t="str">
        <f>"Bajo comparado con incrementos tarifas CFE "&amp;TEXT(Inputs_MySOL!$B$6,"0.0%")&amp;""</f>
        <v>Bajo comparado con incrementos tarifas CFE 8.0%</v>
      </c>
    </row>
    <row r="25" spans="1:7" ht="15.75" customHeight="1" x14ac:dyDescent="0.2"/>
    <row r="26" spans="1:7" ht="15.75" customHeight="1" x14ac:dyDescent="0.2">
      <c r="A26" s="10" t="s">
        <v>153</v>
      </c>
      <c r="B26" s="11"/>
      <c r="C26" s="11"/>
      <c r="D26" s="15">
        <f>Cust_LeaseTermYears</f>
        <v>15</v>
      </c>
      <c r="E26" s="15"/>
      <c r="F26" s="13"/>
      <c r="G26" s="13" t="s">
        <v>154</v>
      </c>
    </row>
    <row r="27" spans="1:7" ht="15.75" customHeight="1" x14ac:dyDescent="0.2"/>
    <row r="28" spans="1:7" ht="15.75" customHeight="1" x14ac:dyDescent="0.2">
      <c r="A28" s="10" t="s">
        <v>708</v>
      </c>
      <c r="B28" s="11"/>
      <c r="C28" s="11"/>
      <c r="D28" s="13" t="s">
        <v>155</v>
      </c>
      <c r="E28" s="13"/>
      <c r="F28" s="13"/>
      <c r="G28" s="13" t="s">
        <v>709</v>
      </c>
    </row>
    <row r="29" spans="1:7" ht="15.75" customHeight="1" x14ac:dyDescent="0.2"/>
    <row r="30" spans="1:7" ht="15.75" customHeight="1" x14ac:dyDescent="0.2">
      <c r="A30" s="10" t="s">
        <v>156</v>
      </c>
      <c r="B30" s="11"/>
      <c r="C30" s="11"/>
      <c r="D30" s="13" t="s">
        <v>155</v>
      </c>
      <c r="E30" s="17"/>
      <c r="F30" s="17"/>
      <c r="G30" s="17" t="s">
        <v>332</v>
      </c>
    </row>
    <row r="31" spans="1:7" ht="15.75" customHeight="1" x14ac:dyDescent="0.2"/>
    <row r="32" spans="1:7" ht="15.75" customHeight="1" x14ac:dyDescent="0.2">
      <c r="A32" s="10" t="s">
        <v>157</v>
      </c>
      <c r="B32" s="11"/>
      <c r="C32" s="11"/>
      <c r="D32" s="13" t="s">
        <v>155</v>
      </c>
      <c r="E32" s="17"/>
      <c r="F32" s="17"/>
      <c r="G32" s="17" t="s">
        <v>333</v>
      </c>
    </row>
    <row r="33" spans="1:7" ht="15.75" customHeight="1" x14ac:dyDescent="0.2"/>
    <row r="34" spans="1:7" ht="15.75" customHeight="1" x14ac:dyDescent="0.2">
      <c r="A34" s="10" t="s">
        <v>606</v>
      </c>
      <c r="B34" s="11"/>
      <c r="C34" s="11"/>
      <c r="D34" s="13" t="s">
        <v>155</v>
      </c>
      <c r="E34" s="13"/>
      <c r="F34" s="17"/>
      <c r="G34" s="13" t="s">
        <v>420</v>
      </c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6"/>
      <c r="B39" s="1"/>
      <c r="C39" s="1"/>
      <c r="D39" s="1"/>
      <c r="E39" s="1"/>
      <c r="F39" s="1"/>
      <c r="G39" s="1"/>
    </row>
    <row r="67" spans="1:7" ht="23.25" x14ac:dyDescent="0.35">
      <c r="G67" s="4" t="s">
        <v>575</v>
      </c>
    </row>
    <row r="68" spans="1:7" ht="20.25" x14ac:dyDescent="0.3">
      <c r="B68" s="5"/>
      <c r="G68" s="6" t="str">
        <f>G4</f>
        <v xml:space="preserve"> </v>
      </c>
    </row>
    <row r="69" spans="1:7" ht="15" x14ac:dyDescent="0.2">
      <c r="G69" s="7" t="str">
        <f>G5</f>
        <v/>
      </c>
    </row>
    <row r="70" spans="1:7" ht="15" x14ac:dyDescent="0.2">
      <c r="G70" s="7" t="str">
        <f>G6</f>
        <v/>
      </c>
    </row>
    <row r="71" spans="1:7" ht="15" x14ac:dyDescent="0.2">
      <c r="G71" s="7" t="str">
        <f>G7</f>
        <v xml:space="preserve">  </v>
      </c>
    </row>
    <row r="72" spans="1:7" ht="15" x14ac:dyDescent="0.2">
      <c r="G72" s="7" t="str">
        <f>G8</f>
        <v>Tamaño  de Sistema PV  0.00kW</v>
      </c>
    </row>
    <row r="73" spans="1:7" x14ac:dyDescent="0.2">
      <c r="A73"/>
      <c r="G73" s="1" t="str">
        <f>SysSpec_PV_Units&amp;" "&amp;Inputs!F$4</f>
        <v>0 Trina Solar_TSM-270PA05A</v>
      </c>
    </row>
    <row r="74" spans="1:7" ht="20.25" x14ac:dyDescent="0.3">
      <c r="B74" s="8"/>
      <c r="C74" s="8"/>
      <c r="G74" s="1" t="str">
        <f>SysSpec_Inverters_Units&amp;" "&amp;Inputs!F$5</f>
        <v>0 SolarEdge Technologies_SE3800 (240V) HD Wave</v>
      </c>
    </row>
    <row r="75" spans="1:7" x14ac:dyDescent="0.2">
      <c r="G75" s="1" t="str">
        <f>SysSpec_Optimizers_Units&amp;" "&amp;Inputs!F$6</f>
        <v>0 SolarEdge_P300</v>
      </c>
    </row>
    <row r="77" spans="1:7" x14ac:dyDescent="0.2">
      <c r="C77" s="9"/>
    </row>
    <row r="83" spans="1:7" ht="30.75" customHeight="1" x14ac:dyDescent="0.25">
      <c r="A83" s="18" t="s">
        <v>228</v>
      </c>
      <c r="B83" s="19"/>
      <c r="C83" s="20" t="s">
        <v>158</v>
      </c>
      <c r="D83" s="165" t="s">
        <v>607</v>
      </c>
      <c r="E83" s="20" t="s">
        <v>272</v>
      </c>
      <c r="G83" s="21" t="str">
        <f>"Resumen "&amp;15&amp;" Años"</f>
        <v>Resumen 15 Años</v>
      </c>
    </row>
    <row r="84" spans="1:7" ht="15" x14ac:dyDescent="0.2">
      <c r="A84" s="7" t="s">
        <v>162</v>
      </c>
      <c r="B84" s="7"/>
      <c r="C84" s="73">
        <f>Savings!J6</f>
        <v>60227.244000000006</v>
      </c>
      <c r="D84" s="73">
        <f>Savings!W6</f>
        <v>60227.244000000006</v>
      </c>
      <c r="E84" s="7"/>
      <c r="G84" s="22" t="str">
        <f>"Ahorros en el año "&amp;15&amp;" son de un "&amp;TEXT(Savings!AE20,"0.0%")</f>
        <v>Ahorros en el año 15 son de un 45.7%</v>
      </c>
    </row>
    <row r="85" spans="1:7" ht="15" x14ac:dyDescent="0.2">
      <c r="A85" s="19" t="s">
        <v>608</v>
      </c>
      <c r="B85" s="19"/>
      <c r="C85" s="74" t="s">
        <v>42</v>
      </c>
      <c r="D85" s="75">
        <f>Savings!AA6</f>
        <v>0</v>
      </c>
      <c r="E85" s="7"/>
      <c r="G85" s="22" t="str">
        <f>"Ahorros Totales durante "&amp;15&amp;" años "&amp;TEXT(G138,"$000,000")</f>
        <v>Ahorros Totales durante 15 años $719,268</v>
      </c>
    </row>
    <row r="86" spans="1:7" ht="15.75" x14ac:dyDescent="0.25">
      <c r="A86" s="105" t="s">
        <v>29</v>
      </c>
      <c r="C86" s="23">
        <f>SUM(C84:C85)</f>
        <v>60227.244000000006</v>
      </c>
      <c r="D86" s="23">
        <f>SUM(D84:D85)</f>
        <v>60227.244000000006</v>
      </c>
      <c r="E86" s="163">
        <f>C86-D86</f>
        <v>0</v>
      </c>
      <c r="F86" s="25"/>
      <c r="G86" s="21"/>
    </row>
    <row r="87" spans="1:7" ht="15.75" x14ac:dyDescent="0.25">
      <c r="A87" s="106"/>
      <c r="C87" s="166"/>
      <c r="D87" s="166"/>
      <c r="E87" s="164"/>
      <c r="G87" s="21"/>
    </row>
    <row r="88" spans="1:7" ht="15.75" x14ac:dyDescent="0.25">
      <c r="A88" s="105"/>
      <c r="C88" s="23"/>
      <c r="D88" s="23"/>
      <c r="E88" s="163"/>
      <c r="F88" s="25"/>
      <c r="G88" s="21"/>
    </row>
    <row r="89" spans="1:7" x14ac:dyDescent="0.2">
      <c r="A89" s="2"/>
      <c r="C89" s="24"/>
    </row>
    <row r="118" spans="1:7" ht="13.5" thickBot="1" x14ac:dyDescent="0.25"/>
    <row r="119" spans="1:7" ht="18" x14ac:dyDescent="0.2">
      <c r="A119" s="523" t="s">
        <v>609</v>
      </c>
      <c r="B119" s="524"/>
      <c r="C119" s="524"/>
      <c r="D119" s="524"/>
      <c r="E119" s="524"/>
      <c r="F119" s="524"/>
      <c r="G119" s="525"/>
    </row>
    <row r="120" spans="1:7" ht="18" x14ac:dyDescent="0.2">
      <c r="A120" s="29"/>
      <c r="B120" s="99"/>
      <c r="C120" s="99"/>
      <c r="D120" s="99"/>
      <c r="E120" s="99"/>
      <c r="F120" s="99"/>
      <c r="G120" s="30"/>
    </row>
    <row r="121" spans="1:7" ht="16.5" customHeight="1" x14ac:dyDescent="0.2">
      <c r="A121" s="526" t="s">
        <v>159</v>
      </c>
      <c r="B121" s="527"/>
      <c r="C121" s="527"/>
      <c r="D121" s="528" t="s">
        <v>160</v>
      </c>
      <c r="E121" s="528"/>
      <c r="F121" s="528"/>
      <c r="G121" s="31" t="s">
        <v>161</v>
      </c>
    </row>
    <row r="122" spans="1:7" x14ac:dyDescent="0.2">
      <c r="A122" s="505">
        <v>1</v>
      </c>
      <c r="B122" s="506"/>
      <c r="C122" s="507"/>
      <c r="D122" s="529">
        <f>Inputs_MySOL!$B$27</f>
        <v>0</v>
      </c>
      <c r="E122" s="530"/>
      <c r="F122" s="531"/>
      <c r="G122" s="26">
        <f>Savings!AD6</f>
        <v>0</v>
      </c>
    </row>
    <row r="123" spans="1:7" x14ac:dyDescent="0.2">
      <c r="A123" s="505">
        <v>2</v>
      </c>
      <c r="B123" s="506"/>
      <c r="C123" s="507"/>
      <c r="D123" s="508"/>
      <c r="E123" s="509"/>
      <c r="F123" s="510"/>
      <c r="G123" s="26">
        <f>Savings!AD7</f>
        <v>29703.515184000011</v>
      </c>
    </row>
    <row r="124" spans="1:7" x14ac:dyDescent="0.2">
      <c r="A124" s="505">
        <v>3</v>
      </c>
      <c r="B124" s="506"/>
      <c r="C124" s="507"/>
      <c r="D124" s="508"/>
      <c r="E124" s="509"/>
      <c r="F124" s="510"/>
      <c r="G124" s="26">
        <f>Savings!AD8</f>
        <v>32079.796398720013</v>
      </c>
    </row>
    <row r="125" spans="1:7" x14ac:dyDescent="0.2">
      <c r="A125" s="505">
        <v>4</v>
      </c>
      <c r="B125" s="506"/>
      <c r="C125" s="507"/>
      <c r="D125" s="508"/>
      <c r="E125" s="509"/>
      <c r="F125" s="510"/>
      <c r="G125" s="26">
        <f>Savings!AD9</f>
        <v>34646.180110617614</v>
      </c>
    </row>
    <row r="126" spans="1:7" x14ac:dyDescent="0.2">
      <c r="A126" s="505">
        <v>5</v>
      </c>
      <c r="B126" s="506"/>
      <c r="C126" s="507"/>
      <c r="D126" s="508"/>
      <c r="E126" s="509"/>
      <c r="F126" s="510"/>
      <c r="G126" s="26">
        <f>Savings!AD10</f>
        <v>37417.874519467048</v>
      </c>
    </row>
    <row r="127" spans="1:7" x14ac:dyDescent="0.2">
      <c r="A127" s="505">
        <v>6</v>
      </c>
      <c r="B127" s="506"/>
      <c r="C127" s="507"/>
      <c r="D127" s="508"/>
      <c r="E127" s="509"/>
      <c r="F127" s="510"/>
      <c r="G127" s="26">
        <f>Savings!AD11</f>
        <v>40411.304481024388</v>
      </c>
    </row>
    <row r="128" spans="1:7" x14ac:dyDescent="0.2">
      <c r="A128" s="505">
        <v>7</v>
      </c>
      <c r="B128" s="506"/>
      <c r="C128" s="507"/>
      <c r="D128" s="508"/>
      <c r="E128" s="509"/>
      <c r="F128" s="510"/>
      <c r="G128" s="26">
        <f>Savings!AD12</f>
        <v>43644.208839506369</v>
      </c>
    </row>
    <row r="129" spans="1:7" x14ac:dyDescent="0.2">
      <c r="A129" s="505">
        <v>8</v>
      </c>
      <c r="B129" s="506"/>
      <c r="C129" s="507"/>
      <c r="D129" s="508"/>
      <c r="E129" s="509"/>
      <c r="F129" s="510"/>
      <c r="G129" s="26">
        <f>Savings!AD13</f>
        <v>47135.745546666869</v>
      </c>
    </row>
    <row r="130" spans="1:7" x14ac:dyDescent="0.2">
      <c r="A130" s="505">
        <v>9</v>
      </c>
      <c r="B130" s="506"/>
      <c r="C130" s="507"/>
      <c r="D130" s="508"/>
      <c r="E130" s="509"/>
      <c r="F130" s="510"/>
      <c r="G130" s="26">
        <f>Savings!AD14</f>
        <v>50906.605190400245</v>
      </c>
    </row>
    <row r="131" spans="1:7" x14ac:dyDescent="0.2">
      <c r="A131" s="505">
        <v>10</v>
      </c>
      <c r="B131" s="506"/>
      <c r="C131" s="507"/>
      <c r="D131" s="508"/>
      <c r="E131" s="509"/>
      <c r="F131" s="510"/>
      <c r="G131" s="26">
        <f>Savings!AD15</f>
        <v>54979.133605632269</v>
      </c>
    </row>
    <row r="132" spans="1:7" x14ac:dyDescent="0.2">
      <c r="A132" s="505">
        <v>11</v>
      </c>
      <c r="B132" s="506"/>
      <c r="C132" s="507"/>
      <c r="D132" s="508"/>
      <c r="E132" s="509"/>
      <c r="F132" s="510"/>
      <c r="G132" s="26">
        <f>Savings!AD16</f>
        <v>59377.464294082863</v>
      </c>
    </row>
    <row r="133" spans="1:7" x14ac:dyDescent="0.2">
      <c r="A133" s="505">
        <v>12</v>
      </c>
      <c r="B133" s="506"/>
      <c r="C133" s="507"/>
      <c r="D133" s="508"/>
      <c r="E133" s="509"/>
      <c r="F133" s="510"/>
      <c r="G133" s="26">
        <f>Savings!AD17</f>
        <v>64127.661437609495</v>
      </c>
    </row>
    <row r="134" spans="1:7" x14ac:dyDescent="0.2">
      <c r="A134" s="505">
        <v>13</v>
      </c>
      <c r="B134" s="506"/>
      <c r="C134" s="507"/>
      <c r="D134" s="508"/>
      <c r="E134" s="509"/>
      <c r="F134" s="510"/>
      <c r="G134" s="26">
        <f>Savings!AD18</f>
        <v>69257.874352618252</v>
      </c>
    </row>
    <row r="135" spans="1:7" x14ac:dyDescent="0.2">
      <c r="A135" s="505">
        <v>14</v>
      </c>
      <c r="B135" s="506"/>
      <c r="C135" s="507"/>
      <c r="D135" s="508"/>
      <c r="E135" s="509"/>
      <c r="F135" s="510"/>
      <c r="G135" s="26">
        <f>Savings!AD19</f>
        <v>74798.504300827772</v>
      </c>
    </row>
    <row r="136" spans="1:7" x14ac:dyDescent="0.2">
      <c r="A136" s="505">
        <v>15</v>
      </c>
      <c r="B136" s="506"/>
      <c r="C136" s="507"/>
      <c r="D136" s="508"/>
      <c r="E136" s="509"/>
      <c r="F136" s="510"/>
      <c r="G136" s="26">
        <f>Savings!AD20</f>
        <v>80782.384644893973</v>
      </c>
    </row>
    <row r="137" spans="1:7" ht="13.5" thickBot="1" x14ac:dyDescent="0.25">
      <c r="A137" s="511" t="s">
        <v>232</v>
      </c>
      <c r="B137" s="512"/>
      <c r="C137" s="513"/>
      <c r="D137" s="514">
        <f>Inputs_MySOL!$B$18</f>
        <v>100</v>
      </c>
      <c r="E137" s="515"/>
      <c r="F137" s="516"/>
      <c r="G137" s="28"/>
    </row>
    <row r="138" spans="1:7" ht="16.5" thickBot="1" x14ac:dyDescent="0.25">
      <c r="A138" s="519" t="s">
        <v>36</v>
      </c>
      <c r="B138" s="520"/>
      <c r="C138" s="520"/>
      <c r="D138" s="521">
        <f>SUM(D122:F137)</f>
        <v>100</v>
      </c>
      <c r="E138" s="521"/>
      <c r="F138" s="521"/>
      <c r="G138" s="27">
        <f>SUM(G122:G136)</f>
        <v>719268.25290606706</v>
      </c>
    </row>
    <row r="141" spans="1:7" x14ac:dyDescent="0.2">
      <c r="A141" s="478"/>
      <c r="B141" s="479"/>
      <c r="C141" s="479"/>
      <c r="D141" s="479"/>
      <c r="E141" s="479"/>
      <c r="F141" s="479"/>
      <c r="G141" s="479"/>
    </row>
    <row r="142" spans="1:7" ht="13.5" thickBot="1" x14ac:dyDescent="0.25">
      <c r="A142" s="480"/>
      <c r="B142" s="480"/>
      <c r="C142" s="480"/>
      <c r="D142" s="480"/>
      <c r="E142" s="480"/>
      <c r="F142" s="480"/>
      <c r="G142" s="480"/>
    </row>
    <row r="143" spans="1:7" x14ac:dyDescent="0.2">
      <c r="A143" s="552" t="s">
        <v>449</v>
      </c>
      <c r="B143" s="477"/>
      <c r="C143" s="477"/>
      <c r="D143" s="477"/>
      <c r="E143" s="477"/>
      <c r="F143" s="477"/>
      <c r="G143" s="477"/>
    </row>
    <row r="144" spans="1:7" x14ac:dyDescent="0.2">
      <c r="A144" s="477"/>
      <c r="B144" s="477"/>
      <c r="C144" s="477"/>
      <c r="D144" s="477"/>
      <c r="E144" s="477"/>
      <c r="F144" s="477"/>
      <c r="G144" s="477"/>
    </row>
    <row r="160" spans="1:7" ht="28.5" customHeight="1" x14ac:dyDescent="0.35">
      <c r="A160" s="517" t="s">
        <v>421</v>
      </c>
      <c r="B160" s="517"/>
      <c r="C160" s="517"/>
      <c r="D160" s="517"/>
      <c r="E160" s="517"/>
      <c r="F160" s="517"/>
      <c r="G160" s="517"/>
    </row>
    <row r="161" spans="1:7" ht="15.75" x14ac:dyDescent="0.25">
      <c r="A161" s="518" t="s">
        <v>422</v>
      </c>
      <c r="B161" s="486"/>
      <c r="C161" s="486"/>
      <c r="D161" s="486"/>
      <c r="E161" s="486"/>
      <c r="F161" s="486"/>
      <c r="G161" s="486"/>
    </row>
    <row r="163" spans="1:7" ht="12.75" customHeight="1" x14ac:dyDescent="0.2">
      <c r="A163" s="484" t="s">
        <v>423</v>
      </c>
      <c r="B163" s="484"/>
      <c r="C163" s="484"/>
      <c r="D163" s="484"/>
      <c r="E163" s="484"/>
      <c r="F163" s="484"/>
      <c r="G163" s="484"/>
    </row>
    <row r="164" spans="1:7" x14ac:dyDescent="0.2">
      <c r="A164" s="484"/>
      <c r="B164" s="484"/>
      <c r="C164" s="484"/>
      <c r="D164" s="484"/>
      <c r="E164" s="484"/>
      <c r="F164" s="484"/>
      <c r="G164" s="484"/>
    </row>
    <row r="165" spans="1:7" x14ac:dyDescent="0.2">
      <c r="A165" s="484"/>
      <c r="B165" s="484"/>
      <c r="C165" s="484"/>
      <c r="D165" s="484"/>
      <c r="E165" s="484"/>
      <c r="F165" s="484"/>
      <c r="G165" s="484"/>
    </row>
    <row r="166" spans="1:7" ht="12.75" customHeight="1" x14ac:dyDescent="0.2">
      <c r="A166" s="483" t="s">
        <v>424</v>
      </c>
      <c r="B166" s="484"/>
      <c r="C166" s="484"/>
      <c r="D166" s="484"/>
      <c r="E166" s="484"/>
      <c r="F166" s="484"/>
      <c r="G166" s="484"/>
    </row>
    <row r="167" spans="1:7" x14ac:dyDescent="0.2">
      <c r="A167" s="484"/>
      <c r="B167" s="484"/>
      <c r="C167" s="484"/>
      <c r="D167" s="484"/>
      <c r="E167" s="484"/>
      <c r="F167" s="484"/>
      <c r="G167" s="484"/>
    </row>
    <row r="168" spans="1:7" x14ac:dyDescent="0.2">
      <c r="A168" s="484"/>
      <c r="B168" s="484"/>
      <c r="C168" s="484"/>
      <c r="D168" s="484"/>
      <c r="E168" s="484"/>
      <c r="F168" s="484"/>
      <c r="G168" s="484"/>
    </row>
    <row r="169" spans="1:7" x14ac:dyDescent="0.2">
      <c r="A169" s="484"/>
      <c r="B169" s="484"/>
      <c r="C169" s="484"/>
      <c r="D169" s="484"/>
      <c r="E169" s="484"/>
      <c r="F169" s="484"/>
      <c r="G169" s="484"/>
    </row>
    <row r="170" spans="1:7" x14ac:dyDescent="0.2">
      <c r="A170" s="484"/>
      <c r="B170" s="484"/>
      <c r="C170" s="484"/>
      <c r="D170" s="484"/>
      <c r="E170" s="484"/>
      <c r="F170" s="484"/>
      <c r="G170" s="484"/>
    </row>
    <row r="171" spans="1:7" x14ac:dyDescent="0.2">
      <c r="A171" s="484"/>
      <c r="B171" s="484"/>
      <c r="C171" s="484"/>
      <c r="D171" s="484"/>
      <c r="E171" s="484"/>
      <c r="F171" s="484"/>
      <c r="G171" s="484"/>
    </row>
    <row r="172" spans="1:7" ht="12.75" customHeight="1" x14ac:dyDescent="0.2">
      <c r="A172" s="484" t="s">
        <v>425</v>
      </c>
      <c r="B172" s="484"/>
      <c r="C172" s="484"/>
      <c r="D172" s="484"/>
      <c r="E172" s="484"/>
      <c r="F172" s="484"/>
      <c r="G172" s="484"/>
    </row>
    <row r="173" spans="1:7" x14ac:dyDescent="0.2">
      <c r="A173" s="484"/>
      <c r="B173" s="484"/>
      <c r="C173" s="484"/>
      <c r="D173" s="484"/>
      <c r="E173" s="484"/>
      <c r="F173" s="484"/>
      <c r="G173" s="484"/>
    </row>
    <row r="174" spans="1:7" x14ac:dyDescent="0.2">
      <c r="A174" s="395"/>
      <c r="B174" s="395"/>
      <c r="C174" s="395"/>
      <c r="D174" s="395"/>
      <c r="E174" s="395"/>
      <c r="F174" s="395"/>
      <c r="G174" s="395"/>
    </row>
    <row r="175" spans="1:7" x14ac:dyDescent="0.2">
      <c r="A175" s="389"/>
      <c r="B175" s="389"/>
      <c r="C175" s="389"/>
      <c r="D175" s="389"/>
      <c r="E175" s="389"/>
      <c r="F175" s="389"/>
      <c r="G175" s="389"/>
    </row>
    <row r="176" spans="1:7" x14ac:dyDescent="0.2">
      <c r="A176" s="485" t="s">
        <v>426</v>
      </c>
      <c r="B176" s="486"/>
      <c r="C176" s="486"/>
      <c r="D176" s="486"/>
      <c r="E176" s="486"/>
      <c r="F176" s="486"/>
      <c r="G176" s="486"/>
    </row>
    <row r="177" spans="1:7" ht="13.5" thickBot="1" x14ac:dyDescent="0.25"/>
    <row r="178" spans="1:7" ht="36" thickBot="1" x14ac:dyDescent="0.25">
      <c r="A178"/>
      <c r="B178"/>
      <c r="C178" s="396"/>
      <c r="D178" s="490" t="s">
        <v>427</v>
      </c>
      <c r="E178" s="491"/>
      <c r="F178" s="390"/>
    </row>
    <row r="179" spans="1:7" ht="36" thickBot="1" x14ac:dyDescent="0.25">
      <c r="A179" s="391"/>
      <c r="C179" s="396"/>
      <c r="D179" s="490" t="s">
        <v>428</v>
      </c>
      <c r="E179" s="491"/>
      <c r="F179" s="390"/>
    </row>
    <row r="180" spans="1:7" ht="36" thickBot="1" x14ac:dyDescent="0.25">
      <c r="C180" s="396"/>
      <c r="D180" s="490" t="s">
        <v>427</v>
      </c>
      <c r="E180" s="491"/>
      <c r="F180" s="390"/>
    </row>
    <row r="182" spans="1:7" x14ac:dyDescent="0.2">
      <c r="A182" s="2" t="s">
        <v>429</v>
      </c>
      <c r="B182" s="2"/>
    </row>
    <row r="183" spans="1:7" ht="25.5" customHeight="1" thickBot="1" x14ac:dyDescent="0.25">
      <c r="A183" s="487"/>
      <c r="B183" s="488"/>
      <c r="C183" s="488"/>
      <c r="D183" s="488"/>
      <c r="E183" s="488"/>
      <c r="F183" s="488"/>
      <c r="G183" s="488"/>
    </row>
    <row r="185" spans="1:7" x14ac:dyDescent="0.2">
      <c r="A185" s="2" t="s">
        <v>430</v>
      </c>
      <c r="B185" s="2"/>
    </row>
    <row r="186" spans="1:7" ht="25.5" customHeight="1" thickBot="1" x14ac:dyDescent="0.25">
      <c r="A186" s="489"/>
      <c r="B186" s="488"/>
      <c r="C186" s="488"/>
      <c r="D186" s="488"/>
      <c r="E186" s="488"/>
      <c r="F186" s="488"/>
      <c r="G186" s="488"/>
    </row>
    <row r="188" spans="1:7" ht="25.5" customHeight="1" thickBot="1" x14ac:dyDescent="0.25">
      <c r="A188" s="2" t="s">
        <v>431</v>
      </c>
      <c r="B188" s="440"/>
      <c r="C188" s="441"/>
      <c r="D188" s="499"/>
      <c r="E188" s="488"/>
      <c r="F188" s="488"/>
      <c r="G188" s="488"/>
    </row>
    <row r="190" spans="1:7" ht="25.5" customHeight="1" thickBot="1" x14ac:dyDescent="0.25">
      <c r="A190" s="440" t="s">
        <v>432</v>
      </c>
      <c r="B190" s="500"/>
      <c r="C190" s="488"/>
      <c r="D190" s="488"/>
      <c r="E190" s="488"/>
      <c r="F190" s="488"/>
      <c r="G190" s="488"/>
    </row>
    <row r="192" spans="1:7" ht="25.5" customHeight="1" thickBot="1" x14ac:dyDescent="0.25">
      <c r="A192" s="440" t="s">
        <v>433</v>
      </c>
      <c r="B192" s="488"/>
      <c r="C192" s="488"/>
      <c r="D192" s="488"/>
      <c r="E192" s="488"/>
      <c r="F192" s="488"/>
      <c r="G192" s="488"/>
    </row>
    <row r="194" spans="1:7" ht="25.5" customHeight="1" thickBot="1" x14ac:dyDescent="0.25">
      <c r="A194" s="2" t="s">
        <v>434</v>
      </c>
      <c r="B194" s="447"/>
      <c r="C194" s="437"/>
      <c r="D194" s="437"/>
      <c r="E194" s="437"/>
      <c r="F194" s="2" t="s">
        <v>435</v>
      </c>
      <c r="G194" s="392"/>
    </row>
    <row r="196" spans="1:7" ht="25.5" customHeight="1" thickBot="1" x14ac:dyDescent="0.25">
      <c r="A196" s="2" t="s">
        <v>436</v>
      </c>
      <c r="B196" s="447"/>
      <c r="C196" s="437"/>
      <c r="D196" s="437"/>
      <c r="E196" s="437"/>
      <c r="F196" s="2" t="s">
        <v>437</v>
      </c>
      <c r="G196" s="392"/>
    </row>
    <row r="198" spans="1:7" ht="25.5" customHeight="1" thickBot="1" x14ac:dyDescent="0.25">
      <c r="A198" s="440" t="s">
        <v>438</v>
      </c>
      <c r="B198" s="440"/>
      <c r="C198" s="441"/>
      <c r="D198" s="442"/>
      <c r="E198" s="495"/>
      <c r="F198" s="495"/>
      <c r="G198" s="495"/>
    </row>
    <row r="200" spans="1:7" ht="12.75" customHeight="1" x14ac:dyDescent="0.2">
      <c r="A200" s="493" t="s">
        <v>439</v>
      </c>
      <c r="B200" s="494"/>
      <c r="C200" s="494"/>
      <c r="D200" s="494"/>
      <c r="E200" s="494"/>
      <c r="F200" s="494"/>
      <c r="G200" s="494"/>
    </row>
    <row r="201" spans="1:7" x14ac:dyDescent="0.2">
      <c r="A201" s="494"/>
      <c r="B201" s="494"/>
      <c r="C201" s="494"/>
      <c r="D201" s="494"/>
      <c r="E201" s="494"/>
      <c r="F201" s="494"/>
      <c r="G201" s="494"/>
    </row>
    <row r="202" spans="1:7" x14ac:dyDescent="0.2">
      <c r="A202" s="494"/>
      <c r="B202" s="494"/>
      <c r="C202" s="494"/>
      <c r="D202" s="494"/>
      <c r="E202" s="494"/>
      <c r="F202" s="494"/>
      <c r="G202" s="494"/>
    </row>
    <row r="203" spans="1:7" x14ac:dyDescent="0.2">
      <c r="A203" s="494"/>
      <c r="B203" s="494"/>
      <c r="C203" s="494"/>
      <c r="D203" s="494"/>
      <c r="E203" s="494"/>
      <c r="F203" s="494"/>
      <c r="G203" s="494"/>
    </row>
    <row r="206" spans="1:7" ht="25.5" customHeight="1" thickBot="1" x14ac:dyDescent="0.25">
      <c r="A206" s="495"/>
      <c r="B206" s="496"/>
      <c r="C206" s="496"/>
      <c r="D206" s="496"/>
      <c r="E206" s="496"/>
      <c r="F206" s="496"/>
      <c r="G206" s="496"/>
    </row>
    <row r="207" spans="1:7" x14ac:dyDescent="0.2">
      <c r="A207" s="497" t="s">
        <v>440</v>
      </c>
      <c r="B207" s="486"/>
      <c r="C207" s="486"/>
      <c r="D207" s="486"/>
      <c r="E207" s="486"/>
      <c r="F207" s="486"/>
      <c r="G207" s="486"/>
    </row>
    <row r="208" spans="1:7" x14ac:dyDescent="0.2">
      <c r="A208" s="393"/>
      <c r="B208" s="393"/>
      <c r="C208" s="393"/>
      <c r="D208" s="393"/>
      <c r="E208" s="393"/>
      <c r="F208" s="393"/>
      <c r="G208" s="393"/>
    </row>
    <row r="209" spans="1:7" x14ac:dyDescent="0.2">
      <c r="A209" s="498" t="s">
        <v>441</v>
      </c>
      <c r="B209" s="477"/>
      <c r="C209" s="477"/>
      <c r="D209" s="477"/>
      <c r="E209" s="477"/>
      <c r="F209" s="477"/>
      <c r="G209" s="477"/>
    </row>
    <row r="211" spans="1:7" ht="12.75" customHeight="1" x14ac:dyDescent="0.2">
      <c r="A211" s="501" t="s">
        <v>442</v>
      </c>
      <c r="B211" s="494"/>
      <c r="C211" s="494"/>
      <c r="D211" s="494"/>
      <c r="E211" s="494"/>
      <c r="F211" s="494"/>
      <c r="G211" s="494"/>
    </row>
    <row r="212" spans="1:7" x14ac:dyDescent="0.2">
      <c r="A212" s="494"/>
      <c r="B212" s="494"/>
      <c r="C212" s="494"/>
      <c r="D212" s="494"/>
      <c r="E212" s="494"/>
      <c r="F212" s="494"/>
      <c r="G212" s="494"/>
    </row>
    <row r="214" spans="1:7" ht="12.75" customHeight="1" x14ac:dyDescent="0.2">
      <c r="A214" s="438"/>
      <c r="B214" s="439"/>
      <c r="C214" s="439"/>
      <c r="D214" s="439"/>
      <c r="E214" s="439"/>
      <c r="F214" s="439"/>
      <c r="G214" s="439"/>
    </row>
    <row r="215" spans="1:7" x14ac:dyDescent="0.2">
      <c r="A215" s="439"/>
      <c r="B215" s="439"/>
      <c r="C215" s="439"/>
      <c r="D215" s="439"/>
      <c r="E215" s="439"/>
      <c r="F215" s="439"/>
      <c r="G215" s="439"/>
    </row>
    <row r="216" spans="1:7" x14ac:dyDescent="0.2">
      <c r="A216" s="439"/>
      <c r="B216" s="439"/>
      <c r="C216" s="439"/>
      <c r="D216" s="439"/>
      <c r="E216" s="439"/>
      <c r="F216" s="439"/>
      <c r="G216" s="439"/>
    </row>
    <row r="217" spans="1:7" x14ac:dyDescent="0.2">
      <c r="A217" s="502" t="s">
        <v>443</v>
      </c>
      <c r="B217" s="503"/>
      <c r="C217" s="503"/>
      <c r="D217" s="503"/>
      <c r="E217" s="503"/>
      <c r="F217" s="503"/>
      <c r="G217" s="503"/>
    </row>
    <row r="218" spans="1:7" x14ac:dyDescent="0.2">
      <c r="A218" s="503"/>
      <c r="B218" s="503"/>
      <c r="C218" s="503"/>
      <c r="D218" s="503"/>
      <c r="E218" s="503"/>
      <c r="F218" s="503"/>
      <c r="G218" s="503"/>
    </row>
    <row r="219" spans="1:7" x14ac:dyDescent="0.2">
      <c r="A219" s="503"/>
      <c r="B219" s="503"/>
      <c r="C219" s="503"/>
      <c r="D219" s="503"/>
      <c r="E219" s="503"/>
      <c r="F219" s="503"/>
      <c r="G219" s="503"/>
    </row>
    <row r="220" spans="1:7" x14ac:dyDescent="0.2">
      <c r="A220" s="503"/>
      <c r="B220" s="503"/>
      <c r="C220" s="503"/>
      <c r="D220" s="503"/>
      <c r="E220" s="503"/>
      <c r="F220" s="503"/>
      <c r="G220" s="503"/>
    </row>
    <row r="221" spans="1:7" x14ac:dyDescent="0.2">
      <c r="A221" s="503"/>
      <c r="B221" s="503"/>
      <c r="C221" s="503"/>
      <c r="D221" s="503"/>
      <c r="E221" s="503"/>
      <c r="F221" s="503"/>
      <c r="G221" s="503"/>
    </row>
    <row r="222" spans="1:7" x14ac:dyDescent="0.2">
      <c r="A222" s="394"/>
      <c r="B222" s="393"/>
      <c r="C222" s="393"/>
      <c r="D222" s="393"/>
      <c r="E222" s="393"/>
      <c r="F222" s="393"/>
      <c r="G222" s="393"/>
    </row>
    <row r="223" spans="1:7" ht="12.75" customHeight="1" x14ac:dyDescent="0.2">
      <c r="A223" s="504" t="s">
        <v>444</v>
      </c>
      <c r="B223" s="477"/>
      <c r="C223" s="477"/>
      <c r="D223" s="477"/>
      <c r="E223" s="477"/>
      <c r="F223" s="477"/>
      <c r="G223" s="477"/>
    </row>
    <row r="224" spans="1:7" x14ac:dyDescent="0.2">
      <c r="A224" s="477"/>
      <c r="B224" s="477"/>
      <c r="C224" s="477"/>
      <c r="D224" s="477"/>
      <c r="E224" s="477"/>
      <c r="F224" s="477"/>
      <c r="G224" s="477"/>
    </row>
    <row r="225" spans="1:7" x14ac:dyDescent="0.2">
      <c r="A225" s="477"/>
      <c r="B225" s="477"/>
      <c r="C225" s="477"/>
      <c r="D225" s="477"/>
      <c r="E225" s="477"/>
      <c r="F225" s="477"/>
      <c r="G225" s="477"/>
    </row>
    <row r="226" spans="1:7" ht="25.5" customHeight="1" thickBot="1" x14ac:dyDescent="0.25">
      <c r="A226" s="476" t="s">
        <v>445</v>
      </c>
      <c r="B226" s="477"/>
      <c r="C226" s="477"/>
      <c r="D226" s="477"/>
      <c r="E226" s="492"/>
      <c r="F226" s="492"/>
      <c r="G226" s="492"/>
    </row>
    <row r="227" spans="1:7" ht="25.5" customHeight="1" thickBot="1" x14ac:dyDescent="0.25">
      <c r="A227" s="476" t="s">
        <v>446</v>
      </c>
      <c r="B227" s="477"/>
      <c r="C227" s="477"/>
      <c r="D227" s="477"/>
      <c r="E227" s="492"/>
      <c r="F227" s="492"/>
      <c r="G227" s="492"/>
    </row>
    <row r="228" spans="1:7" ht="25.5" customHeight="1" thickBot="1" x14ac:dyDescent="0.25">
      <c r="A228" s="476" t="s">
        <v>447</v>
      </c>
      <c r="B228" s="477"/>
      <c r="C228" s="477"/>
      <c r="D228" s="477"/>
      <c r="E228" s="492"/>
      <c r="F228" s="492"/>
      <c r="G228" s="492"/>
    </row>
    <row r="236" spans="1:7" ht="13.5" thickBot="1" x14ac:dyDescent="0.25"/>
    <row r="237" spans="1:7" ht="24" thickBot="1" x14ac:dyDescent="0.4">
      <c r="A237" s="542" t="s">
        <v>677</v>
      </c>
      <c r="B237" s="543"/>
      <c r="C237" s="543"/>
      <c r="D237" s="543"/>
      <c r="E237" s="543"/>
      <c r="F237" s="543"/>
      <c r="G237" s="544"/>
    </row>
    <row r="238" spans="1:7" ht="25.5" customHeight="1" thickBot="1" x14ac:dyDescent="0.25">
      <c r="A238" s="545" t="s">
        <v>678</v>
      </c>
      <c r="B238" s="536"/>
      <c r="C238" s="536"/>
      <c r="D238" s="553"/>
      <c r="E238" s="546"/>
      <c r="F238" s="556"/>
      <c r="G238" s="557"/>
    </row>
    <row r="239" spans="1:7" ht="25.5" customHeight="1" thickBot="1" x14ac:dyDescent="0.25">
      <c r="A239" s="548" t="s">
        <v>680</v>
      </c>
      <c r="B239" s="540"/>
      <c r="C239" s="540"/>
      <c r="D239" s="555"/>
      <c r="E239" s="558"/>
      <c r="F239" s="559"/>
      <c r="G239" s="560"/>
    </row>
    <row r="240" spans="1:7" ht="12.75" customHeight="1" thickBot="1" x14ac:dyDescent="0.25">
      <c r="A240" s="458"/>
      <c r="B240" s="459"/>
      <c r="C240" s="459"/>
      <c r="D240" s="451"/>
      <c r="E240" s="451"/>
      <c r="F240" s="451"/>
      <c r="G240" s="454"/>
    </row>
    <row r="241" spans="1:7" ht="12.75" customHeight="1" thickBot="1" x14ac:dyDescent="0.25">
      <c r="A241" s="440"/>
      <c r="B241" s="440"/>
      <c r="C241" s="440"/>
      <c r="D241" s="446"/>
      <c r="E241" s="446"/>
      <c r="F241" s="446"/>
      <c r="G241" s="446"/>
    </row>
    <row r="242" spans="1:7" ht="12.75" customHeight="1" thickBot="1" x14ac:dyDescent="0.25">
      <c r="A242" s="532" t="s">
        <v>679</v>
      </c>
      <c r="B242" s="533"/>
      <c r="C242" s="534"/>
      <c r="D242" s="450"/>
      <c r="E242" s="451"/>
      <c r="F242" s="451"/>
      <c r="G242" s="451"/>
    </row>
    <row r="243" spans="1:7" ht="25.5" customHeight="1" thickBot="1" x14ac:dyDescent="0.25">
      <c r="A243" s="545" t="s">
        <v>681</v>
      </c>
      <c r="B243" s="536"/>
      <c r="C243" s="536"/>
      <c r="D243" s="553"/>
      <c r="E243" s="546"/>
      <c r="F243" s="556"/>
      <c r="G243" s="557"/>
    </row>
    <row r="244" spans="1:7" ht="25.5" customHeight="1" thickBot="1" x14ac:dyDescent="0.25">
      <c r="A244" s="554" t="s">
        <v>682</v>
      </c>
      <c r="B244" s="540"/>
      <c r="C244" s="540"/>
      <c r="D244" s="555"/>
      <c r="E244" s="558"/>
      <c r="F244" s="559"/>
      <c r="G244" s="560"/>
    </row>
    <row r="245" spans="1:7" ht="12.75" customHeight="1" thickBot="1" x14ac:dyDescent="0.25">
      <c r="A245" s="452"/>
      <c r="B245" s="453"/>
      <c r="C245" s="453"/>
      <c r="D245" s="451"/>
      <c r="E245" s="451"/>
      <c r="F245" s="451"/>
      <c r="G245" s="454"/>
    </row>
    <row r="246" spans="1:7" ht="12.75" customHeight="1" thickBot="1" x14ac:dyDescent="0.25">
      <c r="A246" s="440"/>
      <c r="B246" s="440"/>
      <c r="C246" s="440"/>
      <c r="D246" s="446"/>
      <c r="E246" s="446"/>
      <c r="F246" s="446"/>
      <c r="G246" s="446"/>
    </row>
    <row r="247" spans="1:7" ht="12.75" customHeight="1" thickBot="1" x14ac:dyDescent="0.25">
      <c r="A247" s="532" t="s">
        <v>697</v>
      </c>
      <c r="B247" s="533"/>
      <c r="C247" s="534"/>
      <c r="D247" s="450"/>
      <c r="E247" s="451"/>
      <c r="F247" s="451"/>
      <c r="G247" s="451"/>
    </row>
    <row r="248" spans="1:7" ht="25.5" customHeight="1" thickBot="1" x14ac:dyDescent="0.25">
      <c r="A248" s="545" t="s">
        <v>683</v>
      </c>
      <c r="B248" s="536"/>
      <c r="C248" s="536"/>
      <c r="D248" s="553"/>
      <c r="E248" s="546"/>
      <c r="F248" s="556"/>
      <c r="G248" s="557"/>
    </row>
    <row r="249" spans="1:7" ht="25.5" customHeight="1" thickBot="1" x14ac:dyDescent="0.25">
      <c r="A249" s="548" t="s">
        <v>684</v>
      </c>
      <c r="B249" s="540"/>
      <c r="C249" s="540"/>
      <c r="D249" s="555"/>
      <c r="E249" s="558"/>
      <c r="F249" s="559"/>
      <c r="G249" s="560"/>
    </row>
    <row r="250" spans="1:7" ht="25.5" customHeight="1" thickBot="1" x14ac:dyDescent="0.25">
      <c r="A250" s="548" t="s">
        <v>685</v>
      </c>
      <c r="B250" s="540"/>
      <c r="C250" s="540"/>
      <c r="D250" s="555"/>
      <c r="E250" s="558"/>
      <c r="F250" s="559"/>
      <c r="G250" s="560"/>
    </row>
    <row r="251" spans="1:7" ht="25.5" customHeight="1" thickBot="1" x14ac:dyDescent="0.25">
      <c r="A251" s="548" t="s">
        <v>686</v>
      </c>
      <c r="B251" s="540"/>
      <c r="C251" s="540"/>
      <c r="D251" s="555"/>
      <c r="E251" s="558"/>
      <c r="F251" s="559"/>
      <c r="G251" s="560"/>
    </row>
    <row r="252" spans="1:7" ht="25.5" customHeight="1" thickBot="1" x14ac:dyDescent="0.25">
      <c r="A252" s="548" t="s">
        <v>687</v>
      </c>
      <c r="B252" s="540"/>
      <c r="C252" s="540"/>
      <c r="D252" s="555"/>
      <c r="E252" s="558"/>
      <c r="F252" s="559"/>
      <c r="G252" s="560"/>
    </row>
    <row r="253" spans="1:7" ht="25.5" customHeight="1" thickBot="1" x14ac:dyDescent="0.25">
      <c r="A253" s="548" t="s">
        <v>688</v>
      </c>
      <c r="B253" s="540"/>
      <c r="C253" s="540"/>
      <c r="D253" s="555"/>
      <c r="E253" s="558"/>
      <c r="F253" s="559"/>
      <c r="G253" s="560"/>
    </row>
    <row r="254" spans="1:7" ht="25.5" customHeight="1" thickBot="1" x14ac:dyDescent="0.25">
      <c r="A254" s="548" t="s">
        <v>689</v>
      </c>
      <c r="B254" s="540"/>
      <c r="C254" s="540"/>
      <c r="D254" s="555"/>
      <c r="E254" s="558"/>
      <c r="F254" s="559"/>
      <c r="G254" s="560"/>
    </row>
    <row r="255" spans="1:7" ht="25.5" customHeight="1" thickBot="1" x14ac:dyDescent="0.25">
      <c r="A255" s="548" t="s">
        <v>690</v>
      </c>
      <c r="B255" s="540"/>
      <c r="C255" s="540"/>
      <c r="D255" s="555"/>
      <c r="E255" s="558"/>
      <c r="F255" s="559"/>
      <c r="G255" s="560"/>
    </row>
    <row r="256" spans="1:7" ht="25.5" customHeight="1" thickBot="1" x14ac:dyDescent="0.25">
      <c r="A256" s="548" t="s">
        <v>691</v>
      </c>
      <c r="B256" s="540"/>
      <c r="C256" s="540"/>
      <c r="D256" s="555"/>
      <c r="E256" s="558"/>
      <c r="F256" s="559"/>
      <c r="G256" s="560"/>
    </row>
    <row r="257" spans="1:7" ht="25.5" customHeight="1" thickBot="1" x14ac:dyDescent="0.25">
      <c r="A257" s="548" t="s">
        <v>700</v>
      </c>
      <c r="B257" s="540"/>
      <c r="C257" s="540"/>
      <c r="D257" s="555"/>
      <c r="E257" s="558"/>
      <c r="F257" s="559"/>
      <c r="G257" s="560"/>
    </row>
    <row r="258" spans="1:7" ht="25.5" customHeight="1" thickBot="1" x14ac:dyDescent="0.25">
      <c r="A258" s="548" t="s">
        <v>692</v>
      </c>
      <c r="B258" s="540"/>
      <c r="C258" s="540"/>
      <c r="D258" s="555"/>
      <c r="E258" s="558"/>
      <c r="F258" s="559"/>
      <c r="G258" s="560"/>
    </row>
    <row r="259" spans="1:7" ht="25.5" customHeight="1" thickBot="1" x14ac:dyDescent="0.25">
      <c r="A259" s="548" t="s">
        <v>693</v>
      </c>
      <c r="B259" s="540"/>
      <c r="C259" s="540"/>
      <c r="D259" s="555"/>
      <c r="E259" s="558"/>
      <c r="F259" s="559"/>
      <c r="G259" s="560"/>
    </row>
    <row r="260" spans="1:7" ht="25.5" customHeight="1" thickBot="1" x14ac:dyDescent="0.25">
      <c r="A260" s="548" t="s">
        <v>694</v>
      </c>
      <c r="B260" s="540"/>
      <c r="C260" s="540"/>
      <c r="D260" s="555"/>
      <c r="E260" s="558"/>
      <c r="F260" s="559"/>
      <c r="G260" s="560"/>
    </row>
    <row r="261" spans="1:7" ht="25.5" customHeight="1" thickBot="1" x14ac:dyDescent="0.25">
      <c r="A261" s="549" t="s">
        <v>701</v>
      </c>
      <c r="B261" s="550"/>
      <c r="C261" s="550"/>
      <c r="D261" s="555"/>
      <c r="E261" s="558"/>
      <c r="F261" s="559"/>
      <c r="G261" s="560"/>
    </row>
    <row r="262" spans="1:7" ht="25.5" customHeight="1" thickBot="1" x14ac:dyDescent="0.25">
      <c r="A262" s="548" t="s">
        <v>702</v>
      </c>
      <c r="B262" s="540"/>
      <c r="C262" s="540"/>
      <c r="D262" s="555"/>
      <c r="E262" s="558"/>
      <c r="F262" s="559"/>
      <c r="G262" s="560"/>
    </row>
    <row r="263" spans="1:7" ht="12.75" customHeight="1" thickBot="1" x14ac:dyDescent="0.25">
      <c r="A263" s="452"/>
      <c r="B263" s="453"/>
      <c r="C263" s="453"/>
      <c r="D263" s="451"/>
      <c r="E263" s="451"/>
      <c r="F263" s="451"/>
      <c r="G263" s="454"/>
    </row>
    <row r="264" spans="1:7" ht="12.75" customHeight="1" thickBot="1" x14ac:dyDescent="0.25">
      <c r="A264" s="449"/>
      <c r="B264" s="449"/>
      <c r="C264" s="449"/>
      <c r="D264" s="446"/>
      <c r="E264" s="446"/>
      <c r="F264" s="446"/>
      <c r="G264" s="446"/>
    </row>
    <row r="265" spans="1:7" ht="12.75" customHeight="1" thickBot="1" x14ac:dyDescent="0.25">
      <c r="A265" s="532" t="s">
        <v>696</v>
      </c>
      <c r="B265" s="533"/>
      <c r="C265" s="534"/>
      <c r="D265" s="450"/>
      <c r="E265" s="451"/>
      <c r="F265" s="451"/>
      <c r="G265" s="451"/>
    </row>
    <row r="266" spans="1:7" ht="25.5" customHeight="1" thickBot="1" x14ac:dyDescent="0.25">
      <c r="A266" s="545" t="s">
        <v>695</v>
      </c>
      <c r="B266" s="536"/>
      <c r="C266" s="536"/>
      <c r="D266" s="553"/>
      <c r="E266" s="546"/>
      <c r="F266" s="556"/>
      <c r="G266" s="557"/>
    </row>
    <row r="267" spans="1:7" ht="25.5" customHeight="1" thickBot="1" x14ac:dyDescent="0.25">
      <c r="A267" s="548" t="s">
        <v>680</v>
      </c>
      <c r="B267" s="540"/>
      <c r="C267" s="540"/>
      <c r="D267" s="555"/>
      <c r="E267" s="558"/>
      <c r="F267" s="559"/>
      <c r="G267" s="560"/>
    </row>
    <row r="268" spans="1:7" ht="12.75" customHeight="1" thickBot="1" x14ac:dyDescent="0.25">
      <c r="A268" s="452"/>
      <c r="B268" s="453"/>
      <c r="C268" s="453"/>
      <c r="D268" s="451"/>
      <c r="E268" s="451"/>
      <c r="F268" s="451"/>
      <c r="G268" s="454"/>
    </row>
    <row r="269" spans="1:7" ht="12.75" customHeight="1" thickBot="1" x14ac:dyDescent="0.25">
      <c r="A269" s="440"/>
      <c r="B269" s="440"/>
      <c r="C269" s="440"/>
      <c r="D269" s="446"/>
      <c r="E269" s="446"/>
      <c r="F269" s="446"/>
      <c r="G269" s="446"/>
    </row>
    <row r="270" spans="1:7" ht="12.75" customHeight="1" thickBot="1" x14ac:dyDescent="0.25">
      <c r="A270" s="532" t="s">
        <v>698</v>
      </c>
      <c r="B270" s="533"/>
      <c r="C270" s="534"/>
      <c r="D270" s="450"/>
      <c r="E270" s="451"/>
      <c r="F270" s="451"/>
      <c r="G270" s="451"/>
    </row>
    <row r="271" spans="1:7" ht="25.5" customHeight="1" thickBot="1" x14ac:dyDescent="0.25">
      <c r="A271" s="545" t="s">
        <v>681</v>
      </c>
      <c r="B271" s="536"/>
      <c r="C271" s="536"/>
      <c r="D271" s="553"/>
      <c r="E271" s="546"/>
      <c r="F271" s="556"/>
      <c r="G271" s="557"/>
    </row>
    <row r="272" spans="1:7" ht="25.5" customHeight="1" thickBot="1" x14ac:dyDescent="0.25">
      <c r="A272" s="548" t="s">
        <v>682</v>
      </c>
      <c r="B272" s="540"/>
      <c r="C272" s="540"/>
      <c r="D272" s="555"/>
      <c r="E272" s="558"/>
      <c r="F272" s="559"/>
      <c r="G272" s="560"/>
    </row>
    <row r="273" spans="1:7" ht="12.75" customHeight="1" thickBot="1" x14ac:dyDescent="0.25">
      <c r="A273" s="452"/>
      <c r="B273" s="453"/>
      <c r="C273" s="453"/>
      <c r="D273" s="451"/>
      <c r="E273" s="451"/>
      <c r="F273" s="451"/>
      <c r="G273" s="454"/>
    </row>
    <row r="274" spans="1:7" ht="12.75" customHeight="1" thickBot="1" x14ac:dyDescent="0.25">
      <c r="A274" s="440"/>
      <c r="B274" s="440"/>
      <c r="C274" s="440"/>
      <c r="D274" s="446"/>
      <c r="E274" s="446"/>
      <c r="F274" s="446"/>
      <c r="G274" s="446"/>
    </row>
    <row r="275" spans="1:7" ht="12.75" customHeight="1" thickBot="1" x14ac:dyDescent="0.25">
      <c r="A275" s="532" t="s">
        <v>699</v>
      </c>
      <c r="B275" s="533"/>
      <c r="C275" s="534"/>
      <c r="D275" s="450"/>
      <c r="E275" s="451"/>
      <c r="F275" s="451"/>
      <c r="G275" s="451"/>
    </row>
    <row r="276" spans="1:7" ht="25.5" customHeight="1" thickBot="1" x14ac:dyDescent="0.25">
      <c r="A276" s="535" t="s">
        <v>683</v>
      </c>
      <c r="B276" s="536"/>
      <c r="C276" s="536"/>
      <c r="D276" s="553"/>
      <c r="E276" s="546"/>
      <c r="F276" s="556"/>
      <c r="G276" s="557"/>
    </row>
    <row r="277" spans="1:7" ht="25.5" customHeight="1" thickBot="1" x14ac:dyDescent="0.25">
      <c r="A277" s="539" t="s">
        <v>684</v>
      </c>
      <c r="B277" s="540"/>
      <c r="C277" s="540"/>
      <c r="D277" s="555"/>
      <c r="E277" s="558"/>
      <c r="F277" s="559"/>
      <c r="G277" s="560"/>
    </row>
    <row r="278" spans="1:7" ht="25.5" customHeight="1" thickBot="1" x14ac:dyDescent="0.25">
      <c r="A278" s="539" t="s">
        <v>685</v>
      </c>
      <c r="B278" s="540"/>
      <c r="C278" s="540"/>
      <c r="D278" s="555"/>
      <c r="E278" s="558"/>
      <c r="F278" s="559"/>
      <c r="G278" s="560"/>
    </row>
    <row r="279" spans="1:7" ht="25.5" customHeight="1" thickBot="1" x14ac:dyDescent="0.25">
      <c r="A279" s="539" t="s">
        <v>686</v>
      </c>
      <c r="B279" s="540"/>
      <c r="C279" s="540"/>
      <c r="D279" s="555"/>
      <c r="E279" s="558"/>
      <c r="F279" s="559"/>
      <c r="G279" s="560"/>
    </row>
    <row r="280" spans="1:7" ht="25.5" customHeight="1" thickBot="1" x14ac:dyDescent="0.25">
      <c r="A280" s="539" t="s">
        <v>687</v>
      </c>
      <c r="B280" s="540"/>
      <c r="C280" s="540"/>
      <c r="D280" s="555"/>
      <c r="E280" s="558"/>
      <c r="F280" s="559"/>
      <c r="G280" s="560"/>
    </row>
    <row r="281" spans="1:7" ht="25.5" customHeight="1" thickBot="1" x14ac:dyDescent="0.25">
      <c r="A281" s="539" t="s">
        <v>688</v>
      </c>
      <c r="B281" s="540"/>
      <c r="C281" s="540"/>
      <c r="D281" s="555"/>
      <c r="E281" s="558"/>
      <c r="F281" s="559"/>
      <c r="G281" s="560"/>
    </row>
    <row r="282" spans="1:7" ht="25.5" customHeight="1" thickBot="1" x14ac:dyDescent="0.25">
      <c r="A282" s="539" t="s">
        <v>689</v>
      </c>
      <c r="B282" s="540"/>
      <c r="C282" s="540"/>
      <c r="D282" s="555"/>
      <c r="E282" s="558"/>
      <c r="F282" s="559"/>
      <c r="G282" s="560"/>
    </row>
    <row r="283" spans="1:7" ht="25.5" customHeight="1" thickBot="1" x14ac:dyDescent="0.25">
      <c r="A283" s="539" t="s">
        <v>690</v>
      </c>
      <c r="B283" s="540"/>
      <c r="C283" s="540"/>
      <c r="D283" s="555"/>
      <c r="E283" s="558"/>
      <c r="F283" s="559"/>
      <c r="G283" s="560"/>
    </row>
    <row r="284" spans="1:7" ht="25.5" customHeight="1" thickBot="1" x14ac:dyDescent="0.25">
      <c r="A284" s="539" t="s">
        <v>691</v>
      </c>
      <c r="B284" s="540"/>
      <c r="C284" s="540"/>
      <c r="D284" s="555"/>
      <c r="E284" s="558"/>
      <c r="F284" s="559"/>
      <c r="G284" s="560"/>
    </row>
    <row r="285" spans="1:7" ht="25.5" customHeight="1" thickBot="1" x14ac:dyDescent="0.25">
      <c r="A285" s="548" t="s">
        <v>700</v>
      </c>
      <c r="B285" s="540"/>
      <c r="C285" s="540"/>
      <c r="D285" s="555"/>
      <c r="E285" s="558"/>
      <c r="F285" s="559"/>
      <c r="G285" s="560"/>
    </row>
    <row r="286" spans="1:7" ht="25.5" customHeight="1" thickBot="1" x14ac:dyDescent="0.25">
      <c r="A286" s="539" t="s">
        <v>692</v>
      </c>
      <c r="B286" s="540"/>
      <c r="C286" s="540"/>
      <c r="D286" s="555"/>
      <c r="E286" s="558"/>
      <c r="F286" s="559"/>
      <c r="G286" s="560"/>
    </row>
    <row r="287" spans="1:7" ht="25.5" customHeight="1" thickBot="1" x14ac:dyDescent="0.25">
      <c r="A287" s="539" t="s">
        <v>693</v>
      </c>
      <c r="B287" s="540"/>
      <c r="C287" s="540"/>
      <c r="D287" s="555"/>
      <c r="E287" s="558"/>
      <c r="F287" s="559"/>
      <c r="G287" s="560"/>
    </row>
    <row r="288" spans="1:7" ht="25.5" customHeight="1" thickBot="1" x14ac:dyDescent="0.25">
      <c r="A288" s="539" t="s">
        <v>694</v>
      </c>
      <c r="B288" s="540"/>
      <c r="C288" s="540"/>
      <c r="D288" s="555"/>
      <c r="E288" s="558"/>
      <c r="F288" s="559"/>
      <c r="G288" s="560"/>
    </row>
    <row r="289" spans="1:7" ht="13.5" thickBot="1" x14ac:dyDescent="0.25">
      <c r="A289" s="455"/>
      <c r="B289" s="456"/>
      <c r="C289" s="456"/>
      <c r="D289" s="456"/>
      <c r="E289" s="456"/>
      <c r="F289" s="456"/>
      <c r="G289" s="457"/>
    </row>
  </sheetData>
  <sheetProtection selectLockedCells="1" selectUnlockedCells="1"/>
  <mergeCells count="146">
    <mergeCell ref="E288:G288"/>
    <mergeCell ref="A271:D271"/>
    <mergeCell ref="A272:D272"/>
    <mergeCell ref="A267:D267"/>
    <mergeCell ref="A266:D266"/>
    <mergeCell ref="E266:G266"/>
    <mergeCell ref="E267:G267"/>
    <mergeCell ref="E271:G271"/>
    <mergeCell ref="E272:G272"/>
    <mergeCell ref="A288:D288"/>
    <mergeCell ref="A276:D276"/>
    <mergeCell ref="A277:D277"/>
    <mergeCell ref="A278:D278"/>
    <mergeCell ref="A279:D279"/>
    <mergeCell ref="A280:D280"/>
    <mergeCell ref="A281:D281"/>
    <mergeCell ref="A282:D282"/>
    <mergeCell ref="A283:D283"/>
    <mergeCell ref="A284:D284"/>
    <mergeCell ref="A285:D285"/>
    <mergeCell ref="A286:D286"/>
    <mergeCell ref="A287:D287"/>
    <mergeCell ref="E283:G283"/>
    <mergeCell ref="E284:G284"/>
    <mergeCell ref="A237:G237"/>
    <mergeCell ref="A242:C242"/>
    <mergeCell ref="A247:C247"/>
    <mergeCell ref="A265:C265"/>
    <mergeCell ref="A270:C270"/>
    <mergeCell ref="A275:C275"/>
    <mergeCell ref="A256:D256"/>
    <mergeCell ref="A257:D257"/>
    <mergeCell ref="A258:D258"/>
    <mergeCell ref="A259:D259"/>
    <mergeCell ref="A260:D260"/>
    <mergeCell ref="A261:D261"/>
    <mergeCell ref="A262:D262"/>
    <mergeCell ref="E259:G259"/>
    <mergeCell ref="E260:G260"/>
    <mergeCell ref="E261:G261"/>
    <mergeCell ref="E262:G262"/>
    <mergeCell ref="A254:D254"/>
    <mergeCell ref="A255:D255"/>
    <mergeCell ref="E254:G254"/>
    <mergeCell ref="E255:G255"/>
    <mergeCell ref="E256:G256"/>
    <mergeCell ref="E257:G257"/>
    <mergeCell ref="E258:G258"/>
    <mergeCell ref="E285:G285"/>
    <mergeCell ref="E286:G286"/>
    <mergeCell ref="E287:G287"/>
    <mergeCell ref="E278:G278"/>
    <mergeCell ref="E279:G279"/>
    <mergeCell ref="E280:G280"/>
    <mergeCell ref="E281:G281"/>
    <mergeCell ref="E282:G282"/>
    <mergeCell ref="E276:G276"/>
    <mergeCell ref="E277:G277"/>
    <mergeCell ref="A249:D249"/>
    <mergeCell ref="A250:D250"/>
    <mergeCell ref="A251:D251"/>
    <mergeCell ref="A252:D252"/>
    <mergeCell ref="A253:D253"/>
    <mergeCell ref="E249:G249"/>
    <mergeCell ref="E250:G250"/>
    <mergeCell ref="E251:G251"/>
    <mergeCell ref="E252:G252"/>
    <mergeCell ref="E253:G253"/>
    <mergeCell ref="A248:D248"/>
    <mergeCell ref="A243:D243"/>
    <mergeCell ref="A244:D244"/>
    <mergeCell ref="A238:D238"/>
    <mergeCell ref="A239:D239"/>
    <mergeCell ref="E238:G238"/>
    <mergeCell ref="E239:G239"/>
    <mergeCell ref="E243:G243"/>
    <mergeCell ref="E244:G244"/>
    <mergeCell ref="E248:G248"/>
    <mergeCell ref="D18:F18"/>
    <mergeCell ref="A119:G119"/>
    <mergeCell ref="A121:C121"/>
    <mergeCell ref="D121:F121"/>
    <mergeCell ref="A122:C122"/>
    <mergeCell ref="D122:F122"/>
    <mergeCell ref="A123:C123"/>
    <mergeCell ref="D123:F123"/>
    <mergeCell ref="A124:C124"/>
    <mergeCell ref="D124:F124"/>
    <mergeCell ref="A125:C125"/>
    <mergeCell ref="D125:F125"/>
    <mergeCell ref="A126:C126"/>
    <mergeCell ref="D126:F126"/>
    <mergeCell ref="A127:C127"/>
    <mergeCell ref="D127:F127"/>
    <mergeCell ref="A128:C128"/>
    <mergeCell ref="D128:F128"/>
    <mergeCell ref="A129:C129"/>
    <mergeCell ref="D129:F129"/>
    <mergeCell ref="A130:C130"/>
    <mergeCell ref="D130:F130"/>
    <mergeCell ref="A131:C131"/>
    <mergeCell ref="D131:F131"/>
    <mergeCell ref="A132:C132"/>
    <mergeCell ref="D132:F132"/>
    <mergeCell ref="A133:C133"/>
    <mergeCell ref="D133:F133"/>
    <mergeCell ref="A134:C134"/>
    <mergeCell ref="D134:F134"/>
    <mergeCell ref="A186:G186"/>
    <mergeCell ref="D178:E178"/>
    <mergeCell ref="D179:E179"/>
    <mergeCell ref="A138:C138"/>
    <mergeCell ref="D138:F138"/>
    <mergeCell ref="A135:C135"/>
    <mergeCell ref="D135:F135"/>
    <mergeCell ref="A136:C136"/>
    <mergeCell ref="D136:F136"/>
    <mergeCell ref="A137:C137"/>
    <mergeCell ref="D137:F137"/>
    <mergeCell ref="A160:G160"/>
    <mergeCell ref="A141:G142"/>
    <mergeCell ref="A143:G144"/>
    <mergeCell ref="D180:E180"/>
    <mergeCell ref="A176:G176"/>
    <mergeCell ref="A183:G183"/>
    <mergeCell ref="A161:G161"/>
    <mergeCell ref="A163:G165"/>
    <mergeCell ref="A166:G171"/>
    <mergeCell ref="A172:G173"/>
    <mergeCell ref="E198:G198"/>
    <mergeCell ref="A200:G203"/>
    <mergeCell ref="D188:G188"/>
    <mergeCell ref="B190:G190"/>
    <mergeCell ref="B192:G192"/>
    <mergeCell ref="A228:D228"/>
    <mergeCell ref="A217:G221"/>
    <mergeCell ref="A207:G207"/>
    <mergeCell ref="A206:G206"/>
    <mergeCell ref="A209:G209"/>
    <mergeCell ref="A211:G212"/>
    <mergeCell ref="E228:G228"/>
    <mergeCell ref="E226:G226"/>
    <mergeCell ref="E227:G227"/>
    <mergeCell ref="A223:G225"/>
    <mergeCell ref="A226:D226"/>
    <mergeCell ref="A227:D227"/>
  </mergeCells>
  <pageMargins left="0.78749999999999998" right="0.78749999999999998" top="1.05277777777778" bottom="1.05277777777778" header="0.78749999999999998" footer="0.78749999999999998"/>
  <pageSetup scale="52" firstPageNumber="0" orientation="portrait" horizontalDpi="300" verticalDpi="300" r:id="rId1"/>
  <headerFooter>
    <oddFooter>&amp;C
propuesta válido por 15 días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9"/>
  <sheetViews>
    <sheetView topLeftCell="B1" workbookViewId="0">
      <pane ySplit="1" topLeftCell="A2" activePane="bottomLeft" state="frozen"/>
      <selection activeCell="B1" sqref="B1"/>
      <selection pane="bottomLeft" activeCell="C6" sqref="C6"/>
    </sheetView>
  </sheetViews>
  <sheetFormatPr defaultRowHeight="10.5" x14ac:dyDescent="0.15"/>
  <cols>
    <col min="1" max="1" width="0.42578125" style="409" hidden="1" customWidth="1"/>
    <col min="2" max="2" width="46.28515625" style="409" bestFit="1" customWidth="1"/>
    <col min="3" max="3" width="26.140625" style="409" bestFit="1" customWidth="1"/>
    <col min="4" max="4" width="75.5703125" style="409" bestFit="1" customWidth="1"/>
    <col min="5" max="16384" width="9.140625" style="409"/>
  </cols>
  <sheetData>
    <row r="1" spans="1:4" ht="13.5" thickBot="1" x14ac:dyDescent="0.25">
      <c r="B1" s="566" t="s">
        <v>574</v>
      </c>
      <c r="C1" s="567"/>
      <c r="D1" s="568"/>
    </row>
    <row r="3" spans="1:4" ht="13.5" customHeight="1" thickBot="1" x14ac:dyDescent="0.2">
      <c r="B3" s="561" t="s">
        <v>455</v>
      </c>
      <c r="C3" s="562"/>
      <c r="D3" s="563"/>
    </row>
    <row r="4" spans="1:4" ht="11.25" thickTop="1" x14ac:dyDescent="0.15">
      <c r="A4" s="410" t="s">
        <v>573</v>
      </c>
      <c r="B4" s="410" t="s">
        <v>456</v>
      </c>
      <c r="C4" s="410" t="s">
        <v>457</v>
      </c>
      <c r="D4" s="410" t="s">
        <v>458</v>
      </c>
    </row>
    <row r="5" spans="1:4" x14ac:dyDescent="0.15">
      <c r="A5" s="411" t="s">
        <v>459</v>
      </c>
      <c r="B5" s="411" t="s">
        <v>455</v>
      </c>
      <c r="C5" s="421" t="str">
        <f>IF(Cust_Company="",Cust_FirstName&amp;" "&amp;Cust_LastName,Cust_Company)</f>
        <v xml:space="preserve"> </v>
      </c>
      <c r="D5" s="411" t="s">
        <v>460</v>
      </c>
    </row>
    <row r="6" spans="1:4" x14ac:dyDescent="0.15">
      <c r="A6" s="412" t="s">
        <v>461</v>
      </c>
      <c r="B6" s="460" t="s">
        <v>703</v>
      </c>
      <c r="C6" s="397"/>
      <c r="D6" s="412" t="s">
        <v>462</v>
      </c>
    </row>
    <row r="7" spans="1:4" x14ac:dyDescent="0.15">
      <c r="A7" s="412" t="s">
        <v>463</v>
      </c>
      <c r="B7" s="460" t="s">
        <v>704</v>
      </c>
      <c r="C7" s="397"/>
      <c r="D7" s="412" t="s">
        <v>464</v>
      </c>
    </row>
    <row r="8" spans="1:4" x14ac:dyDescent="0.15">
      <c r="A8" s="412" t="s">
        <v>465</v>
      </c>
      <c r="B8" s="412" t="s">
        <v>25</v>
      </c>
      <c r="C8" s="413" t="str">
        <f>IF(Cust_Address="","",Cust_Address)</f>
        <v/>
      </c>
      <c r="D8" s="435" t="s">
        <v>623</v>
      </c>
    </row>
    <row r="9" spans="1:4" x14ac:dyDescent="0.15">
      <c r="A9" s="412" t="s">
        <v>466</v>
      </c>
      <c r="B9" s="412" t="s">
        <v>26</v>
      </c>
      <c r="C9" s="413" t="str">
        <f>IF(Cust_City="","",Cust_City)</f>
        <v/>
      </c>
      <c r="D9" s="435" t="s">
        <v>624</v>
      </c>
    </row>
    <row r="10" spans="1:4" x14ac:dyDescent="0.15">
      <c r="A10" s="412" t="s">
        <v>467</v>
      </c>
      <c r="B10" s="412" t="s">
        <v>27</v>
      </c>
      <c r="C10" s="413" t="str">
        <f>IF(Cust_State="","",Cust_State)</f>
        <v/>
      </c>
      <c r="D10" s="435" t="s">
        <v>625</v>
      </c>
    </row>
    <row r="11" spans="1:4" x14ac:dyDescent="0.15">
      <c r="A11" s="412" t="s">
        <v>468</v>
      </c>
      <c r="B11" s="412" t="s">
        <v>28</v>
      </c>
      <c r="C11" s="413" t="str">
        <f>IF(Cust_Zip="","",Cust_Zip)</f>
        <v/>
      </c>
      <c r="D11" s="435" t="s">
        <v>626</v>
      </c>
    </row>
    <row r="12" spans="1:4" x14ac:dyDescent="0.15">
      <c r="A12" s="412" t="s">
        <v>469</v>
      </c>
      <c r="B12" s="412" t="s">
        <v>541</v>
      </c>
      <c r="C12" s="463"/>
      <c r="D12" s="412" t="s">
        <v>470</v>
      </c>
    </row>
    <row r="13" spans="1:4" x14ac:dyDescent="0.15">
      <c r="A13" s="412" t="s">
        <v>471</v>
      </c>
      <c r="B13" s="412" t="s">
        <v>540</v>
      </c>
      <c r="C13" s="463"/>
      <c r="D13" s="412" t="s">
        <v>472</v>
      </c>
    </row>
    <row r="14" spans="1:4" x14ac:dyDescent="0.15">
      <c r="A14" s="412" t="s">
        <v>473</v>
      </c>
      <c r="B14" s="412" t="s">
        <v>542</v>
      </c>
      <c r="C14" s="148" t="s">
        <v>474</v>
      </c>
      <c r="D14" s="412" t="s">
        <v>475</v>
      </c>
    </row>
    <row r="15" spans="1:4" x14ac:dyDescent="0.15">
      <c r="A15" s="412" t="s">
        <v>476</v>
      </c>
      <c r="B15" s="412" t="s">
        <v>543</v>
      </c>
      <c r="C15" s="464"/>
      <c r="D15" s="412" t="s">
        <v>477</v>
      </c>
    </row>
    <row r="16" spans="1:4" x14ac:dyDescent="0.15">
      <c r="A16" s="412" t="s">
        <v>478</v>
      </c>
      <c r="B16" s="412" t="s">
        <v>544</v>
      </c>
      <c r="C16" s="464"/>
      <c r="D16" s="448" t="s">
        <v>650</v>
      </c>
    </row>
    <row r="17" spans="1:4" x14ac:dyDescent="0.15">
      <c r="A17" s="412" t="s">
        <v>479</v>
      </c>
      <c r="B17" s="412" t="s">
        <v>545</v>
      </c>
      <c r="C17" s="464"/>
      <c r="D17" s="412" t="s">
        <v>480</v>
      </c>
    </row>
    <row r="18" spans="1:4" x14ac:dyDescent="0.15">
      <c r="A18" s="412" t="s">
        <v>481</v>
      </c>
      <c r="B18" s="412" t="s">
        <v>546</v>
      </c>
      <c r="C18" s="426">
        <f>Cust_LeaseTermYears</f>
        <v>15</v>
      </c>
      <c r="D18" s="435" t="s">
        <v>627</v>
      </c>
    </row>
    <row r="19" spans="1:4" x14ac:dyDescent="0.15">
      <c r="A19" s="412" t="s">
        <v>548</v>
      </c>
      <c r="B19" s="412" t="s">
        <v>313</v>
      </c>
      <c r="C19" s="424">
        <f>Cust_SavingsRate</f>
        <v>0.1</v>
      </c>
      <c r="D19" s="412" t="s">
        <v>550</v>
      </c>
    </row>
    <row r="20" spans="1:4" x14ac:dyDescent="0.15">
      <c r="A20" s="412" t="s">
        <v>482</v>
      </c>
      <c r="B20" s="412" t="s">
        <v>547</v>
      </c>
      <c r="C20" s="422">
        <f>Sys_kWhPerYear</f>
        <v>0</v>
      </c>
      <c r="D20" s="412" t="s">
        <v>483</v>
      </c>
    </row>
    <row r="21" spans="1:4" x14ac:dyDescent="0.15">
      <c r="A21" s="412" t="s">
        <v>484</v>
      </c>
      <c r="B21" s="412" t="s">
        <v>31</v>
      </c>
      <c r="C21" s="422">
        <f>Cust_InitialPymt</f>
        <v>0</v>
      </c>
      <c r="D21" s="435" t="s">
        <v>622</v>
      </c>
    </row>
    <row r="22" spans="1:4" x14ac:dyDescent="0.15">
      <c r="A22" s="412" t="s">
        <v>485</v>
      </c>
      <c r="B22" s="412" t="s">
        <v>549</v>
      </c>
      <c r="C22" s="422" t="str">
        <f>IF(Sys_kWhPerYear=0,"",Savings!AC6/12)</f>
        <v/>
      </c>
      <c r="D22" s="435" t="s">
        <v>621</v>
      </c>
    </row>
    <row r="23" spans="1:4" x14ac:dyDescent="0.15">
      <c r="A23" s="414" t="s">
        <v>486</v>
      </c>
      <c r="B23" s="414" t="s">
        <v>551</v>
      </c>
      <c r="C23" s="423">
        <f>FinYrIncr</f>
        <v>3.5000000000000003E-2</v>
      </c>
      <c r="D23" s="434" t="s">
        <v>628</v>
      </c>
    </row>
    <row r="24" spans="1:4" x14ac:dyDescent="0.15">
      <c r="A24" s="415"/>
      <c r="B24" s="420"/>
      <c r="C24" s="416"/>
      <c r="D24" s="417"/>
    </row>
    <row r="25" spans="1:4" x14ac:dyDescent="0.15">
      <c r="A25" s="419"/>
      <c r="B25" s="425" t="s">
        <v>487</v>
      </c>
      <c r="C25" s="418"/>
      <c r="D25" s="417"/>
    </row>
    <row r="26" spans="1:4" x14ac:dyDescent="0.15">
      <c r="A26" s="411" t="s">
        <v>488</v>
      </c>
      <c r="B26" s="411" t="s">
        <v>553</v>
      </c>
      <c r="C26" s="465"/>
      <c r="D26" s="411" t="s">
        <v>489</v>
      </c>
    </row>
    <row r="27" spans="1:4" x14ac:dyDescent="0.15">
      <c r="A27" s="414" t="s">
        <v>490</v>
      </c>
      <c r="B27" s="461" t="s">
        <v>705</v>
      </c>
      <c r="C27" s="466"/>
      <c r="D27" s="414" t="s">
        <v>491</v>
      </c>
    </row>
    <row r="28" spans="1:4" x14ac:dyDescent="0.15">
      <c r="A28" s="415"/>
      <c r="B28" s="420"/>
      <c r="C28" s="420"/>
      <c r="D28" s="417"/>
    </row>
    <row r="29" spans="1:4" x14ac:dyDescent="0.15">
      <c r="A29" s="419"/>
      <c r="B29" s="425" t="s">
        <v>492</v>
      </c>
      <c r="C29" s="420"/>
      <c r="D29" s="417"/>
    </row>
    <row r="30" spans="1:4" x14ac:dyDescent="0.15">
      <c r="A30" s="411" t="s">
        <v>493</v>
      </c>
      <c r="B30" s="411" t="s">
        <v>554</v>
      </c>
      <c r="C30" s="467"/>
      <c r="D30" s="411" t="s">
        <v>494</v>
      </c>
    </row>
    <row r="31" spans="1:4" x14ac:dyDescent="0.15">
      <c r="A31" s="412" t="s">
        <v>495</v>
      </c>
      <c r="B31" s="412" t="s">
        <v>555</v>
      </c>
      <c r="C31" s="468"/>
      <c r="D31" s="448" t="s">
        <v>651</v>
      </c>
    </row>
    <row r="32" spans="1:4" x14ac:dyDescent="0.15">
      <c r="A32" s="412" t="s">
        <v>496</v>
      </c>
      <c r="B32" s="412" t="s">
        <v>561</v>
      </c>
      <c r="C32" s="464"/>
      <c r="D32" s="412" t="s">
        <v>497</v>
      </c>
    </row>
    <row r="33" spans="1:4" x14ac:dyDescent="0.15">
      <c r="A33" s="412" t="s">
        <v>498</v>
      </c>
      <c r="B33" s="412" t="s">
        <v>557</v>
      </c>
      <c r="C33" s="463"/>
      <c r="D33" s="412" t="s">
        <v>499</v>
      </c>
    </row>
    <row r="34" spans="1:4" x14ac:dyDescent="0.15">
      <c r="A34" s="412" t="s">
        <v>500</v>
      </c>
      <c r="B34" s="412" t="s">
        <v>558</v>
      </c>
      <c r="C34" s="463"/>
      <c r="D34" s="412" t="s">
        <v>501</v>
      </c>
    </row>
    <row r="35" spans="1:4" x14ac:dyDescent="0.15">
      <c r="A35" s="412" t="s">
        <v>502</v>
      </c>
      <c r="B35" s="412" t="s">
        <v>559</v>
      </c>
      <c r="C35" s="463"/>
      <c r="D35" s="448" t="s">
        <v>636</v>
      </c>
    </row>
    <row r="36" spans="1:4" x14ac:dyDescent="0.15">
      <c r="A36" s="412" t="s">
        <v>503</v>
      </c>
      <c r="B36" s="412" t="s">
        <v>560</v>
      </c>
      <c r="C36" s="464"/>
      <c r="D36" s="412" t="s">
        <v>504</v>
      </c>
    </row>
    <row r="37" spans="1:4" x14ac:dyDescent="0.15">
      <c r="A37" s="412" t="s">
        <v>505</v>
      </c>
      <c r="B37" s="412" t="s">
        <v>556</v>
      </c>
      <c r="C37" s="463"/>
      <c r="D37" s="412" t="s">
        <v>506</v>
      </c>
    </row>
    <row r="38" spans="1:4" x14ac:dyDescent="0.15">
      <c r="A38" s="412" t="s">
        <v>507</v>
      </c>
      <c r="B38" s="412" t="s">
        <v>638</v>
      </c>
      <c r="C38" s="464"/>
      <c r="D38" s="412" t="s">
        <v>508</v>
      </c>
    </row>
    <row r="39" spans="1:4" x14ac:dyDescent="0.15">
      <c r="A39" s="412" t="s">
        <v>509</v>
      </c>
      <c r="B39" s="412" t="s">
        <v>639</v>
      </c>
      <c r="C39" s="468"/>
      <c r="D39" s="448" t="s">
        <v>652</v>
      </c>
    </row>
    <row r="40" spans="1:4" x14ac:dyDescent="0.15">
      <c r="A40" s="412" t="s">
        <v>510</v>
      </c>
      <c r="B40" s="412" t="s">
        <v>640</v>
      </c>
      <c r="C40" s="464"/>
      <c r="D40" s="412" t="s">
        <v>511</v>
      </c>
    </row>
    <row r="41" spans="1:4" x14ac:dyDescent="0.15">
      <c r="A41" s="412" t="s">
        <v>512</v>
      </c>
      <c r="B41" s="412" t="s">
        <v>641</v>
      </c>
      <c r="C41" s="463"/>
      <c r="D41" s="412" t="s">
        <v>513</v>
      </c>
    </row>
    <row r="42" spans="1:4" x14ac:dyDescent="0.15">
      <c r="A42" s="412" t="s">
        <v>514</v>
      </c>
      <c r="B42" s="412" t="s">
        <v>642</v>
      </c>
      <c r="C42" s="463"/>
      <c r="D42" s="412" t="s">
        <v>515</v>
      </c>
    </row>
    <row r="43" spans="1:4" x14ac:dyDescent="0.15">
      <c r="A43" s="412" t="s">
        <v>516</v>
      </c>
      <c r="B43" s="412" t="s">
        <v>643</v>
      </c>
      <c r="C43" s="463"/>
      <c r="D43" s="448" t="s">
        <v>637</v>
      </c>
    </row>
    <row r="44" spans="1:4" x14ac:dyDescent="0.15">
      <c r="A44" s="414" t="s">
        <v>517</v>
      </c>
      <c r="B44" s="414" t="s">
        <v>644</v>
      </c>
      <c r="C44" s="466"/>
      <c r="D44" s="414" t="s">
        <v>518</v>
      </c>
    </row>
    <row r="47" spans="1:4" ht="13.5" thickBot="1" x14ac:dyDescent="0.25">
      <c r="B47" s="561" t="s">
        <v>519</v>
      </c>
      <c r="C47" s="564"/>
      <c r="D47" s="565"/>
    </row>
    <row r="48" spans="1:4" ht="11.25" thickTop="1" x14ac:dyDescent="0.15">
      <c r="A48" s="410" t="s">
        <v>573</v>
      </c>
      <c r="B48" s="410" t="s">
        <v>456</v>
      </c>
      <c r="C48" s="410" t="s">
        <v>457</v>
      </c>
      <c r="D48" s="410" t="s">
        <v>458</v>
      </c>
    </row>
    <row r="49" spans="1:4" x14ac:dyDescent="0.15">
      <c r="A49" s="411" t="s">
        <v>520</v>
      </c>
      <c r="B49" s="411" t="s">
        <v>519</v>
      </c>
      <c r="C49" s="465"/>
      <c r="D49" s="411" t="s">
        <v>521</v>
      </c>
    </row>
    <row r="50" spans="1:4" x14ac:dyDescent="0.15">
      <c r="A50" s="414" t="s">
        <v>522</v>
      </c>
      <c r="B50" s="414" t="s">
        <v>562</v>
      </c>
      <c r="C50" s="469"/>
      <c r="D50" s="414" t="s">
        <v>523</v>
      </c>
    </row>
    <row r="51" spans="1:4" x14ac:dyDescent="0.15">
      <c r="A51" s="415"/>
      <c r="B51" s="420"/>
      <c r="C51" s="418"/>
      <c r="D51" s="417"/>
    </row>
    <row r="52" spans="1:4" x14ac:dyDescent="0.15">
      <c r="A52" s="419"/>
      <c r="B52" s="425" t="s">
        <v>524</v>
      </c>
      <c r="C52" s="418"/>
      <c r="D52" s="417"/>
    </row>
    <row r="53" spans="1:4" x14ac:dyDescent="0.15">
      <c r="A53" s="411" t="s">
        <v>525</v>
      </c>
      <c r="B53" s="411" t="s">
        <v>563</v>
      </c>
      <c r="C53" s="465"/>
      <c r="D53" s="411" t="s">
        <v>489</v>
      </c>
    </row>
    <row r="54" spans="1:4" x14ac:dyDescent="0.15">
      <c r="A54" s="414" t="s">
        <v>526</v>
      </c>
      <c r="B54" s="461" t="s">
        <v>667</v>
      </c>
      <c r="C54" s="466"/>
      <c r="D54" s="414" t="s">
        <v>491</v>
      </c>
    </row>
    <row r="55" spans="1:4" x14ac:dyDescent="0.15">
      <c r="A55" s="415"/>
      <c r="B55" s="420"/>
      <c r="C55" s="418"/>
      <c r="D55" s="417"/>
    </row>
    <row r="56" spans="1:4" x14ac:dyDescent="0.15">
      <c r="A56" s="419"/>
      <c r="B56" s="425" t="s">
        <v>527</v>
      </c>
      <c r="C56" s="418"/>
      <c r="D56" s="417"/>
    </row>
    <row r="57" spans="1:4" x14ac:dyDescent="0.15">
      <c r="A57" s="411" t="s">
        <v>528</v>
      </c>
      <c r="B57" s="411" t="s">
        <v>566</v>
      </c>
      <c r="C57" s="467"/>
      <c r="D57" s="411" t="s">
        <v>494</v>
      </c>
    </row>
    <row r="58" spans="1:4" x14ac:dyDescent="0.15">
      <c r="A58" s="412" t="s">
        <v>529</v>
      </c>
      <c r="B58" s="412" t="s">
        <v>567</v>
      </c>
      <c r="C58" s="468"/>
      <c r="D58" s="448" t="s">
        <v>651</v>
      </c>
    </row>
    <row r="59" spans="1:4" x14ac:dyDescent="0.15">
      <c r="A59" s="412" t="s">
        <v>530</v>
      </c>
      <c r="B59" s="412" t="s">
        <v>568</v>
      </c>
      <c r="C59" s="464"/>
      <c r="D59" s="412" t="s">
        <v>497</v>
      </c>
    </row>
    <row r="60" spans="1:4" x14ac:dyDescent="0.15">
      <c r="A60" s="412" t="s">
        <v>531</v>
      </c>
      <c r="B60" s="412" t="s">
        <v>569</v>
      </c>
      <c r="C60" s="463"/>
      <c r="D60" s="412" t="s">
        <v>499</v>
      </c>
    </row>
    <row r="61" spans="1:4" x14ac:dyDescent="0.15">
      <c r="A61" s="412" t="s">
        <v>532</v>
      </c>
      <c r="B61" s="412" t="s">
        <v>570</v>
      </c>
      <c r="C61" s="463"/>
      <c r="D61" s="412" t="s">
        <v>501</v>
      </c>
    </row>
    <row r="62" spans="1:4" x14ac:dyDescent="0.15">
      <c r="A62" s="412" t="s">
        <v>533</v>
      </c>
      <c r="B62" s="412" t="s">
        <v>571</v>
      </c>
      <c r="C62" s="463"/>
      <c r="D62" s="448" t="s">
        <v>636</v>
      </c>
    </row>
    <row r="63" spans="1:4" x14ac:dyDescent="0.15">
      <c r="A63" s="412" t="s">
        <v>534</v>
      </c>
      <c r="B63" s="412" t="s">
        <v>572</v>
      </c>
      <c r="C63" s="464"/>
      <c r="D63" s="412" t="s">
        <v>504</v>
      </c>
    </row>
    <row r="64" spans="1:4" x14ac:dyDescent="0.15">
      <c r="A64" s="412" t="s">
        <v>564</v>
      </c>
      <c r="B64" s="412" t="s">
        <v>565</v>
      </c>
      <c r="C64" s="463"/>
      <c r="D64" s="412" t="s">
        <v>506</v>
      </c>
    </row>
    <row r="65" spans="1:4" x14ac:dyDescent="0.15">
      <c r="A65" s="412" t="s">
        <v>535</v>
      </c>
      <c r="B65" s="412" t="s">
        <v>645</v>
      </c>
      <c r="C65" s="464"/>
      <c r="D65" s="412" t="s">
        <v>508</v>
      </c>
    </row>
    <row r="66" spans="1:4" x14ac:dyDescent="0.15">
      <c r="A66" s="412" t="s">
        <v>536</v>
      </c>
      <c r="B66" s="412" t="s">
        <v>646</v>
      </c>
      <c r="C66" s="468"/>
      <c r="D66" s="448" t="s">
        <v>652</v>
      </c>
    </row>
    <row r="67" spans="1:4" x14ac:dyDescent="0.15">
      <c r="A67" s="412" t="s">
        <v>537</v>
      </c>
      <c r="B67" s="412" t="s">
        <v>647</v>
      </c>
      <c r="C67" s="464"/>
      <c r="D67" s="412" t="s">
        <v>511</v>
      </c>
    </row>
    <row r="68" spans="1:4" x14ac:dyDescent="0.15">
      <c r="A68" s="412" t="s">
        <v>538</v>
      </c>
      <c r="B68" s="412" t="s">
        <v>648</v>
      </c>
      <c r="C68" s="463"/>
      <c r="D68" s="412" t="s">
        <v>513</v>
      </c>
    </row>
    <row r="69" spans="1:4" x14ac:dyDescent="0.15">
      <c r="A69" s="414" t="s">
        <v>539</v>
      </c>
      <c r="B69" s="414" t="s">
        <v>649</v>
      </c>
      <c r="C69" s="469"/>
      <c r="D69" s="414" t="s">
        <v>515</v>
      </c>
    </row>
  </sheetData>
  <sheetProtection selectLockedCells="1"/>
  <mergeCells count="3">
    <mergeCell ref="B3:D3"/>
    <mergeCell ref="B47:D47"/>
    <mergeCell ref="B1:D1"/>
  </mergeCells>
  <dataValidations count="1">
    <dataValidation type="list" allowBlank="1" showInputMessage="1" showErrorMessage="1" sqref="C14">
      <formula1>"Visa,MasterCard"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3"/>
  <sheetViews>
    <sheetView zoomScaleNormal="100" zoomScalePageLayoutView="200" workbookViewId="0">
      <pane xSplit="1" ySplit="2" topLeftCell="B3" activePane="bottomRight" state="frozen"/>
      <selection sqref="A1:O10"/>
      <selection pane="topRight" sqref="A1:O10"/>
      <selection pane="bottomLeft" sqref="A1:O10"/>
      <selection pane="bottomRight" activeCell="B3" sqref="B3"/>
    </sheetView>
  </sheetViews>
  <sheetFormatPr defaultColWidth="11.42578125" defaultRowHeight="10.5" x14ac:dyDescent="0.15"/>
  <cols>
    <col min="1" max="1" width="14" style="80" bestFit="1" customWidth="1"/>
    <col min="2" max="2" width="23.85546875" style="80" bestFit="1" customWidth="1"/>
    <col min="3" max="3" width="7.28515625" style="46" bestFit="1" customWidth="1"/>
    <col min="4" max="4" width="36" style="46" bestFit="1" customWidth="1"/>
    <col min="5" max="5" width="12" style="46" bestFit="1" customWidth="1"/>
    <col min="6" max="6" width="6.85546875" style="47" bestFit="1" customWidth="1"/>
    <col min="7" max="7" width="11" style="80" bestFit="1" customWidth="1"/>
    <col min="8" max="16384" width="11.42578125" style="80"/>
  </cols>
  <sheetData>
    <row r="1" spans="1:8" x14ac:dyDescent="0.15">
      <c r="A1" s="56" t="s">
        <v>0</v>
      </c>
      <c r="B1" s="84">
        <f>Inputs_MySOL!$G$17</f>
        <v>0</v>
      </c>
      <c r="D1" s="47"/>
      <c r="E1" s="47"/>
      <c r="G1" s="82"/>
    </row>
    <row r="2" spans="1:8" x14ac:dyDescent="0.15">
      <c r="A2" s="56" t="s">
        <v>1</v>
      </c>
      <c r="C2" s="46" t="s">
        <v>195</v>
      </c>
      <c r="D2" s="54" t="s">
        <v>89</v>
      </c>
      <c r="E2" s="54" t="s">
        <v>149</v>
      </c>
      <c r="F2" s="54" t="s">
        <v>80</v>
      </c>
    </row>
    <row r="3" spans="1:8" x14ac:dyDescent="0.15">
      <c r="A3" s="80" t="s">
        <v>587</v>
      </c>
      <c r="B3" s="80" t="s">
        <v>2</v>
      </c>
      <c r="C3" s="57" t="str">
        <f t="shared" ref="C3:C4" si="0">IFERROR(E3*F3/$B$1,"NaN")</f>
        <v>NaN</v>
      </c>
      <c r="D3" s="58" t="str">
        <f>VLOOKUP($B3,Inputs!$D$4:$F$9,3,FALSE)</f>
        <v>Trina Solar_TSM-270PA05A</v>
      </c>
      <c r="E3" s="240">
        <f>IFERROR(VLOOKUP(D3,Components!$A$2:$N$66,4,FALSE),"NaN")</f>
        <v>110.22749999999999</v>
      </c>
      <c r="F3" s="159">
        <f>VLOOKUP($B3,Inputs!$D$4:$I$9,6,FALSE)</f>
        <v>0</v>
      </c>
      <c r="H3" s="100"/>
    </row>
    <row r="4" spans="1:8" x14ac:dyDescent="0.15">
      <c r="B4" s="80" t="s">
        <v>4</v>
      </c>
      <c r="C4" s="57" t="str">
        <f t="shared" si="0"/>
        <v>NaN</v>
      </c>
      <c r="D4" s="58" t="str">
        <f>VLOOKUP($B4,Inputs!$D$4:$F$9,3,FALSE)</f>
        <v>SolarEdge Technologies_SE3800 (240V) HD Wave</v>
      </c>
      <c r="E4" s="240">
        <f>IFERROR(VLOOKUP(D4,Components!$A$2:$N$66,4,FALSE),"NaN")</f>
        <v>682.73</v>
      </c>
      <c r="F4" s="159">
        <f>VLOOKUP($B4,Inputs!$D$4:$I$9,6,FALSE)</f>
        <v>0</v>
      </c>
    </row>
    <row r="5" spans="1:8" x14ac:dyDescent="0.15">
      <c r="B5" s="80" t="s">
        <v>5</v>
      </c>
      <c r="C5" s="57" t="str">
        <f>IFERROR(E5*F5/$B$1,"NaN")</f>
        <v>NaN</v>
      </c>
      <c r="D5" s="58" t="str">
        <f>VLOOKUP($B5,Inputs!$D$4:$F$9,3,FALSE)</f>
        <v>SolarEdge_P300</v>
      </c>
      <c r="E5" s="240">
        <f>IFERROR(VLOOKUP(D5,Components!$A$2:$N$66,4,FALSE),"NaN")</f>
        <v>43.52</v>
      </c>
      <c r="F5" s="159">
        <f>VLOOKUP($B5,Inputs!$D$4:$I$9,6,FALSE)</f>
        <v>0</v>
      </c>
    </row>
    <row r="6" spans="1:8" x14ac:dyDescent="0.15">
      <c r="B6" s="80" t="s">
        <v>142</v>
      </c>
      <c r="C6" s="57" t="str">
        <f t="shared" ref="C6:C7" si="1">IFERROR(E6*F6/$B$1,"NaN")</f>
        <v>NaN</v>
      </c>
      <c r="D6" s="58" t="str">
        <f>VLOOKUP($B6,Inputs!$D$4:$F$9,3,FALSE)</f>
        <v>ENV-120 M</v>
      </c>
      <c r="E6" s="240">
        <f>IFERROR(VLOOKUP(D6,Components!$A$2:$N$66,4,FALSE),"NaN")</f>
        <v>208</v>
      </c>
      <c r="F6" s="159">
        <f>VLOOKUP($B6,Inputs!$D$4:$I$9,6,FALSE)</f>
        <v>0</v>
      </c>
    </row>
    <row r="7" spans="1:8" x14ac:dyDescent="0.15">
      <c r="B7" s="80" t="s">
        <v>7</v>
      </c>
      <c r="C7" s="57" t="str">
        <f t="shared" si="1"/>
        <v>NaN</v>
      </c>
      <c r="D7" s="58" t="str">
        <f>VLOOKUP($B7,Inputs!$D$4:$F$9,3,FALSE)</f>
        <v>E-Gauge</v>
      </c>
      <c r="E7" s="240">
        <f>IFERROR(VLOOKUP(D7,Components!$A$2:$N$66,4,FALSE),"NaN")</f>
        <v>400</v>
      </c>
      <c r="F7" s="159">
        <f>VLOOKUP($B7,Inputs!$D$4:$I$9,6,FALSE)</f>
        <v>0</v>
      </c>
    </row>
    <row r="8" spans="1:8" x14ac:dyDescent="0.15">
      <c r="B8" s="80" t="s">
        <v>286</v>
      </c>
      <c r="C8" s="57" t="str">
        <f t="shared" ref="C8" si="2">IFERROR(E8*F8/$B$1,"NaN")</f>
        <v>NaN</v>
      </c>
      <c r="D8" s="58" t="str">
        <f>VLOOKUP($B8,Inputs!$D$4:$F$9,3,FALSE)</f>
        <v>SolarEdge_Zigbee kit</v>
      </c>
      <c r="E8" s="240">
        <f>IFERROR(VLOOKUP(D8,Components!$A$2:$N$66,4,FALSE),"NaN")</f>
        <v>220</v>
      </c>
      <c r="F8" s="159">
        <f>VLOOKUP($B8,Inputs!$D$4:$I$9,6,FALSE)</f>
        <v>0</v>
      </c>
    </row>
    <row r="9" spans="1:8" x14ac:dyDescent="0.15">
      <c r="B9" s="80" t="s">
        <v>81</v>
      </c>
      <c r="C9" s="57">
        <f>SUM(C3:C8)</f>
        <v>0</v>
      </c>
      <c r="D9" s="62"/>
      <c r="E9" s="83">
        <f>SUMPRODUCT(E3:E8,F3:F8)</f>
        <v>0</v>
      </c>
      <c r="F9" s="59"/>
    </row>
    <row r="10" spans="1:8" x14ac:dyDescent="0.15">
      <c r="C10" s="80"/>
      <c r="D10" s="80"/>
      <c r="E10" s="83"/>
      <c r="F10" s="59"/>
    </row>
    <row r="11" spans="1:8" x14ac:dyDescent="0.15">
      <c r="A11" s="80" t="s">
        <v>8</v>
      </c>
      <c r="B11" s="80" t="s">
        <v>9</v>
      </c>
      <c r="C11" s="53">
        <f>C37/Inputs_MySOL!$B$2</f>
        <v>0.15135135135135133</v>
      </c>
      <c r="D11" s="80"/>
      <c r="E11" s="63">
        <f>C11*$B$1</f>
        <v>0</v>
      </c>
      <c r="F11" s="156"/>
    </row>
    <row r="12" spans="1:8" x14ac:dyDescent="0.15">
      <c r="B12" s="80" t="s">
        <v>10</v>
      </c>
      <c r="C12" s="53">
        <f>C38/Inputs_MySOL!$B$2</f>
        <v>0.13513513513513514</v>
      </c>
      <c r="D12" s="80"/>
      <c r="E12" s="63">
        <f t="shared" ref="E12:E16" si="3">C12*$B$1</f>
        <v>0</v>
      </c>
      <c r="F12" s="156"/>
    </row>
    <row r="13" spans="1:8" x14ac:dyDescent="0.15">
      <c r="B13" s="80" t="s">
        <v>11</v>
      </c>
      <c r="C13" s="53">
        <f>C39/Inputs_MySOL!$B$2</f>
        <v>7.5675675675675666E-2</v>
      </c>
      <c r="D13" s="62"/>
      <c r="E13" s="63">
        <f t="shared" si="3"/>
        <v>0</v>
      </c>
      <c r="F13" s="156"/>
    </row>
    <row r="14" spans="1:8" x14ac:dyDescent="0.15">
      <c r="B14" s="80" t="s">
        <v>148</v>
      </c>
      <c r="C14" s="53">
        <f>C40/Inputs_MySOL!$B$2</f>
        <v>9.0540540540540532E-2</v>
      </c>
      <c r="D14" s="76"/>
      <c r="E14" s="63">
        <f>C14*$B$1</f>
        <v>0</v>
      </c>
      <c r="F14" s="156"/>
    </row>
    <row r="15" spans="1:8" x14ac:dyDescent="0.15">
      <c r="B15" s="60" t="s">
        <v>150</v>
      </c>
      <c r="C15" s="64">
        <f>C41/Inputs_MySOL!$B$2</f>
        <v>1.8108108108108107E-2</v>
      </c>
      <c r="D15" s="38"/>
      <c r="E15" s="65">
        <f t="shared" si="3"/>
        <v>0</v>
      </c>
      <c r="F15" s="156"/>
      <c r="G15" s="49"/>
    </row>
    <row r="16" spans="1:8" x14ac:dyDescent="0.15">
      <c r="B16" s="80" t="s">
        <v>12</v>
      </c>
      <c r="C16" s="53">
        <f>C42/Inputs_MySOL!$B$2</f>
        <v>0.47081081081081083</v>
      </c>
      <c r="D16" s="62">
        <f>+(C14+C15)/C18</f>
        <v>0.23076923076923073</v>
      </c>
      <c r="E16" s="83">
        <f t="shared" si="3"/>
        <v>0</v>
      </c>
      <c r="F16" s="156"/>
    </row>
    <row r="17" spans="1:7" x14ac:dyDescent="0.15">
      <c r="C17" s="53"/>
      <c r="D17" s="47"/>
      <c r="E17" s="83"/>
      <c r="F17" s="156"/>
    </row>
    <row r="18" spans="1:7" x14ac:dyDescent="0.15">
      <c r="A18" s="80" t="s">
        <v>13</v>
      </c>
      <c r="B18" s="80" t="s">
        <v>256</v>
      </c>
      <c r="C18" s="53">
        <f>C9+C16</f>
        <v>0.47081081081081083</v>
      </c>
      <c r="D18" s="47"/>
      <c r="E18" s="83">
        <f t="shared" ref="E18:E24" si="4">C18*$B$1</f>
        <v>0</v>
      </c>
      <c r="F18" s="156"/>
    </row>
    <row r="19" spans="1:7" x14ac:dyDescent="0.15">
      <c r="B19" s="80" t="s">
        <v>257</v>
      </c>
      <c r="C19" s="53">
        <f>C18*IVA</f>
        <v>7.5329729729729733E-2</v>
      </c>
      <c r="D19" s="76"/>
      <c r="E19" s="63">
        <f t="shared" si="4"/>
        <v>0</v>
      </c>
      <c r="F19" s="111"/>
    </row>
    <row r="20" spans="1:7" x14ac:dyDescent="0.15">
      <c r="B20" s="80" t="s">
        <v>258</v>
      </c>
      <c r="C20" s="53">
        <f>C18+C19</f>
        <v>0.54614054054054062</v>
      </c>
      <c r="D20" s="76"/>
      <c r="E20" s="63"/>
      <c r="F20" s="111"/>
    </row>
    <row r="21" spans="1:7" x14ac:dyDescent="0.15">
      <c r="B21" s="80" t="s">
        <v>589</v>
      </c>
      <c r="C21" s="53">
        <f>C18*$D21</f>
        <v>0.11770270270270271</v>
      </c>
      <c r="D21" s="47">
        <f>Inputs_MySOL!$D$31</f>
        <v>0.25</v>
      </c>
      <c r="E21" s="83">
        <f t="shared" si="4"/>
        <v>0</v>
      </c>
      <c r="F21" s="157"/>
    </row>
    <row r="22" spans="1:7" x14ac:dyDescent="0.15">
      <c r="B22" s="80" t="s">
        <v>14</v>
      </c>
      <c r="C22" s="53">
        <f>C18*$D22</f>
        <v>2.3540540540540542E-2</v>
      </c>
      <c r="D22" s="47">
        <f>Inputs_MySOL!$D$32</f>
        <v>0.05</v>
      </c>
      <c r="E22" s="83">
        <f t="shared" si="4"/>
        <v>0</v>
      </c>
      <c r="F22" s="157"/>
      <c r="G22" s="76"/>
    </row>
    <row r="23" spans="1:7" x14ac:dyDescent="0.15">
      <c r="B23" s="51" t="s">
        <v>590</v>
      </c>
      <c r="C23" s="52">
        <f>C18+C21+C22</f>
        <v>0.61205405405405411</v>
      </c>
      <c r="D23" s="110"/>
      <c r="E23" s="85"/>
      <c r="F23" s="111"/>
      <c r="G23" s="76"/>
    </row>
    <row r="24" spans="1:7" x14ac:dyDescent="0.15">
      <c r="B24" s="51" t="s">
        <v>591</v>
      </c>
      <c r="C24" s="52">
        <f>C23*IVA</f>
        <v>9.7928648648648656E-2</v>
      </c>
      <c r="D24" s="110"/>
      <c r="E24" s="83">
        <f t="shared" si="4"/>
        <v>0</v>
      </c>
      <c r="F24" s="111"/>
      <c r="G24" s="76"/>
    </row>
    <row r="25" spans="1:7" x14ac:dyDescent="0.15">
      <c r="B25" s="60" t="s">
        <v>592</v>
      </c>
      <c r="C25" s="64">
        <f>C23+C24</f>
        <v>0.70998270270270281</v>
      </c>
      <c r="D25" s="69"/>
      <c r="E25" s="61"/>
      <c r="F25" s="111"/>
      <c r="G25" s="76"/>
    </row>
    <row r="26" spans="1:7" x14ac:dyDescent="0.15">
      <c r="B26" s="56" t="s">
        <v>15</v>
      </c>
      <c r="C26" s="66">
        <f>C25</f>
        <v>0.70998270270270281</v>
      </c>
      <c r="D26" s="67">
        <f>(C21+C22)/C23</f>
        <v>0.23076923076923075</v>
      </c>
      <c r="E26" s="83">
        <f>C26*$B$1</f>
        <v>0</v>
      </c>
      <c r="F26" s="97"/>
    </row>
    <row r="27" spans="1:7" x14ac:dyDescent="0.15">
      <c r="C27" s="53">
        <f>C26*18.5</f>
        <v>13.134680000000001</v>
      </c>
      <c r="D27" s="47"/>
      <c r="E27" s="53"/>
      <c r="F27" s="59"/>
    </row>
    <row r="28" spans="1:7" x14ac:dyDescent="0.15">
      <c r="A28" s="56" t="s">
        <v>167</v>
      </c>
      <c r="B28" s="76"/>
      <c r="C28" s="53"/>
      <c r="D28" s="47"/>
      <c r="E28" s="83"/>
      <c r="F28" s="59"/>
    </row>
    <row r="29" spans="1:7" x14ac:dyDescent="0.15">
      <c r="A29" s="80" t="str">
        <f>A3</f>
        <v>MySOL</v>
      </c>
      <c r="B29" s="80" t="str">
        <f>B3</f>
        <v>PV Panels</v>
      </c>
      <c r="C29" s="53" t="str">
        <f>IFERROR(C3*Inputs_MySOL!$B$2,"NaN")</f>
        <v>NaN</v>
      </c>
      <c r="D29" s="47" t="str">
        <f t="shared" ref="D29:D35" si="5">D3</f>
        <v>Trina Solar_TSM-270PA05A</v>
      </c>
      <c r="E29" s="83" t="e">
        <f t="shared" ref="E29:E34" si="6">C29*$B$1</f>
        <v>#VALUE!</v>
      </c>
      <c r="F29" s="159">
        <f t="shared" ref="F29:F35" si="7">F3</f>
        <v>0</v>
      </c>
    </row>
    <row r="30" spans="1:7" x14ac:dyDescent="0.15">
      <c r="B30" s="80" t="str">
        <f t="shared" ref="B30:B35" si="8">B4</f>
        <v>Inverters</v>
      </c>
      <c r="C30" s="53" t="str">
        <f>IFERROR(C4*Inputs_MySOL!$B$2,"NaN")</f>
        <v>NaN</v>
      </c>
      <c r="D30" s="47" t="str">
        <f t="shared" si="5"/>
        <v>SolarEdge Technologies_SE3800 (240V) HD Wave</v>
      </c>
      <c r="E30" s="83" t="e">
        <f t="shared" si="6"/>
        <v>#VALUE!</v>
      </c>
      <c r="F30" s="159">
        <f t="shared" si="7"/>
        <v>0</v>
      </c>
    </row>
    <row r="31" spans="1:7" x14ac:dyDescent="0.15">
      <c r="B31" s="80" t="str">
        <f t="shared" si="8"/>
        <v>Optimizer</v>
      </c>
      <c r="C31" s="53" t="str">
        <f>IFERROR(C5*Inputs_MySOL!$B$2,"NaN")</f>
        <v>NaN</v>
      </c>
      <c r="D31" s="47" t="str">
        <f t="shared" si="5"/>
        <v>SolarEdge_P300</v>
      </c>
      <c r="E31" s="83" t="e">
        <f t="shared" si="6"/>
        <v>#VALUE!</v>
      </c>
      <c r="F31" s="159">
        <f t="shared" si="7"/>
        <v>0</v>
      </c>
    </row>
    <row r="32" spans="1:7" x14ac:dyDescent="0.15">
      <c r="B32" s="80" t="str">
        <f t="shared" si="8"/>
        <v>System Monitoring</v>
      </c>
      <c r="C32" s="53" t="str">
        <f>IFERROR(C6*Inputs_MySOL!$B$2,"NaN")</f>
        <v>NaN</v>
      </c>
      <c r="D32" s="47" t="str">
        <f t="shared" si="5"/>
        <v>ENV-120 M</v>
      </c>
      <c r="E32" s="83" t="e">
        <f t="shared" si="6"/>
        <v>#VALUE!</v>
      </c>
      <c r="F32" s="159">
        <f t="shared" si="7"/>
        <v>0</v>
      </c>
    </row>
    <row r="33" spans="1:7" x14ac:dyDescent="0.15">
      <c r="B33" s="80" t="str">
        <f t="shared" si="8"/>
        <v>Consumption Monitoring</v>
      </c>
      <c r="C33" s="53" t="str">
        <f>IFERROR(C7*Inputs_MySOL!$B$2,"NaN")</f>
        <v>NaN</v>
      </c>
      <c r="D33" s="47" t="str">
        <f t="shared" si="5"/>
        <v>E-Gauge</v>
      </c>
      <c r="E33" s="83" t="e">
        <f t="shared" si="6"/>
        <v>#VALUE!</v>
      </c>
      <c r="F33" s="159">
        <f t="shared" si="7"/>
        <v>0</v>
      </c>
    </row>
    <row r="34" spans="1:7" x14ac:dyDescent="0.15">
      <c r="B34" s="80" t="str">
        <f t="shared" si="8"/>
        <v>Comm Accessory</v>
      </c>
      <c r="C34" s="53" t="str">
        <f>IFERROR(C8*Inputs_MySOL!$B$2,"NaN")</f>
        <v>NaN</v>
      </c>
      <c r="D34" s="47" t="str">
        <f t="shared" si="5"/>
        <v>SolarEdge_Zigbee kit</v>
      </c>
      <c r="E34" s="83" t="e">
        <f t="shared" si="6"/>
        <v>#VALUE!</v>
      </c>
      <c r="F34" s="159">
        <f t="shared" si="7"/>
        <v>0</v>
      </c>
    </row>
    <row r="35" spans="1:7" x14ac:dyDescent="0.15">
      <c r="B35" s="80" t="str">
        <f t="shared" si="8"/>
        <v>SubTotal</v>
      </c>
      <c r="C35" s="53">
        <f>SUM(C29:C34)</f>
        <v>0</v>
      </c>
      <c r="D35" s="47">
        <f t="shared" si="5"/>
        <v>0</v>
      </c>
      <c r="E35" s="83">
        <f t="shared" ref="E35:E50" si="9">C35*$B$1</f>
        <v>0</v>
      </c>
      <c r="F35" s="159">
        <f t="shared" si="7"/>
        <v>0</v>
      </c>
    </row>
    <row r="36" spans="1:7" x14ac:dyDescent="0.15">
      <c r="C36" s="53"/>
      <c r="D36" s="62"/>
      <c r="E36" s="83"/>
      <c r="F36" s="59"/>
    </row>
    <row r="37" spans="1:7" x14ac:dyDescent="0.15">
      <c r="A37" s="80" t="str">
        <f>A11</f>
        <v>Solar Installer</v>
      </c>
      <c r="B37" s="80" t="str">
        <f>B11</f>
        <v>Labor</v>
      </c>
      <c r="C37" s="53">
        <f>Inputs!F11</f>
        <v>2.8</v>
      </c>
      <c r="D37" s="62"/>
      <c r="E37" s="83">
        <f t="shared" si="9"/>
        <v>0</v>
      </c>
      <c r="F37" s="156"/>
    </row>
    <row r="38" spans="1:7" x14ac:dyDescent="0.15">
      <c r="B38" s="80" t="str">
        <f>B12</f>
        <v>BOS-electrical</v>
      </c>
      <c r="C38" s="53">
        <f>Inputs!F12</f>
        <v>2.5</v>
      </c>
      <c r="D38" s="62"/>
      <c r="E38" s="83">
        <f t="shared" si="9"/>
        <v>0</v>
      </c>
      <c r="F38" s="156"/>
    </row>
    <row r="39" spans="1:7" x14ac:dyDescent="0.15">
      <c r="B39" s="80" t="str">
        <f>B13</f>
        <v>BOS-mechanical</v>
      </c>
      <c r="C39" s="53">
        <f>Inputs!F13</f>
        <v>1.4</v>
      </c>
      <c r="D39" s="62"/>
      <c r="E39" s="83">
        <f t="shared" si="9"/>
        <v>0</v>
      </c>
      <c r="F39" s="156"/>
    </row>
    <row r="40" spans="1:7" x14ac:dyDescent="0.15">
      <c r="B40" s="68" t="str">
        <f>B14</f>
        <v>Installer Margin</v>
      </c>
      <c r="C40" s="53">
        <f>(C$35+SUM(C$37:C$39))*$D40</f>
        <v>1.6749999999999998</v>
      </c>
      <c r="D40" s="47">
        <f>Inputs_MySOL!$D$33</f>
        <v>0.25</v>
      </c>
      <c r="E40" s="83">
        <f t="shared" si="9"/>
        <v>0</v>
      </c>
      <c r="F40" s="156"/>
    </row>
    <row r="41" spans="1:7" x14ac:dyDescent="0.15">
      <c r="B41" s="60" t="str">
        <f>B15</f>
        <v>Installer Sales commission</v>
      </c>
      <c r="C41" s="64">
        <f>(C$35+SUM(C$37:C$39))*$D41</f>
        <v>0.33499999999999996</v>
      </c>
      <c r="D41" s="69">
        <f>Inputs_MySOL!$D$34</f>
        <v>0.05</v>
      </c>
      <c r="E41" s="61">
        <f t="shared" si="9"/>
        <v>0</v>
      </c>
      <c r="F41" s="156"/>
      <c r="G41" s="49"/>
    </row>
    <row r="42" spans="1:7" x14ac:dyDescent="0.15">
      <c r="B42" s="82" t="str">
        <f>B16</f>
        <v>Installer Total Price</v>
      </c>
      <c r="C42" s="53">
        <f>SUM(C37:C41)</f>
        <v>8.7100000000000009</v>
      </c>
      <c r="D42" s="62">
        <f>(C40+C41)/C44</f>
        <v>0.23076923076923073</v>
      </c>
      <c r="E42" s="83">
        <f t="shared" si="9"/>
        <v>0</v>
      </c>
      <c r="F42" s="156"/>
      <c r="G42" s="49"/>
    </row>
    <row r="43" spans="1:7" x14ac:dyDescent="0.15">
      <c r="C43" s="53"/>
      <c r="D43" s="47"/>
      <c r="E43" s="83"/>
      <c r="F43" s="156"/>
    </row>
    <row r="44" spans="1:7" x14ac:dyDescent="0.15">
      <c r="A44" s="80" t="s">
        <v>13</v>
      </c>
      <c r="B44" s="80" t="str">
        <f>B18</f>
        <v>Pre-IVA Cost from Installer</v>
      </c>
      <c r="C44" s="53">
        <f>C35+C42</f>
        <v>8.7100000000000009</v>
      </c>
      <c r="D44" s="47"/>
      <c r="E44" s="83">
        <f t="shared" si="9"/>
        <v>0</v>
      </c>
      <c r="F44" s="156"/>
    </row>
    <row r="45" spans="1:7" x14ac:dyDescent="0.15">
      <c r="A45" s="53"/>
      <c r="B45" s="80" t="str">
        <f t="shared" ref="B45:B52" si="10">B19</f>
        <v>IVA to Installer</v>
      </c>
      <c r="C45" s="53">
        <f>C44*IVA</f>
        <v>1.3936000000000002</v>
      </c>
      <c r="D45" s="47"/>
      <c r="E45" s="83">
        <f t="shared" si="9"/>
        <v>0</v>
      </c>
      <c r="F45" s="156"/>
      <c r="G45" s="55"/>
    </row>
    <row r="46" spans="1:7" x14ac:dyDescent="0.15">
      <c r="A46" s="53"/>
      <c r="B46" s="80" t="str">
        <f t="shared" si="10"/>
        <v>Total Cost from Installer</v>
      </c>
      <c r="C46" s="53">
        <f>C44+C45</f>
        <v>10.1036</v>
      </c>
      <c r="D46" s="47"/>
      <c r="E46" s="83"/>
      <c r="F46" s="156"/>
      <c r="G46" s="55"/>
    </row>
    <row r="47" spans="1:7" x14ac:dyDescent="0.15">
      <c r="A47" s="68"/>
      <c r="B47" s="80" t="str">
        <f t="shared" si="10"/>
        <v>MySOL Margin</v>
      </c>
      <c r="C47" s="53">
        <f>C44*$D47</f>
        <v>2.1775000000000002</v>
      </c>
      <c r="D47" s="47">
        <f>Inputs_MySOL!$D$31</f>
        <v>0.25</v>
      </c>
      <c r="E47" s="83">
        <f t="shared" si="9"/>
        <v>0</v>
      </c>
      <c r="F47" s="157"/>
      <c r="G47" s="82"/>
    </row>
    <row r="48" spans="1:7" x14ac:dyDescent="0.15">
      <c r="A48" s="68"/>
      <c r="B48" s="80" t="str">
        <f t="shared" si="10"/>
        <v>Performance Guarantee</v>
      </c>
      <c r="C48" s="53">
        <f>C44*$D48</f>
        <v>0.43550000000000005</v>
      </c>
      <c r="D48" s="47">
        <f>Inputs_MySOL!$D$32</f>
        <v>0.05</v>
      </c>
      <c r="E48" s="83">
        <f t="shared" si="9"/>
        <v>0</v>
      </c>
      <c r="F48" s="157"/>
      <c r="G48" s="82"/>
    </row>
    <row r="49" spans="1:7" x14ac:dyDescent="0.15">
      <c r="A49" s="68"/>
      <c r="B49" s="51" t="str">
        <f t="shared" si="10"/>
        <v>Pre-IVA Cost from MySOL</v>
      </c>
      <c r="C49" s="52">
        <f>C44+C47+C48</f>
        <v>11.323</v>
      </c>
      <c r="D49" s="110"/>
      <c r="E49" s="83">
        <f t="shared" si="9"/>
        <v>0</v>
      </c>
      <c r="F49" s="111"/>
      <c r="G49" s="82"/>
    </row>
    <row r="50" spans="1:7" x14ac:dyDescent="0.15">
      <c r="A50" s="68"/>
      <c r="B50" s="51" t="str">
        <f t="shared" si="10"/>
        <v>IVA to MySOL</v>
      </c>
      <c r="C50" s="52">
        <f>C49*IVA</f>
        <v>1.8116800000000002</v>
      </c>
      <c r="D50" s="110"/>
      <c r="E50" s="83">
        <f t="shared" si="9"/>
        <v>0</v>
      </c>
      <c r="F50" s="111"/>
      <c r="G50" s="82"/>
    </row>
    <row r="51" spans="1:7" x14ac:dyDescent="0.15">
      <c r="A51" s="68"/>
      <c r="B51" s="60" t="str">
        <f t="shared" si="10"/>
        <v>Total Cost from MySOL</v>
      </c>
      <c r="C51" s="64">
        <f>C49+C50</f>
        <v>13.134680000000001</v>
      </c>
      <c r="D51" s="69"/>
      <c r="E51" s="61"/>
      <c r="F51" s="111"/>
      <c r="G51" s="82"/>
    </row>
    <row r="52" spans="1:7" x14ac:dyDescent="0.15">
      <c r="A52" s="82"/>
      <c r="B52" s="56" t="str">
        <f t="shared" si="10"/>
        <v>FUND PRICE</v>
      </c>
      <c r="C52" s="66">
        <f>C51</f>
        <v>13.134680000000001</v>
      </c>
      <c r="D52" s="70">
        <f>(C47+C48)/C49</f>
        <v>0.23076923076923081</v>
      </c>
      <c r="E52" s="71">
        <f>C52*$B$1</f>
        <v>0</v>
      </c>
      <c r="F52" s="158"/>
      <c r="G52" s="82"/>
    </row>
    <row r="53" spans="1:7" x14ac:dyDescent="0.15">
      <c r="C53" s="53"/>
      <c r="F53" s="110"/>
    </row>
    <row r="54" spans="1:7" x14ac:dyDescent="0.15">
      <c r="C54" s="96"/>
    </row>
    <row r="55" spans="1:7" x14ac:dyDescent="0.15">
      <c r="C55" s="107"/>
    </row>
    <row r="56" spans="1:7" x14ac:dyDescent="0.15">
      <c r="C56" s="107"/>
    </row>
    <row r="57" spans="1:7" x14ac:dyDescent="0.15">
      <c r="C57" s="53"/>
      <c r="D57" s="53"/>
    </row>
    <row r="58" spans="1:7" x14ac:dyDescent="0.15">
      <c r="C58" s="108"/>
      <c r="D58" s="108"/>
    </row>
    <row r="59" spans="1:7" x14ac:dyDescent="0.15">
      <c r="C59" s="107"/>
      <c r="D59" s="107"/>
    </row>
    <row r="61" spans="1:7" x14ac:dyDescent="0.15">
      <c r="C61" s="107"/>
    </row>
    <row r="62" spans="1:7" x14ac:dyDescent="0.15">
      <c r="C62" s="107"/>
    </row>
    <row r="63" spans="1:7" x14ac:dyDescent="0.15">
      <c r="C63" s="107"/>
      <c r="D63" s="107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  <ignoredErrors>
    <ignoredError sqref="C29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A48"/>
  <sheetViews>
    <sheetView zoomScaleNormal="100" zoomScalePageLayoutView="150" workbookViewId="0">
      <pane xSplit="1" topLeftCell="B1" activePane="topRight" state="frozen"/>
      <selection sqref="A1:A10"/>
      <selection pane="topRight" activeCell="B1" sqref="B1"/>
    </sheetView>
  </sheetViews>
  <sheetFormatPr defaultColWidth="12.42578125" defaultRowHeight="10.5" x14ac:dyDescent="0.15"/>
  <cols>
    <col min="1" max="1" width="43" style="78" bestFit="1" customWidth="1"/>
    <col min="2" max="2" width="4.7109375" style="78" customWidth="1"/>
    <col min="3" max="3" width="12" style="78" bestFit="1" customWidth="1"/>
    <col min="4" max="183" width="10.7109375" style="78" customWidth="1"/>
    <col min="184" max="16384" width="12.42578125" style="78"/>
  </cols>
  <sheetData>
    <row r="1" spans="1:29" x14ac:dyDescent="0.15">
      <c r="A1" s="312" t="s">
        <v>391</v>
      </c>
      <c r="C1" s="267" t="s">
        <v>392</v>
      </c>
      <c r="D1" s="267" t="s">
        <v>393</v>
      </c>
      <c r="F1" s="388" t="s">
        <v>416</v>
      </c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</row>
    <row r="2" spans="1:29" x14ac:dyDescent="0.15">
      <c r="A2" s="78" t="s">
        <v>593</v>
      </c>
      <c r="C2" s="313">
        <f>Unit_Internal!E52</f>
        <v>0</v>
      </c>
      <c r="D2" s="313">
        <f>Unit_Internal!E49</f>
        <v>0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</row>
    <row r="3" spans="1:29" x14ac:dyDescent="0.15">
      <c r="A3" s="78" t="s">
        <v>394</v>
      </c>
      <c r="C3" s="313">
        <f>-SUM(Unit_Internal!E44:E45)</f>
        <v>0</v>
      </c>
      <c r="D3" s="313">
        <f>-Unit_Internal!E44</f>
        <v>0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</row>
    <row r="4" spans="1:29" x14ac:dyDescent="0.15">
      <c r="A4" s="78" t="s">
        <v>395</v>
      </c>
      <c r="C4" s="313">
        <f>SUM(C2:C3)</f>
        <v>0</v>
      </c>
      <c r="D4" s="313">
        <f>SUM(D2:D3)</f>
        <v>0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</row>
    <row r="5" spans="1:29" x14ac:dyDescent="0.15">
      <c r="A5" s="78" t="s">
        <v>396</v>
      </c>
      <c r="C5" s="314" t="str">
        <f>IFERROR(C4/C2,"NaN")</f>
        <v>NaN</v>
      </c>
      <c r="D5" s="314" t="str">
        <f>IFERROR(D4/D2,"NaN")</f>
        <v>NaN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</row>
    <row r="6" spans="1:29" x14ac:dyDescent="0.15">
      <c r="A6" s="78" t="s">
        <v>594</v>
      </c>
      <c r="C6" s="313">
        <f>-$C$12</f>
        <v>0</v>
      </c>
      <c r="D6" s="313">
        <f>-$C$12/(1+IVA)</f>
        <v>0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</row>
    <row r="7" spans="1:29" x14ac:dyDescent="0.15">
      <c r="A7" s="78" t="s">
        <v>595</v>
      </c>
      <c r="C7" s="313">
        <f>$C$15</f>
        <v>0</v>
      </c>
      <c r="D7" s="313">
        <f>$C$15</f>
        <v>0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</row>
    <row r="8" spans="1:29" x14ac:dyDescent="0.15">
      <c r="A8" s="78" t="s">
        <v>596</v>
      </c>
      <c r="C8" s="313">
        <f>C4+C6+C7</f>
        <v>0</v>
      </c>
      <c r="D8" s="313">
        <f>D4+D6+D7</f>
        <v>0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</row>
    <row r="9" spans="1:29" x14ac:dyDescent="0.15">
      <c r="A9" s="78" t="s">
        <v>396</v>
      </c>
      <c r="C9" s="314" t="str">
        <f>IFERROR(C8/C2,"NaN")</f>
        <v>NaN</v>
      </c>
      <c r="D9" s="314" t="str">
        <f>IFERROR(D8/D2,"NaN")</f>
        <v>NaN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</row>
    <row r="10" spans="1:29" x14ac:dyDescent="0.15">
      <c r="C10" s="313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</row>
    <row r="11" spans="1:29" x14ac:dyDescent="0.15">
      <c r="A11" s="78" t="s">
        <v>397</v>
      </c>
      <c r="C11" s="313">
        <f>C$2*Inputs_MySOL!$B$8</f>
        <v>0</v>
      </c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</row>
    <row r="12" spans="1:29" x14ac:dyDescent="0.15">
      <c r="A12" s="78" t="s">
        <v>597</v>
      </c>
      <c r="C12" s="406">
        <f>C$2*Inputs_MySOL!$B$9</f>
        <v>0</v>
      </c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</row>
    <row r="13" spans="1:29" x14ac:dyDescent="0.15">
      <c r="C13" s="313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</row>
    <row r="14" spans="1:29" x14ac:dyDescent="0.15">
      <c r="A14" s="78" t="s">
        <v>398</v>
      </c>
      <c r="C14" s="313">
        <f>IF(Cust_InitialPymt&gt;0,(Cust_InitialPymt-priceEGaugeUSD*MXNperUSD*(1+IVA))*Inputs_MySOL!B14,0)</f>
        <v>0</v>
      </c>
      <c r="D14" s="48"/>
      <c r="E14" s="313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</row>
    <row r="15" spans="1:29" x14ac:dyDescent="0.15">
      <c r="A15" s="78" t="s">
        <v>598</v>
      </c>
      <c r="C15" s="313">
        <f>IF(Cust_InitialPymt&gt;0,(Cust_InitialPymt-priceEGaugeUSD*MXNperUSD*(1+IVA))*Inputs_MySOL!B15,0)</f>
        <v>0</v>
      </c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</row>
    <row r="16" spans="1:29" x14ac:dyDescent="0.15">
      <c r="C16" s="313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</row>
    <row r="17" spans="1:183" x14ac:dyDescent="0.15">
      <c r="A17" s="315" t="s">
        <v>399</v>
      </c>
      <c r="C17" s="313">
        <f>-$C$2*Inputs_MySOL!B14</f>
        <v>0</v>
      </c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</row>
    <row r="18" spans="1:183" x14ac:dyDescent="0.15">
      <c r="A18" s="315" t="s">
        <v>599</v>
      </c>
      <c r="C18" s="313">
        <f>-$C$2*Inputs_MySOL!B15</f>
        <v>0</v>
      </c>
      <c r="D18" s="314"/>
      <c r="E18" s="313"/>
      <c r="F18" s="313"/>
      <c r="G18" s="313"/>
      <c r="H18" s="313"/>
      <c r="I18" s="313"/>
      <c r="J18" s="313"/>
      <c r="K18" s="313"/>
      <c r="L18" s="313"/>
      <c r="M18" s="313"/>
      <c r="N18" s="313"/>
      <c r="O18" s="313"/>
      <c r="P18" s="313"/>
      <c r="Q18" s="313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H18" s="316"/>
      <c r="AI18" s="316"/>
      <c r="AJ18" s="316"/>
      <c r="AK18" s="316"/>
      <c r="AL18" s="316"/>
      <c r="AM18" s="316"/>
      <c r="AN18" s="316"/>
      <c r="AO18" s="316"/>
      <c r="AP18" s="316"/>
      <c r="AQ18" s="316"/>
      <c r="AR18" s="316"/>
      <c r="AS18" s="316"/>
      <c r="AT18" s="316"/>
      <c r="AU18" s="316"/>
      <c r="AV18" s="316"/>
      <c r="AW18" s="316"/>
      <c r="AX18" s="316"/>
      <c r="AY18" s="316"/>
      <c r="AZ18" s="316"/>
      <c r="BA18" s="316"/>
      <c r="BB18" s="316"/>
      <c r="BC18" s="316"/>
      <c r="BD18" s="316"/>
      <c r="BE18" s="316"/>
      <c r="BF18" s="316"/>
      <c r="BG18" s="316"/>
      <c r="BH18" s="316"/>
      <c r="BI18" s="316"/>
      <c r="BJ18" s="316"/>
    </row>
    <row r="19" spans="1:183" x14ac:dyDescent="0.15">
      <c r="A19" s="48"/>
      <c r="C19" s="317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H19" s="316"/>
      <c r="AI19" s="316"/>
      <c r="AJ19" s="316"/>
      <c r="AK19" s="316"/>
      <c r="AL19" s="316"/>
      <c r="AM19" s="316"/>
      <c r="AN19" s="316"/>
      <c r="AO19" s="316"/>
      <c r="AP19" s="316"/>
      <c r="AQ19" s="316"/>
      <c r="AR19" s="316"/>
      <c r="AS19" s="316"/>
      <c r="AT19" s="316"/>
      <c r="AU19" s="316"/>
      <c r="AV19" s="316"/>
      <c r="AW19" s="316"/>
      <c r="AX19" s="316"/>
      <c r="AY19" s="316"/>
      <c r="AZ19" s="316"/>
      <c r="BA19" s="316"/>
      <c r="BB19" s="316"/>
      <c r="BC19" s="316"/>
      <c r="BD19" s="316"/>
      <c r="BE19" s="316"/>
      <c r="BF19" s="316"/>
      <c r="BG19" s="316"/>
      <c r="BH19" s="316"/>
      <c r="BI19" s="316"/>
      <c r="BJ19" s="316"/>
    </row>
    <row r="20" spans="1:183" x14ac:dyDescent="0.15">
      <c r="A20" s="312" t="s">
        <v>400</v>
      </c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</row>
    <row r="21" spans="1:183" x14ac:dyDescent="0.15">
      <c r="A21" s="318" t="s">
        <v>21</v>
      </c>
      <c r="C21" s="319">
        <v>0</v>
      </c>
      <c r="D21" s="320">
        <v>1</v>
      </c>
      <c r="E21" s="320">
        <v>2</v>
      </c>
      <c r="F21" s="320">
        <v>3</v>
      </c>
      <c r="G21" s="320">
        <v>4</v>
      </c>
      <c r="H21" s="320">
        <v>5</v>
      </c>
      <c r="I21" s="320">
        <v>6</v>
      </c>
      <c r="J21" s="320">
        <v>7</v>
      </c>
      <c r="K21" s="320">
        <v>8</v>
      </c>
      <c r="L21" s="320">
        <v>9</v>
      </c>
      <c r="M21" s="320">
        <v>10</v>
      </c>
      <c r="N21" s="320">
        <v>11</v>
      </c>
      <c r="O21" s="320">
        <v>12</v>
      </c>
      <c r="P21" s="320">
        <v>13</v>
      </c>
      <c r="Q21" s="320">
        <v>14</v>
      </c>
      <c r="R21" s="321">
        <v>15</v>
      </c>
      <c r="S21" s="80"/>
      <c r="T21" s="80"/>
      <c r="U21" s="80"/>
      <c r="V21" s="80"/>
      <c r="W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</row>
    <row r="22" spans="1:183" ht="10.5" customHeight="1" x14ac:dyDescent="0.15">
      <c r="A22" s="322" t="s">
        <v>401</v>
      </c>
      <c r="B22" s="323"/>
      <c r="C22" s="324"/>
      <c r="D22" s="325">
        <f>Sys_kWhPerYear*MySol_TotalRate*(1+IVA)</f>
        <v>0</v>
      </c>
      <c r="E22" s="325">
        <f t="shared" ref="E22:R22" si="0">D22*(1+FinYrIncr)</f>
        <v>0</v>
      </c>
      <c r="F22" s="325">
        <f t="shared" si="0"/>
        <v>0</v>
      </c>
      <c r="G22" s="325">
        <f t="shared" si="0"/>
        <v>0</v>
      </c>
      <c r="H22" s="325">
        <f t="shared" si="0"/>
        <v>0</v>
      </c>
      <c r="I22" s="325">
        <f t="shared" si="0"/>
        <v>0</v>
      </c>
      <c r="J22" s="325">
        <f t="shared" si="0"/>
        <v>0</v>
      </c>
      <c r="K22" s="325">
        <f t="shared" si="0"/>
        <v>0</v>
      </c>
      <c r="L22" s="325">
        <f t="shared" si="0"/>
        <v>0</v>
      </c>
      <c r="M22" s="325">
        <f t="shared" si="0"/>
        <v>0</v>
      </c>
      <c r="N22" s="325">
        <f t="shared" si="0"/>
        <v>0</v>
      </c>
      <c r="O22" s="325">
        <f t="shared" si="0"/>
        <v>0</v>
      </c>
      <c r="P22" s="325">
        <f t="shared" si="0"/>
        <v>0</v>
      </c>
      <c r="Q22" s="325">
        <f t="shared" si="0"/>
        <v>0</v>
      </c>
      <c r="R22" s="326">
        <f t="shared" si="0"/>
        <v>0</v>
      </c>
      <c r="S22" s="80"/>
      <c r="T22" s="80"/>
      <c r="U22" s="80"/>
      <c r="V22" s="80"/>
      <c r="W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N22" s="316"/>
      <c r="AO22" s="316"/>
      <c r="AP22" s="316"/>
      <c r="AQ22" s="316"/>
      <c r="AR22" s="316"/>
      <c r="AS22" s="316"/>
      <c r="AT22" s="316"/>
      <c r="AU22" s="316"/>
      <c r="AV22" s="316"/>
      <c r="AW22" s="316"/>
      <c r="AX22" s="316"/>
      <c r="AY22" s="316"/>
      <c r="AZ22" s="316"/>
      <c r="BA22" s="316"/>
      <c r="BB22" s="316"/>
      <c r="BC22" s="316"/>
      <c r="BD22" s="316"/>
      <c r="BE22" s="316"/>
      <c r="BF22" s="316"/>
      <c r="BG22" s="316"/>
      <c r="BH22" s="316"/>
      <c r="BI22" s="316"/>
      <c r="BJ22" s="316"/>
      <c r="BK22" s="316"/>
      <c r="BL22" s="316"/>
      <c r="BM22" s="316"/>
      <c r="BN22" s="316"/>
      <c r="BO22" s="316"/>
      <c r="BP22" s="316"/>
    </row>
    <row r="23" spans="1:183" ht="10.5" customHeight="1" x14ac:dyDescent="0.15">
      <c r="A23" s="327" t="s">
        <v>402</v>
      </c>
      <c r="B23" s="323"/>
      <c r="C23" s="328"/>
      <c r="D23" s="317">
        <f>-Inputs_MySOL!$B$20</f>
        <v>0</v>
      </c>
      <c r="E23" s="313">
        <f t="shared" ref="E23:R23" si="1">D23*(1+InflationRate)</f>
        <v>0</v>
      </c>
      <c r="F23" s="313">
        <f t="shared" si="1"/>
        <v>0</v>
      </c>
      <c r="G23" s="313">
        <f t="shared" si="1"/>
        <v>0</v>
      </c>
      <c r="H23" s="313">
        <f t="shared" si="1"/>
        <v>0</v>
      </c>
      <c r="I23" s="313">
        <f t="shared" si="1"/>
        <v>0</v>
      </c>
      <c r="J23" s="313">
        <f t="shared" si="1"/>
        <v>0</v>
      </c>
      <c r="K23" s="313">
        <f t="shared" si="1"/>
        <v>0</v>
      </c>
      <c r="L23" s="313">
        <f t="shared" si="1"/>
        <v>0</v>
      </c>
      <c r="M23" s="313">
        <f t="shared" si="1"/>
        <v>0</v>
      </c>
      <c r="N23" s="313">
        <f t="shared" si="1"/>
        <v>0</v>
      </c>
      <c r="O23" s="313">
        <f t="shared" si="1"/>
        <v>0</v>
      </c>
      <c r="P23" s="313">
        <f t="shared" si="1"/>
        <v>0</v>
      </c>
      <c r="Q23" s="313">
        <f t="shared" si="1"/>
        <v>0</v>
      </c>
      <c r="R23" s="329">
        <f t="shared" si="1"/>
        <v>0</v>
      </c>
      <c r="S23" s="80"/>
      <c r="T23" s="80"/>
      <c r="U23" s="80"/>
      <c r="V23" s="80"/>
      <c r="W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N23" s="316"/>
      <c r="AO23" s="316"/>
      <c r="AP23" s="316"/>
      <c r="AQ23" s="316"/>
      <c r="AR23" s="316"/>
      <c r="AS23" s="316"/>
      <c r="AT23" s="316"/>
      <c r="AU23" s="316"/>
      <c r="AV23" s="316"/>
      <c r="AW23" s="316"/>
      <c r="AX23" s="316"/>
      <c r="AY23" s="316"/>
      <c r="AZ23" s="316"/>
      <c r="BA23" s="316"/>
      <c r="BB23" s="316"/>
      <c r="BC23" s="316"/>
      <c r="BD23" s="316"/>
      <c r="BE23" s="316"/>
      <c r="BF23" s="316"/>
      <c r="BG23" s="316"/>
      <c r="BH23" s="316"/>
      <c r="BI23" s="316"/>
      <c r="BJ23" s="316"/>
      <c r="BK23" s="316"/>
      <c r="BL23" s="316"/>
      <c r="BM23" s="316"/>
      <c r="BN23" s="316"/>
      <c r="BO23" s="316"/>
      <c r="BP23" s="316"/>
    </row>
    <row r="24" spans="1:183" x14ac:dyDescent="0.15">
      <c r="A24" s="330" t="s">
        <v>403</v>
      </c>
      <c r="B24" s="331"/>
      <c r="C24" s="332">
        <f>C18</f>
        <v>0</v>
      </c>
      <c r="D24" s="333">
        <f>MIN(0,C25)</f>
        <v>0</v>
      </c>
      <c r="E24" s="333">
        <f t="shared" ref="E24:R24" si="2">MIN(0,D25*(1+InflationRate))</f>
        <v>0</v>
      </c>
      <c r="F24" s="333">
        <f t="shared" si="2"/>
        <v>0</v>
      </c>
      <c r="G24" s="334">
        <f t="shared" si="2"/>
        <v>0</v>
      </c>
      <c r="H24" s="334">
        <f t="shared" si="2"/>
        <v>0</v>
      </c>
      <c r="I24" s="333">
        <f t="shared" si="2"/>
        <v>0</v>
      </c>
      <c r="J24" s="333">
        <f t="shared" si="2"/>
        <v>0</v>
      </c>
      <c r="K24" s="333">
        <f t="shared" si="2"/>
        <v>0</v>
      </c>
      <c r="L24" s="333">
        <f t="shared" si="2"/>
        <v>0</v>
      </c>
      <c r="M24" s="333">
        <f t="shared" si="2"/>
        <v>0</v>
      </c>
      <c r="N24" s="333">
        <f t="shared" si="2"/>
        <v>0</v>
      </c>
      <c r="O24" s="333">
        <f t="shared" si="2"/>
        <v>0</v>
      </c>
      <c r="P24" s="333">
        <f t="shared" si="2"/>
        <v>0</v>
      </c>
      <c r="Q24" s="333">
        <f t="shared" si="2"/>
        <v>0</v>
      </c>
      <c r="R24" s="335">
        <f t="shared" si="2"/>
        <v>0</v>
      </c>
      <c r="S24" s="80"/>
      <c r="T24" s="80"/>
      <c r="U24" s="80"/>
      <c r="V24" s="80"/>
      <c r="W24" s="80"/>
      <c r="X24" s="316"/>
      <c r="Y24" s="316"/>
      <c r="Z24" s="316"/>
      <c r="AA24" s="316"/>
      <c r="AB24" s="316"/>
      <c r="AC24" s="316"/>
      <c r="AO24" s="316"/>
      <c r="AP24" s="316"/>
      <c r="AQ24" s="316"/>
      <c r="AR24" s="316"/>
      <c r="AS24" s="316"/>
      <c r="AT24" s="316"/>
      <c r="AU24" s="316"/>
      <c r="AV24" s="316"/>
      <c r="AW24" s="316"/>
      <c r="AX24" s="316"/>
      <c r="AY24" s="316"/>
      <c r="AZ24" s="316"/>
      <c r="BA24" s="316"/>
      <c r="BB24" s="316"/>
      <c r="BC24" s="316"/>
      <c r="BD24" s="316"/>
      <c r="BE24" s="316"/>
      <c r="BF24" s="316"/>
      <c r="BG24" s="316"/>
      <c r="BH24" s="316"/>
      <c r="BI24" s="316"/>
      <c r="BJ24" s="316"/>
      <c r="BK24" s="316"/>
      <c r="BL24" s="316"/>
      <c r="BM24" s="316"/>
      <c r="BN24" s="316"/>
      <c r="BO24" s="316"/>
      <c r="BP24" s="316"/>
      <c r="BQ24" s="316"/>
    </row>
    <row r="25" spans="1:183" x14ac:dyDescent="0.15">
      <c r="A25" s="315" t="s">
        <v>404</v>
      </c>
      <c r="B25" s="48"/>
      <c r="C25" s="336">
        <f t="shared" ref="C25:M25" si="3">SUM(C22:C24)</f>
        <v>0</v>
      </c>
      <c r="D25" s="313">
        <f t="shared" si="3"/>
        <v>0</v>
      </c>
      <c r="E25" s="313">
        <f t="shared" si="3"/>
        <v>0</v>
      </c>
      <c r="F25" s="313">
        <f t="shared" si="3"/>
        <v>0</v>
      </c>
      <c r="G25" s="313">
        <f t="shared" si="3"/>
        <v>0</v>
      </c>
      <c r="H25" s="313">
        <f t="shared" si="3"/>
        <v>0</v>
      </c>
      <c r="I25" s="313">
        <f t="shared" si="3"/>
        <v>0</v>
      </c>
      <c r="J25" s="313">
        <f t="shared" si="3"/>
        <v>0</v>
      </c>
      <c r="K25" s="313">
        <f t="shared" si="3"/>
        <v>0</v>
      </c>
      <c r="L25" s="313">
        <f t="shared" si="3"/>
        <v>0</v>
      </c>
      <c r="M25" s="313">
        <f t="shared" si="3"/>
        <v>0</v>
      </c>
      <c r="N25" s="313">
        <f t="shared" ref="N25:R25" si="4">SUM(N22:N24)</f>
        <v>0</v>
      </c>
      <c r="O25" s="313">
        <f t="shared" si="4"/>
        <v>0</v>
      </c>
      <c r="P25" s="313">
        <f t="shared" si="4"/>
        <v>0</v>
      </c>
      <c r="Q25" s="313">
        <f t="shared" si="4"/>
        <v>0</v>
      </c>
      <c r="R25" s="329">
        <f t="shared" si="4"/>
        <v>0</v>
      </c>
      <c r="S25" s="80"/>
      <c r="T25" s="80"/>
      <c r="U25" s="80"/>
      <c r="V25" s="80"/>
      <c r="W25" s="80"/>
      <c r="X25" s="316"/>
      <c r="Y25" s="316"/>
      <c r="Z25" s="316"/>
      <c r="AA25" s="316"/>
      <c r="AB25" s="316"/>
      <c r="AC25" s="316"/>
      <c r="AD25" s="316"/>
      <c r="AE25" s="316"/>
      <c r="AF25" s="316"/>
      <c r="AG25" s="316"/>
      <c r="AH25" s="316"/>
      <c r="AI25" s="316"/>
      <c r="AJ25" s="316"/>
      <c r="AK25" s="316"/>
      <c r="AL25" s="316"/>
      <c r="AM25" s="316"/>
      <c r="AN25" s="316"/>
      <c r="AO25" s="316"/>
      <c r="AP25" s="316"/>
      <c r="AQ25" s="316"/>
      <c r="AR25" s="316"/>
      <c r="AS25" s="316"/>
      <c r="AT25" s="316"/>
      <c r="AU25" s="316"/>
      <c r="AV25" s="316"/>
      <c r="AW25" s="316"/>
      <c r="AX25" s="316"/>
      <c r="AY25" s="316"/>
      <c r="AZ25" s="316"/>
      <c r="BA25" s="316"/>
      <c r="BB25" s="316"/>
      <c r="BC25" s="316"/>
      <c r="BD25" s="316"/>
      <c r="BE25" s="316"/>
      <c r="BF25" s="316"/>
      <c r="BG25" s="316"/>
      <c r="BH25" s="316"/>
      <c r="BI25" s="316"/>
      <c r="BJ25" s="316"/>
      <c r="BK25" s="316"/>
      <c r="BL25" s="316"/>
      <c r="BM25" s="316"/>
      <c r="BN25" s="316"/>
      <c r="BO25" s="316"/>
      <c r="BP25" s="316"/>
    </row>
    <row r="26" spans="1:183" x14ac:dyDescent="0.15">
      <c r="A26" s="315" t="s">
        <v>405</v>
      </c>
      <c r="B26" s="48"/>
      <c r="C26" s="336">
        <f>IF(C25&lt;0,0,C25*CorpTaxRate)</f>
        <v>0</v>
      </c>
      <c r="D26" s="313">
        <f t="shared" ref="D26:R26" si="5">IF(D25&lt;0,0,-D25*CorpTaxRate)</f>
        <v>0</v>
      </c>
      <c r="E26" s="313">
        <f t="shared" si="5"/>
        <v>0</v>
      </c>
      <c r="F26" s="313">
        <f t="shared" si="5"/>
        <v>0</v>
      </c>
      <c r="G26" s="313">
        <f t="shared" si="5"/>
        <v>0</v>
      </c>
      <c r="H26" s="313">
        <f t="shared" si="5"/>
        <v>0</v>
      </c>
      <c r="I26" s="313">
        <f t="shared" si="5"/>
        <v>0</v>
      </c>
      <c r="J26" s="313">
        <f t="shared" si="5"/>
        <v>0</v>
      </c>
      <c r="K26" s="313">
        <f t="shared" si="5"/>
        <v>0</v>
      </c>
      <c r="L26" s="313">
        <f t="shared" si="5"/>
        <v>0</v>
      </c>
      <c r="M26" s="313">
        <f t="shared" si="5"/>
        <v>0</v>
      </c>
      <c r="N26" s="313">
        <f t="shared" si="5"/>
        <v>0</v>
      </c>
      <c r="O26" s="313">
        <f t="shared" si="5"/>
        <v>0</v>
      </c>
      <c r="P26" s="313">
        <f t="shared" si="5"/>
        <v>0</v>
      </c>
      <c r="Q26" s="313">
        <f t="shared" si="5"/>
        <v>0</v>
      </c>
      <c r="R26" s="329">
        <f t="shared" si="5"/>
        <v>0</v>
      </c>
      <c r="S26" s="80"/>
      <c r="T26" s="80"/>
      <c r="U26" s="80"/>
      <c r="V26" s="80"/>
      <c r="W26" s="80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M26" s="316"/>
      <c r="AN26" s="316"/>
      <c r="AO26" s="316"/>
      <c r="AP26" s="316"/>
      <c r="AQ26" s="316"/>
      <c r="AR26" s="316"/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</row>
    <row r="27" spans="1:183" x14ac:dyDescent="0.15">
      <c r="A27" s="318" t="s">
        <v>406</v>
      </c>
      <c r="C27" s="337">
        <f t="shared" ref="C27" si="6">C22-C26</f>
        <v>0</v>
      </c>
      <c r="D27" s="338">
        <f>SUM(D22:D23)+D26</f>
        <v>0</v>
      </c>
      <c r="E27" s="338">
        <f t="shared" ref="E27:R27" si="7">SUM(E22:E23)+E26</f>
        <v>0</v>
      </c>
      <c r="F27" s="338">
        <f t="shared" si="7"/>
        <v>0</v>
      </c>
      <c r="G27" s="338">
        <f t="shared" si="7"/>
        <v>0</v>
      </c>
      <c r="H27" s="338">
        <f t="shared" si="7"/>
        <v>0</v>
      </c>
      <c r="I27" s="338">
        <f t="shared" si="7"/>
        <v>0</v>
      </c>
      <c r="J27" s="338">
        <f t="shared" si="7"/>
        <v>0</v>
      </c>
      <c r="K27" s="338">
        <f t="shared" si="7"/>
        <v>0</v>
      </c>
      <c r="L27" s="338">
        <f t="shared" si="7"/>
        <v>0</v>
      </c>
      <c r="M27" s="338">
        <f t="shared" si="7"/>
        <v>0</v>
      </c>
      <c r="N27" s="338">
        <f t="shared" si="7"/>
        <v>0</v>
      </c>
      <c r="O27" s="338">
        <f t="shared" si="7"/>
        <v>0</v>
      </c>
      <c r="P27" s="338">
        <f t="shared" si="7"/>
        <v>0</v>
      </c>
      <c r="Q27" s="338">
        <f t="shared" si="7"/>
        <v>0</v>
      </c>
      <c r="R27" s="339">
        <f t="shared" si="7"/>
        <v>0</v>
      </c>
      <c r="S27" s="80"/>
      <c r="T27" s="80"/>
      <c r="U27" s="80"/>
      <c r="V27" s="80"/>
      <c r="W27" s="80"/>
      <c r="AD27" s="316"/>
      <c r="AE27" s="316"/>
      <c r="AF27" s="316"/>
      <c r="AG27" s="316"/>
      <c r="AH27" s="316"/>
      <c r="AI27" s="316"/>
      <c r="AJ27" s="316"/>
      <c r="AK27" s="316"/>
      <c r="AL27" s="316"/>
      <c r="AM27" s="316"/>
      <c r="AN27" s="316"/>
      <c r="AO27" s="316"/>
      <c r="AP27" s="316"/>
      <c r="AQ27" s="316"/>
      <c r="AR27" s="316"/>
      <c r="AS27" s="316"/>
      <c r="AT27" s="316"/>
      <c r="AU27" s="316"/>
      <c r="AV27" s="316"/>
      <c r="AW27" s="316"/>
      <c r="AX27" s="316"/>
      <c r="AY27" s="316"/>
      <c r="AZ27" s="316"/>
      <c r="BA27" s="316"/>
      <c r="BB27" s="316"/>
      <c r="BC27" s="316"/>
      <c r="BD27" s="316"/>
      <c r="BE27" s="316"/>
      <c r="BF27" s="316"/>
      <c r="BG27" s="316"/>
      <c r="BH27" s="316"/>
      <c r="BI27" s="316"/>
      <c r="BJ27" s="316"/>
      <c r="BK27" s="316"/>
      <c r="BL27" s="316"/>
      <c r="BM27" s="316"/>
      <c r="BN27" s="316"/>
      <c r="BO27" s="316"/>
      <c r="BP27" s="316"/>
    </row>
    <row r="28" spans="1:183" x14ac:dyDescent="0.15">
      <c r="A28" s="48"/>
      <c r="C28" s="340"/>
      <c r="D28" s="340"/>
      <c r="E28" s="340"/>
      <c r="F28" s="340"/>
      <c r="G28" s="340"/>
      <c r="H28" s="340"/>
      <c r="I28" s="340"/>
      <c r="J28" s="340"/>
      <c r="K28" s="340"/>
      <c r="L28" s="340"/>
      <c r="M28" s="340"/>
      <c r="N28" s="340"/>
      <c r="O28" s="340"/>
      <c r="P28" s="340"/>
      <c r="Q28" s="340"/>
      <c r="X28" s="316"/>
      <c r="Y28" s="316"/>
      <c r="Z28" s="316"/>
      <c r="AA28" s="316"/>
      <c r="AB28" s="316"/>
      <c r="AC28" s="316"/>
      <c r="AD28" s="316"/>
      <c r="AE28" s="316"/>
      <c r="AF28" s="316"/>
      <c r="AG28" s="316"/>
      <c r="AH28" s="316"/>
      <c r="AI28" s="316"/>
      <c r="AJ28" s="316"/>
      <c r="AK28" s="316"/>
      <c r="AL28" s="316"/>
      <c r="AM28" s="316"/>
      <c r="AN28" s="316"/>
      <c r="AO28" s="316"/>
      <c r="AP28" s="316"/>
      <c r="AQ28" s="316"/>
      <c r="AR28" s="316"/>
      <c r="AS28" s="316"/>
      <c r="AT28" s="316"/>
      <c r="AU28" s="316"/>
      <c r="AV28" s="316"/>
      <c r="AW28" s="316"/>
      <c r="AX28" s="316"/>
      <c r="AY28" s="316"/>
      <c r="AZ28" s="316"/>
      <c r="BA28" s="316"/>
      <c r="BB28" s="316"/>
      <c r="BC28" s="316"/>
      <c r="BD28" s="316"/>
      <c r="BE28" s="316"/>
      <c r="BF28" s="316"/>
      <c r="BG28" s="316"/>
      <c r="BH28" s="316"/>
      <c r="BI28" s="316"/>
      <c r="BJ28" s="316"/>
    </row>
    <row r="29" spans="1:183" x14ac:dyDescent="0.15">
      <c r="A29" s="48"/>
      <c r="B29" s="48"/>
      <c r="C29" s="313"/>
      <c r="D29" s="313"/>
      <c r="E29" s="313"/>
      <c r="F29" s="313"/>
      <c r="G29" s="313"/>
      <c r="H29" s="313"/>
      <c r="I29" s="313"/>
      <c r="J29" s="313"/>
      <c r="K29" s="313"/>
      <c r="L29" s="313"/>
      <c r="M29" s="313"/>
      <c r="N29" s="313"/>
      <c r="O29" s="313"/>
      <c r="P29" s="313"/>
      <c r="Q29" s="313"/>
      <c r="R29" s="316"/>
      <c r="S29" s="316"/>
      <c r="T29" s="316"/>
      <c r="U29" s="316"/>
      <c r="V29" s="316"/>
      <c r="W29" s="316"/>
      <c r="X29" s="316"/>
      <c r="Y29" s="341"/>
      <c r="Z29" s="341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6"/>
      <c r="BJ29" s="316"/>
    </row>
    <row r="30" spans="1:183" x14ac:dyDescent="0.15">
      <c r="A30" s="312" t="s">
        <v>407</v>
      </c>
    </row>
    <row r="31" spans="1:183" x14ac:dyDescent="0.15">
      <c r="A31" s="342" t="s">
        <v>408</v>
      </c>
      <c r="C31" s="343">
        <v>0</v>
      </c>
      <c r="D31" s="344">
        <v>1</v>
      </c>
      <c r="E31" s="344">
        <v>2</v>
      </c>
      <c r="F31" s="344">
        <v>3</v>
      </c>
      <c r="G31" s="344">
        <v>4</v>
      </c>
      <c r="H31" s="344">
        <v>5</v>
      </c>
      <c r="I31" s="344">
        <v>6</v>
      </c>
      <c r="J31" s="344">
        <v>7</v>
      </c>
      <c r="K31" s="344">
        <v>8</v>
      </c>
      <c r="L31" s="344">
        <v>9</v>
      </c>
      <c r="M31" s="344">
        <v>10</v>
      </c>
      <c r="N31" s="344">
        <v>11</v>
      </c>
      <c r="O31" s="344">
        <v>12</v>
      </c>
      <c r="P31" s="344">
        <v>13</v>
      </c>
      <c r="Q31" s="344">
        <v>14</v>
      </c>
      <c r="R31" s="344">
        <v>15</v>
      </c>
      <c r="S31" s="344">
        <v>16</v>
      </c>
      <c r="T31" s="344">
        <v>17</v>
      </c>
      <c r="U31" s="344">
        <v>18</v>
      </c>
      <c r="V31" s="344">
        <v>19</v>
      </c>
      <c r="W31" s="344">
        <v>20</v>
      </c>
      <c r="X31" s="344">
        <v>21</v>
      </c>
      <c r="Y31" s="344">
        <v>22</v>
      </c>
      <c r="Z31" s="344">
        <v>23</v>
      </c>
      <c r="AA31" s="344">
        <v>24</v>
      </c>
      <c r="AB31" s="344">
        <v>25</v>
      </c>
      <c r="AC31" s="344">
        <v>26</v>
      </c>
      <c r="AD31" s="344">
        <v>27</v>
      </c>
      <c r="AE31" s="344">
        <v>28</v>
      </c>
      <c r="AF31" s="344">
        <v>29</v>
      </c>
      <c r="AG31" s="344">
        <v>30</v>
      </c>
      <c r="AH31" s="344">
        <v>31</v>
      </c>
      <c r="AI31" s="344">
        <v>32</v>
      </c>
      <c r="AJ31" s="344">
        <v>33</v>
      </c>
      <c r="AK31" s="344">
        <v>34</v>
      </c>
      <c r="AL31" s="344">
        <v>35</v>
      </c>
      <c r="AM31" s="344">
        <v>36</v>
      </c>
      <c r="AN31" s="344">
        <v>37</v>
      </c>
      <c r="AO31" s="344">
        <v>38</v>
      </c>
      <c r="AP31" s="344">
        <v>39</v>
      </c>
      <c r="AQ31" s="344">
        <v>40</v>
      </c>
      <c r="AR31" s="344">
        <v>41</v>
      </c>
      <c r="AS31" s="344">
        <v>42</v>
      </c>
      <c r="AT31" s="344">
        <v>43</v>
      </c>
      <c r="AU31" s="344">
        <v>44</v>
      </c>
      <c r="AV31" s="344">
        <v>45</v>
      </c>
      <c r="AW31" s="344">
        <v>46</v>
      </c>
      <c r="AX31" s="344">
        <v>47</v>
      </c>
      <c r="AY31" s="344">
        <v>48</v>
      </c>
      <c r="AZ31" s="344">
        <v>49</v>
      </c>
      <c r="BA31" s="344">
        <v>50</v>
      </c>
      <c r="BB31" s="344">
        <v>51</v>
      </c>
      <c r="BC31" s="344">
        <v>52</v>
      </c>
      <c r="BD31" s="344">
        <v>53</v>
      </c>
      <c r="BE31" s="344">
        <v>54</v>
      </c>
      <c r="BF31" s="344">
        <v>55</v>
      </c>
      <c r="BG31" s="344">
        <v>56</v>
      </c>
      <c r="BH31" s="344">
        <v>57</v>
      </c>
      <c r="BI31" s="344">
        <v>58</v>
      </c>
      <c r="BJ31" s="344">
        <v>59</v>
      </c>
      <c r="BK31" s="344">
        <v>60</v>
      </c>
      <c r="BL31" s="344">
        <v>61</v>
      </c>
      <c r="BM31" s="344">
        <v>62</v>
      </c>
      <c r="BN31" s="344">
        <v>63</v>
      </c>
      <c r="BO31" s="344">
        <v>64</v>
      </c>
      <c r="BP31" s="344">
        <v>65</v>
      </c>
      <c r="BQ31" s="344">
        <v>66</v>
      </c>
      <c r="BR31" s="344">
        <v>67</v>
      </c>
      <c r="BS31" s="344">
        <v>68</v>
      </c>
      <c r="BT31" s="344">
        <v>69</v>
      </c>
      <c r="BU31" s="344">
        <v>70</v>
      </c>
      <c r="BV31" s="344">
        <v>71</v>
      </c>
      <c r="BW31" s="344">
        <v>72</v>
      </c>
      <c r="BX31" s="344">
        <v>73</v>
      </c>
      <c r="BY31" s="344">
        <v>74</v>
      </c>
      <c r="BZ31" s="344">
        <v>75</v>
      </c>
      <c r="CA31" s="344">
        <v>76</v>
      </c>
      <c r="CB31" s="344">
        <v>77</v>
      </c>
      <c r="CC31" s="344">
        <v>78</v>
      </c>
      <c r="CD31" s="344">
        <v>79</v>
      </c>
      <c r="CE31" s="344">
        <v>80</v>
      </c>
      <c r="CF31" s="344">
        <v>81</v>
      </c>
      <c r="CG31" s="344">
        <v>82</v>
      </c>
      <c r="CH31" s="344">
        <v>83</v>
      </c>
      <c r="CI31" s="344">
        <v>84</v>
      </c>
      <c r="CJ31" s="344">
        <v>85</v>
      </c>
      <c r="CK31" s="344">
        <v>86</v>
      </c>
      <c r="CL31" s="344">
        <v>87</v>
      </c>
      <c r="CM31" s="344">
        <v>88</v>
      </c>
      <c r="CN31" s="344">
        <v>89</v>
      </c>
      <c r="CO31" s="344">
        <v>90</v>
      </c>
      <c r="CP31" s="344">
        <v>91</v>
      </c>
      <c r="CQ31" s="344">
        <v>92</v>
      </c>
      <c r="CR31" s="344">
        <v>93</v>
      </c>
      <c r="CS31" s="344">
        <v>94</v>
      </c>
      <c r="CT31" s="344">
        <v>95</v>
      </c>
      <c r="CU31" s="344">
        <v>96</v>
      </c>
      <c r="CV31" s="344">
        <v>97</v>
      </c>
      <c r="CW31" s="344">
        <v>98</v>
      </c>
      <c r="CX31" s="344">
        <v>99</v>
      </c>
      <c r="CY31" s="344">
        <v>100</v>
      </c>
      <c r="CZ31" s="344">
        <v>101</v>
      </c>
      <c r="DA31" s="344">
        <v>102</v>
      </c>
      <c r="DB31" s="344">
        <v>103</v>
      </c>
      <c r="DC31" s="344">
        <v>104</v>
      </c>
      <c r="DD31" s="344">
        <v>105</v>
      </c>
      <c r="DE31" s="344">
        <v>106</v>
      </c>
      <c r="DF31" s="344">
        <v>107</v>
      </c>
      <c r="DG31" s="344">
        <v>108</v>
      </c>
      <c r="DH31" s="344">
        <v>109</v>
      </c>
      <c r="DI31" s="344">
        <v>110</v>
      </c>
      <c r="DJ31" s="344">
        <v>111</v>
      </c>
      <c r="DK31" s="344">
        <v>112</v>
      </c>
      <c r="DL31" s="344">
        <v>113</v>
      </c>
      <c r="DM31" s="344">
        <v>114</v>
      </c>
      <c r="DN31" s="344">
        <v>115</v>
      </c>
      <c r="DO31" s="344">
        <v>116</v>
      </c>
      <c r="DP31" s="344">
        <v>117</v>
      </c>
      <c r="DQ31" s="344">
        <v>118</v>
      </c>
      <c r="DR31" s="344">
        <v>119</v>
      </c>
      <c r="DS31" s="344">
        <v>120</v>
      </c>
      <c r="DT31" s="344">
        <v>121</v>
      </c>
      <c r="DU31" s="344">
        <v>122</v>
      </c>
      <c r="DV31" s="344">
        <v>123</v>
      </c>
      <c r="DW31" s="344">
        <v>124</v>
      </c>
      <c r="DX31" s="344">
        <v>125</v>
      </c>
      <c r="DY31" s="344">
        <v>126</v>
      </c>
      <c r="DZ31" s="344">
        <v>127</v>
      </c>
      <c r="EA31" s="344">
        <v>128</v>
      </c>
      <c r="EB31" s="344">
        <v>129</v>
      </c>
      <c r="EC31" s="344">
        <v>130</v>
      </c>
      <c r="ED31" s="344">
        <v>131</v>
      </c>
      <c r="EE31" s="344">
        <v>132</v>
      </c>
      <c r="EF31" s="344">
        <v>133</v>
      </c>
      <c r="EG31" s="344">
        <v>134</v>
      </c>
      <c r="EH31" s="344">
        <v>135</v>
      </c>
      <c r="EI31" s="344">
        <v>136</v>
      </c>
      <c r="EJ31" s="344">
        <v>137</v>
      </c>
      <c r="EK31" s="344">
        <v>138</v>
      </c>
      <c r="EL31" s="344">
        <v>139</v>
      </c>
      <c r="EM31" s="344">
        <v>140</v>
      </c>
      <c r="EN31" s="344">
        <v>141</v>
      </c>
      <c r="EO31" s="344">
        <v>142</v>
      </c>
      <c r="EP31" s="344">
        <v>143</v>
      </c>
      <c r="EQ31" s="344">
        <v>144</v>
      </c>
      <c r="ER31" s="344">
        <v>145</v>
      </c>
      <c r="ES31" s="344">
        <v>146</v>
      </c>
      <c r="ET31" s="344">
        <v>147</v>
      </c>
      <c r="EU31" s="344">
        <v>148</v>
      </c>
      <c r="EV31" s="344">
        <v>149</v>
      </c>
      <c r="EW31" s="344">
        <v>150</v>
      </c>
      <c r="EX31" s="344">
        <v>151</v>
      </c>
      <c r="EY31" s="344">
        <v>152</v>
      </c>
      <c r="EZ31" s="344">
        <v>153</v>
      </c>
      <c r="FA31" s="344">
        <v>154</v>
      </c>
      <c r="FB31" s="344">
        <v>155</v>
      </c>
      <c r="FC31" s="344">
        <v>156</v>
      </c>
      <c r="FD31" s="344">
        <v>157</v>
      </c>
      <c r="FE31" s="344">
        <v>158</v>
      </c>
      <c r="FF31" s="344">
        <v>159</v>
      </c>
      <c r="FG31" s="344">
        <v>160</v>
      </c>
      <c r="FH31" s="344">
        <v>161</v>
      </c>
      <c r="FI31" s="344">
        <v>162</v>
      </c>
      <c r="FJ31" s="344">
        <v>163</v>
      </c>
      <c r="FK31" s="344">
        <v>164</v>
      </c>
      <c r="FL31" s="344">
        <v>165</v>
      </c>
      <c r="FM31" s="344">
        <v>166</v>
      </c>
      <c r="FN31" s="344">
        <v>167</v>
      </c>
      <c r="FO31" s="344">
        <v>168</v>
      </c>
      <c r="FP31" s="344">
        <v>169</v>
      </c>
      <c r="FQ31" s="344">
        <v>170</v>
      </c>
      <c r="FR31" s="344">
        <v>171</v>
      </c>
      <c r="FS31" s="344">
        <v>172</v>
      </c>
      <c r="FT31" s="344">
        <v>173</v>
      </c>
      <c r="FU31" s="344">
        <v>174</v>
      </c>
      <c r="FV31" s="344">
        <v>175</v>
      </c>
      <c r="FW31" s="344">
        <v>176</v>
      </c>
      <c r="FX31" s="344">
        <v>177</v>
      </c>
      <c r="FY31" s="344">
        <v>178</v>
      </c>
      <c r="FZ31" s="344">
        <v>179</v>
      </c>
      <c r="GA31" s="345">
        <v>180</v>
      </c>
    </row>
    <row r="32" spans="1:183" x14ac:dyDescent="0.15">
      <c r="A32" s="346" t="s">
        <v>21</v>
      </c>
      <c r="C32" s="347">
        <f>ROUNDUP(C31/12,0)</f>
        <v>0</v>
      </c>
      <c r="D32" s="48">
        <f>ROUNDUP(D31/12,0)</f>
        <v>1</v>
      </c>
      <c r="E32" s="48">
        <f t="shared" ref="E32:BP32" si="8">ROUNDUP(E31/12,0)</f>
        <v>1</v>
      </c>
      <c r="F32" s="48">
        <f t="shared" si="8"/>
        <v>1</v>
      </c>
      <c r="G32" s="48">
        <f t="shared" si="8"/>
        <v>1</v>
      </c>
      <c r="H32" s="48">
        <f t="shared" si="8"/>
        <v>1</v>
      </c>
      <c r="I32" s="48">
        <f t="shared" si="8"/>
        <v>1</v>
      </c>
      <c r="J32" s="48">
        <f t="shared" si="8"/>
        <v>1</v>
      </c>
      <c r="K32" s="48">
        <f t="shared" si="8"/>
        <v>1</v>
      </c>
      <c r="L32" s="48">
        <f t="shared" si="8"/>
        <v>1</v>
      </c>
      <c r="M32" s="48">
        <f t="shared" si="8"/>
        <v>1</v>
      </c>
      <c r="N32" s="48">
        <f t="shared" si="8"/>
        <v>1</v>
      </c>
      <c r="O32" s="48">
        <f t="shared" si="8"/>
        <v>1</v>
      </c>
      <c r="P32" s="48">
        <f t="shared" si="8"/>
        <v>2</v>
      </c>
      <c r="Q32" s="48">
        <f t="shared" si="8"/>
        <v>2</v>
      </c>
      <c r="R32" s="48">
        <f t="shared" si="8"/>
        <v>2</v>
      </c>
      <c r="S32" s="48">
        <f t="shared" si="8"/>
        <v>2</v>
      </c>
      <c r="T32" s="48">
        <f t="shared" si="8"/>
        <v>2</v>
      </c>
      <c r="U32" s="48">
        <f t="shared" si="8"/>
        <v>2</v>
      </c>
      <c r="V32" s="48">
        <f t="shared" si="8"/>
        <v>2</v>
      </c>
      <c r="W32" s="48">
        <f t="shared" si="8"/>
        <v>2</v>
      </c>
      <c r="X32" s="48">
        <f t="shared" si="8"/>
        <v>2</v>
      </c>
      <c r="Y32" s="48">
        <f t="shared" si="8"/>
        <v>2</v>
      </c>
      <c r="Z32" s="48">
        <f t="shared" si="8"/>
        <v>2</v>
      </c>
      <c r="AA32" s="48">
        <f t="shared" si="8"/>
        <v>2</v>
      </c>
      <c r="AB32" s="48">
        <f t="shared" si="8"/>
        <v>3</v>
      </c>
      <c r="AC32" s="48">
        <f t="shared" si="8"/>
        <v>3</v>
      </c>
      <c r="AD32" s="48">
        <f t="shared" si="8"/>
        <v>3</v>
      </c>
      <c r="AE32" s="48">
        <f t="shared" si="8"/>
        <v>3</v>
      </c>
      <c r="AF32" s="48">
        <f t="shared" si="8"/>
        <v>3</v>
      </c>
      <c r="AG32" s="48">
        <f t="shared" si="8"/>
        <v>3</v>
      </c>
      <c r="AH32" s="48">
        <f t="shared" si="8"/>
        <v>3</v>
      </c>
      <c r="AI32" s="48">
        <f t="shared" si="8"/>
        <v>3</v>
      </c>
      <c r="AJ32" s="48">
        <f t="shared" si="8"/>
        <v>3</v>
      </c>
      <c r="AK32" s="48">
        <f t="shared" si="8"/>
        <v>3</v>
      </c>
      <c r="AL32" s="48">
        <f t="shared" si="8"/>
        <v>3</v>
      </c>
      <c r="AM32" s="48">
        <f t="shared" si="8"/>
        <v>3</v>
      </c>
      <c r="AN32" s="48">
        <f t="shared" si="8"/>
        <v>4</v>
      </c>
      <c r="AO32" s="48">
        <f t="shared" si="8"/>
        <v>4</v>
      </c>
      <c r="AP32" s="48">
        <f t="shared" si="8"/>
        <v>4</v>
      </c>
      <c r="AQ32" s="48">
        <f t="shared" si="8"/>
        <v>4</v>
      </c>
      <c r="AR32" s="48">
        <f t="shared" si="8"/>
        <v>4</v>
      </c>
      <c r="AS32" s="48">
        <f t="shared" si="8"/>
        <v>4</v>
      </c>
      <c r="AT32" s="48">
        <f t="shared" si="8"/>
        <v>4</v>
      </c>
      <c r="AU32" s="48">
        <f t="shared" si="8"/>
        <v>4</v>
      </c>
      <c r="AV32" s="48">
        <f t="shared" si="8"/>
        <v>4</v>
      </c>
      <c r="AW32" s="48">
        <f t="shared" si="8"/>
        <v>4</v>
      </c>
      <c r="AX32" s="48">
        <f t="shared" si="8"/>
        <v>4</v>
      </c>
      <c r="AY32" s="48">
        <f t="shared" si="8"/>
        <v>4</v>
      </c>
      <c r="AZ32" s="48">
        <f t="shared" si="8"/>
        <v>5</v>
      </c>
      <c r="BA32" s="48">
        <f t="shared" si="8"/>
        <v>5</v>
      </c>
      <c r="BB32" s="48">
        <f t="shared" si="8"/>
        <v>5</v>
      </c>
      <c r="BC32" s="48">
        <f t="shared" si="8"/>
        <v>5</v>
      </c>
      <c r="BD32" s="48">
        <f t="shared" si="8"/>
        <v>5</v>
      </c>
      <c r="BE32" s="48">
        <f t="shared" si="8"/>
        <v>5</v>
      </c>
      <c r="BF32" s="48">
        <f t="shared" si="8"/>
        <v>5</v>
      </c>
      <c r="BG32" s="48">
        <f t="shared" si="8"/>
        <v>5</v>
      </c>
      <c r="BH32" s="48">
        <f t="shared" si="8"/>
        <v>5</v>
      </c>
      <c r="BI32" s="48">
        <f t="shared" si="8"/>
        <v>5</v>
      </c>
      <c r="BJ32" s="48">
        <f t="shared" si="8"/>
        <v>5</v>
      </c>
      <c r="BK32" s="48">
        <f t="shared" si="8"/>
        <v>5</v>
      </c>
      <c r="BL32" s="48">
        <f t="shared" si="8"/>
        <v>6</v>
      </c>
      <c r="BM32" s="48">
        <f t="shared" si="8"/>
        <v>6</v>
      </c>
      <c r="BN32" s="48">
        <f t="shared" si="8"/>
        <v>6</v>
      </c>
      <c r="BO32" s="48">
        <f t="shared" si="8"/>
        <v>6</v>
      </c>
      <c r="BP32" s="48">
        <f t="shared" si="8"/>
        <v>6</v>
      </c>
      <c r="BQ32" s="48">
        <f t="shared" ref="BQ32:EB32" si="9">ROUNDUP(BQ31/12,0)</f>
        <v>6</v>
      </c>
      <c r="BR32" s="48">
        <f t="shared" si="9"/>
        <v>6</v>
      </c>
      <c r="BS32" s="48">
        <f t="shared" si="9"/>
        <v>6</v>
      </c>
      <c r="BT32" s="48">
        <f t="shared" si="9"/>
        <v>6</v>
      </c>
      <c r="BU32" s="48">
        <f t="shared" si="9"/>
        <v>6</v>
      </c>
      <c r="BV32" s="48">
        <f t="shared" si="9"/>
        <v>6</v>
      </c>
      <c r="BW32" s="48">
        <f t="shared" si="9"/>
        <v>6</v>
      </c>
      <c r="BX32" s="48">
        <f t="shared" si="9"/>
        <v>7</v>
      </c>
      <c r="BY32" s="48">
        <f t="shared" si="9"/>
        <v>7</v>
      </c>
      <c r="BZ32" s="48">
        <f t="shared" si="9"/>
        <v>7</v>
      </c>
      <c r="CA32" s="48">
        <f t="shared" si="9"/>
        <v>7</v>
      </c>
      <c r="CB32" s="48">
        <f t="shared" si="9"/>
        <v>7</v>
      </c>
      <c r="CC32" s="48">
        <f t="shared" si="9"/>
        <v>7</v>
      </c>
      <c r="CD32" s="48">
        <f t="shared" si="9"/>
        <v>7</v>
      </c>
      <c r="CE32" s="48">
        <f t="shared" si="9"/>
        <v>7</v>
      </c>
      <c r="CF32" s="48">
        <f t="shared" si="9"/>
        <v>7</v>
      </c>
      <c r="CG32" s="48">
        <f t="shared" si="9"/>
        <v>7</v>
      </c>
      <c r="CH32" s="48">
        <f t="shared" si="9"/>
        <v>7</v>
      </c>
      <c r="CI32" s="48">
        <f t="shared" si="9"/>
        <v>7</v>
      </c>
      <c r="CJ32" s="48">
        <f t="shared" si="9"/>
        <v>8</v>
      </c>
      <c r="CK32" s="48">
        <f t="shared" si="9"/>
        <v>8</v>
      </c>
      <c r="CL32" s="48">
        <f t="shared" si="9"/>
        <v>8</v>
      </c>
      <c r="CM32" s="48">
        <f t="shared" si="9"/>
        <v>8</v>
      </c>
      <c r="CN32" s="48">
        <f t="shared" si="9"/>
        <v>8</v>
      </c>
      <c r="CO32" s="48">
        <f t="shared" si="9"/>
        <v>8</v>
      </c>
      <c r="CP32" s="48">
        <f t="shared" si="9"/>
        <v>8</v>
      </c>
      <c r="CQ32" s="48">
        <f t="shared" si="9"/>
        <v>8</v>
      </c>
      <c r="CR32" s="48">
        <f t="shared" si="9"/>
        <v>8</v>
      </c>
      <c r="CS32" s="48">
        <f t="shared" si="9"/>
        <v>8</v>
      </c>
      <c r="CT32" s="48">
        <f t="shared" si="9"/>
        <v>8</v>
      </c>
      <c r="CU32" s="48">
        <f t="shared" si="9"/>
        <v>8</v>
      </c>
      <c r="CV32" s="48">
        <f t="shared" si="9"/>
        <v>9</v>
      </c>
      <c r="CW32" s="48">
        <f t="shared" si="9"/>
        <v>9</v>
      </c>
      <c r="CX32" s="48">
        <f t="shared" si="9"/>
        <v>9</v>
      </c>
      <c r="CY32" s="48">
        <f t="shared" si="9"/>
        <v>9</v>
      </c>
      <c r="CZ32" s="48">
        <f t="shared" si="9"/>
        <v>9</v>
      </c>
      <c r="DA32" s="48">
        <f t="shared" si="9"/>
        <v>9</v>
      </c>
      <c r="DB32" s="48">
        <f t="shared" si="9"/>
        <v>9</v>
      </c>
      <c r="DC32" s="48">
        <f t="shared" si="9"/>
        <v>9</v>
      </c>
      <c r="DD32" s="48">
        <f t="shared" si="9"/>
        <v>9</v>
      </c>
      <c r="DE32" s="48">
        <f t="shared" si="9"/>
        <v>9</v>
      </c>
      <c r="DF32" s="48">
        <f t="shared" si="9"/>
        <v>9</v>
      </c>
      <c r="DG32" s="48">
        <f t="shared" si="9"/>
        <v>9</v>
      </c>
      <c r="DH32" s="48">
        <f t="shared" si="9"/>
        <v>10</v>
      </c>
      <c r="DI32" s="48">
        <f t="shared" si="9"/>
        <v>10</v>
      </c>
      <c r="DJ32" s="48">
        <f t="shared" si="9"/>
        <v>10</v>
      </c>
      <c r="DK32" s="48">
        <f t="shared" si="9"/>
        <v>10</v>
      </c>
      <c r="DL32" s="48">
        <f t="shared" si="9"/>
        <v>10</v>
      </c>
      <c r="DM32" s="48">
        <f t="shared" si="9"/>
        <v>10</v>
      </c>
      <c r="DN32" s="48">
        <f t="shared" si="9"/>
        <v>10</v>
      </c>
      <c r="DO32" s="48">
        <f t="shared" si="9"/>
        <v>10</v>
      </c>
      <c r="DP32" s="48">
        <f t="shared" si="9"/>
        <v>10</v>
      </c>
      <c r="DQ32" s="48">
        <f t="shared" si="9"/>
        <v>10</v>
      </c>
      <c r="DR32" s="48">
        <f t="shared" si="9"/>
        <v>10</v>
      </c>
      <c r="DS32" s="48">
        <f t="shared" si="9"/>
        <v>10</v>
      </c>
      <c r="DT32" s="48">
        <f t="shared" si="9"/>
        <v>11</v>
      </c>
      <c r="DU32" s="48">
        <f t="shared" si="9"/>
        <v>11</v>
      </c>
      <c r="DV32" s="48">
        <f t="shared" si="9"/>
        <v>11</v>
      </c>
      <c r="DW32" s="48">
        <f t="shared" si="9"/>
        <v>11</v>
      </c>
      <c r="DX32" s="48">
        <f t="shared" si="9"/>
        <v>11</v>
      </c>
      <c r="DY32" s="48">
        <f t="shared" si="9"/>
        <v>11</v>
      </c>
      <c r="DZ32" s="48">
        <f t="shared" si="9"/>
        <v>11</v>
      </c>
      <c r="EA32" s="48">
        <f t="shared" si="9"/>
        <v>11</v>
      </c>
      <c r="EB32" s="48">
        <f t="shared" si="9"/>
        <v>11</v>
      </c>
      <c r="EC32" s="48">
        <f t="shared" ref="EC32:GA32" si="10">ROUNDUP(EC31/12,0)</f>
        <v>11</v>
      </c>
      <c r="ED32" s="48">
        <f t="shared" si="10"/>
        <v>11</v>
      </c>
      <c r="EE32" s="48">
        <f t="shared" si="10"/>
        <v>11</v>
      </c>
      <c r="EF32" s="48">
        <f t="shared" si="10"/>
        <v>12</v>
      </c>
      <c r="EG32" s="48">
        <f t="shared" si="10"/>
        <v>12</v>
      </c>
      <c r="EH32" s="48">
        <f t="shared" si="10"/>
        <v>12</v>
      </c>
      <c r="EI32" s="48">
        <f t="shared" si="10"/>
        <v>12</v>
      </c>
      <c r="EJ32" s="48">
        <f t="shared" si="10"/>
        <v>12</v>
      </c>
      <c r="EK32" s="48">
        <f t="shared" si="10"/>
        <v>12</v>
      </c>
      <c r="EL32" s="48">
        <f t="shared" si="10"/>
        <v>12</v>
      </c>
      <c r="EM32" s="48">
        <f t="shared" si="10"/>
        <v>12</v>
      </c>
      <c r="EN32" s="48">
        <f t="shared" si="10"/>
        <v>12</v>
      </c>
      <c r="EO32" s="48">
        <f t="shared" si="10"/>
        <v>12</v>
      </c>
      <c r="EP32" s="48">
        <f t="shared" si="10"/>
        <v>12</v>
      </c>
      <c r="EQ32" s="48">
        <f t="shared" si="10"/>
        <v>12</v>
      </c>
      <c r="ER32" s="48">
        <f t="shared" si="10"/>
        <v>13</v>
      </c>
      <c r="ES32" s="48">
        <f t="shared" si="10"/>
        <v>13</v>
      </c>
      <c r="ET32" s="48">
        <f t="shared" si="10"/>
        <v>13</v>
      </c>
      <c r="EU32" s="48">
        <f t="shared" si="10"/>
        <v>13</v>
      </c>
      <c r="EV32" s="48">
        <f t="shared" si="10"/>
        <v>13</v>
      </c>
      <c r="EW32" s="48">
        <f t="shared" si="10"/>
        <v>13</v>
      </c>
      <c r="EX32" s="48">
        <f t="shared" si="10"/>
        <v>13</v>
      </c>
      <c r="EY32" s="48">
        <f t="shared" si="10"/>
        <v>13</v>
      </c>
      <c r="EZ32" s="48">
        <f t="shared" si="10"/>
        <v>13</v>
      </c>
      <c r="FA32" s="48">
        <f t="shared" si="10"/>
        <v>13</v>
      </c>
      <c r="FB32" s="48">
        <f t="shared" si="10"/>
        <v>13</v>
      </c>
      <c r="FC32" s="48">
        <f t="shared" si="10"/>
        <v>13</v>
      </c>
      <c r="FD32" s="48">
        <f t="shared" si="10"/>
        <v>14</v>
      </c>
      <c r="FE32" s="48">
        <f t="shared" si="10"/>
        <v>14</v>
      </c>
      <c r="FF32" s="48">
        <f t="shared" si="10"/>
        <v>14</v>
      </c>
      <c r="FG32" s="48">
        <f t="shared" si="10"/>
        <v>14</v>
      </c>
      <c r="FH32" s="48">
        <f t="shared" si="10"/>
        <v>14</v>
      </c>
      <c r="FI32" s="48">
        <f t="shared" si="10"/>
        <v>14</v>
      </c>
      <c r="FJ32" s="48">
        <f t="shared" si="10"/>
        <v>14</v>
      </c>
      <c r="FK32" s="48">
        <f t="shared" si="10"/>
        <v>14</v>
      </c>
      <c r="FL32" s="48">
        <f t="shared" si="10"/>
        <v>14</v>
      </c>
      <c r="FM32" s="48">
        <f t="shared" si="10"/>
        <v>14</v>
      </c>
      <c r="FN32" s="48">
        <f t="shared" si="10"/>
        <v>14</v>
      </c>
      <c r="FO32" s="48">
        <f t="shared" si="10"/>
        <v>14</v>
      </c>
      <c r="FP32" s="48">
        <f t="shared" si="10"/>
        <v>15</v>
      </c>
      <c r="FQ32" s="48">
        <f t="shared" si="10"/>
        <v>15</v>
      </c>
      <c r="FR32" s="48">
        <f t="shared" si="10"/>
        <v>15</v>
      </c>
      <c r="FS32" s="48">
        <f t="shared" si="10"/>
        <v>15</v>
      </c>
      <c r="FT32" s="48">
        <f t="shared" si="10"/>
        <v>15</v>
      </c>
      <c r="FU32" s="48">
        <f t="shared" si="10"/>
        <v>15</v>
      </c>
      <c r="FV32" s="48">
        <f t="shared" si="10"/>
        <v>15</v>
      </c>
      <c r="FW32" s="48">
        <f t="shared" si="10"/>
        <v>15</v>
      </c>
      <c r="FX32" s="48">
        <f t="shared" si="10"/>
        <v>15</v>
      </c>
      <c r="FY32" s="48">
        <f t="shared" si="10"/>
        <v>15</v>
      </c>
      <c r="FZ32" s="48">
        <f t="shared" si="10"/>
        <v>15</v>
      </c>
      <c r="GA32" s="315">
        <f t="shared" si="10"/>
        <v>15</v>
      </c>
    </row>
    <row r="33" spans="1:183" x14ac:dyDescent="0.15">
      <c r="A33" s="348" t="s">
        <v>409</v>
      </c>
      <c r="C33" s="349">
        <f ca="1">DATE(YEAR(NOW()), MONTH(NOW()) + 1, 1)</f>
        <v>42948</v>
      </c>
      <c r="D33" s="350">
        <f ca="1">EOMONTH(C33,0)+1</f>
        <v>42979</v>
      </c>
      <c r="E33" s="350">
        <f t="shared" ref="E33:BP33" ca="1" si="11">EOMONTH(D33,0)+1</f>
        <v>43009</v>
      </c>
      <c r="F33" s="350">
        <f t="shared" ca="1" si="11"/>
        <v>43040</v>
      </c>
      <c r="G33" s="350">
        <f t="shared" ca="1" si="11"/>
        <v>43070</v>
      </c>
      <c r="H33" s="350">
        <f t="shared" ca="1" si="11"/>
        <v>43101</v>
      </c>
      <c r="I33" s="350">
        <f t="shared" ca="1" si="11"/>
        <v>43132</v>
      </c>
      <c r="J33" s="350">
        <f t="shared" ca="1" si="11"/>
        <v>43160</v>
      </c>
      <c r="K33" s="350">
        <f t="shared" ca="1" si="11"/>
        <v>43191</v>
      </c>
      <c r="L33" s="350">
        <f t="shared" ca="1" si="11"/>
        <v>43221</v>
      </c>
      <c r="M33" s="350">
        <f t="shared" ca="1" si="11"/>
        <v>43252</v>
      </c>
      <c r="N33" s="350">
        <f t="shared" ca="1" si="11"/>
        <v>43282</v>
      </c>
      <c r="O33" s="350">
        <f t="shared" ca="1" si="11"/>
        <v>43313</v>
      </c>
      <c r="P33" s="350">
        <f t="shared" ca="1" si="11"/>
        <v>43344</v>
      </c>
      <c r="Q33" s="350">
        <f t="shared" ca="1" si="11"/>
        <v>43374</v>
      </c>
      <c r="R33" s="350">
        <f t="shared" ca="1" si="11"/>
        <v>43405</v>
      </c>
      <c r="S33" s="350">
        <f t="shared" ca="1" si="11"/>
        <v>43435</v>
      </c>
      <c r="T33" s="350">
        <f t="shared" ca="1" si="11"/>
        <v>43466</v>
      </c>
      <c r="U33" s="350">
        <f t="shared" ca="1" si="11"/>
        <v>43497</v>
      </c>
      <c r="V33" s="350">
        <f t="shared" ca="1" si="11"/>
        <v>43525</v>
      </c>
      <c r="W33" s="350">
        <f t="shared" ca="1" si="11"/>
        <v>43556</v>
      </c>
      <c r="X33" s="350">
        <f t="shared" ca="1" si="11"/>
        <v>43586</v>
      </c>
      <c r="Y33" s="350">
        <f t="shared" ca="1" si="11"/>
        <v>43617</v>
      </c>
      <c r="Z33" s="350">
        <f t="shared" ca="1" si="11"/>
        <v>43647</v>
      </c>
      <c r="AA33" s="350">
        <f t="shared" ca="1" si="11"/>
        <v>43678</v>
      </c>
      <c r="AB33" s="350">
        <f t="shared" ca="1" si="11"/>
        <v>43709</v>
      </c>
      <c r="AC33" s="350">
        <f t="shared" ca="1" si="11"/>
        <v>43739</v>
      </c>
      <c r="AD33" s="350">
        <f t="shared" ca="1" si="11"/>
        <v>43770</v>
      </c>
      <c r="AE33" s="350">
        <f t="shared" ca="1" si="11"/>
        <v>43800</v>
      </c>
      <c r="AF33" s="350">
        <f t="shared" ca="1" si="11"/>
        <v>43831</v>
      </c>
      <c r="AG33" s="350">
        <f t="shared" ca="1" si="11"/>
        <v>43862</v>
      </c>
      <c r="AH33" s="350">
        <f t="shared" ca="1" si="11"/>
        <v>43891</v>
      </c>
      <c r="AI33" s="350">
        <f t="shared" ca="1" si="11"/>
        <v>43922</v>
      </c>
      <c r="AJ33" s="350">
        <f t="shared" ca="1" si="11"/>
        <v>43952</v>
      </c>
      <c r="AK33" s="350">
        <f t="shared" ca="1" si="11"/>
        <v>43983</v>
      </c>
      <c r="AL33" s="350">
        <f t="shared" ca="1" si="11"/>
        <v>44013</v>
      </c>
      <c r="AM33" s="350">
        <f t="shared" ca="1" si="11"/>
        <v>44044</v>
      </c>
      <c r="AN33" s="350">
        <f t="shared" ca="1" si="11"/>
        <v>44075</v>
      </c>
      <c r="AO33" s="350">
        <f t="shared" ca="1" si="11"/>
        <v>44105</v>
      </c>
      <c r="AP33" s="350">
        <f t="shared" ca="1" si="11"/>
        <v>44136</v>
      </c>
      <c r="AQ33" s="350">
        <f t="shared" ca="1" si="11"/>
        <v>44166</v>
      </c>
      <c r="AR33" s="350">
        <f t="shared" ca="1" si="11"/>
        <v>44197</v>
      </c>
      <c r="AS33" s="350">
        <f t="shared" ca="1" si="11"/>
        <v>44228</v>
      </c>
      <c r="AT33" s="350">
        <f t="shared" ca="1" si="11"/>
        <v>44256</v>
      </c>
      <c r="AU33" s="350">
        <f t="shared" ca="1" si="11"/>
        <v>44287</v>
      </c>
      <c r="AV33" s="350">
        <f t="shared" ca="1" si="11"/>
        <v>44317</v>
      </c>
      <c r="AW33" s="350">
        <f t="shared" ca="1" si="11"/>
        <v>44348</v>
      </c>
      <c r="AX33" s="350">
        <f t="shared" ca="1" si="11"/>
        <v>44378</v>
      </c>
      <c r="AY33" s="350">
        <f t="shared" ca="1" si="11"/>
        <v>44409</v>
      </c>
      <c r="AZ33" s="350">
        <f t="shared" ca="1" si="11"/>
        <v>44440</v>
      </c>
      <c r="BA33" s="350">
        <f t="shared" ca="1" si="11"/>
        <v>44470</v>
      </c>
      <c r="BB33" s="350">
        <f t="shared" ca="1" si="11"/>
        <v>44501</v>
      </c>
      <c r="BC33" s="350">
        <f t="shared" ca="1" si="11"/>
        <v>44531</v>
      </c>
      <c r="BD33" s="350">
        <f t="shared" ca="1" si="11"/>
        <v>44562</v>
      </c>
      <c r="BE33" s="350">
        <f t="shared" ca="1" si="11"/>
        <v>44593</v>
      </c>
      <c r="BF33" s="350">
        <f t="shared" ca="1" si="11"/>
        <v>44621</v>
      </c>
      <c r="BG33" s="350">
        <f t="shared" ca="1" si="11"/>
        <v>44652</v>
      </c>
      <c r="BH33" s="350">
        <f t="shared" ca="1" si="11"/>
        <v>44682</v>
      </c>
      <c r="BI33" s="350">
        <f t="shared" ca="1" si="11"/>
        <v>44713</v>
      </c>
      <c r="BJ33" s="350">
        <f t="shared" ca="1" si="11"/>
        <v>44743</v>
      </c>
      <c r="BK33" s="350">
        <f t="shared" ca="1" si="11"/>
        <v>44774</v>
      </c>
      <c r="BL33" s="350">
        <f t="shared" ca="1" si="11"/>
        <v>44805</v>
      </c>
      <c r="BM33" s="350">
        <f t="shared" ca="1" si="11"/>
        <v>44835</v>
      </c>
      <c r="BN33" s="350">
        <f t="shared" ca="1" si="11"/>
        <v>44866</v>
      </c>
      <c r="BO33" s="350">
        <f t="shared" ca="1" si="11"/>
        <v>44896</v>
      </c>
      <c r="BP33" s="350">
        <f t="shared" ca="1" si="11"/>
        <v>44927</v>
      </c>
      <c r="BQ33" s="350">
        <f t="shared" ref="BQ33:EB33" ca="1" si="12">EOMONTH(BP33,0)+1</f>
        <v>44958</v>
      </c>
      <c r="BR33" s="350">
        <f t="shared" ca="1" si="12"/>
        <v>44986</v>
      </c>
      <c r="BS33" s="350">
        <f t="shared" ca="1" si="12"/>
        <v>45017</v>
      </c>
      <c r="BT33" s="350">
        <f t="shared" ca="1" si="12"/>
        <v>45047</v>
      </c>
      <c r="BU33" s="350">
        <f t="shared" ca="1" si="12"/>
        <v>45078</v>
      </c>
      <c r="BV33" s="350">
        <f t="shared" ca="1" si="12"/>
        <v>45108</v>
      </c>
      <c r="BW33" s="350">
        <f t="shared" ca="1" si="12"/>
        <v>45139</v>
      </c>
      <c r="BX33" s="350">
        <f t="shared" ca="1" si="12"/>
        <v>45170</v>
      </c>
      <c r="BY33" s="350">
        <f t="shared" ca="1" si="12"/>
        <v>45200</v>
      </c>
      <c r="BZ33" s="350">
        <f t="shared" ca="1" si="12"/>
        <v>45231</v>
      </c>
      <c r="CA33" s="350">
        <f t="shared" ca="1" si="12"/>
        <v>45261</v>
      </c>
      <c r="CB33" s="350">
        <f t="shared" ca="1" si="12"/>
        <v>45292</v>
      </c>
      <c r="CC33" s="350">
        <f t="shared" ca="1" si="12"/>
        <v>45323</v>
      </c>
      <c r="CD33" s="350">
        <f t="shared" ca="1" si="12"/>
        <v>45352</v>
      </c>
      <c r="CE33" s="350">
        <f t="shared" ca="1" si="12"/>
        <v>45383</v>
      </c>
      <c r="CF33" s="350">
        <f t="shared" ca="1" si="12"/>
        <v>45413</v>
      </c>
      <c r="CG33" s="350">
        <f t="shared" ca="1" si="12"/>
        <v>45444</v>
      </c>
      <c r="CH33" s="350">
        <f t="shared" ca="1" si="12"/>
        <v>45474</v>
      </c>
      <c r="CI33" s="350">
        <f t="shared" ca="1" si="12"/>
        <v>45505</v>
      </c>
      <c r="CJ33" s="350">
        <f t="shared" ca="1" si="12"/>
        <v>45536</v>
      </c>
      <c r="CK33" s="350">
        <f t="shared" ca="1" si="12"/>
        <v>45566</v>
      </c>
      <c r="CL33" s="350">
        <f t="shared" ca="1" si="12"/>
        <v>45597</v>
      </c>
      <c r="CM33" s="350">
        <f t="shared" ca="1" si="12"/>
        <v>45627</v>
      </c>
      <c r="CN33" s="350">
        <f t="shared" ca="1" si="12"/>
        <v>45658</v>
      </c>
      <c r="CO33" s="350">
        <f t="shared" ca="1" si="12"/>
        <v>45689</v>
      </c>
      <c r="CP33" s="350">
        <f t="shared" ca="1" si="12"/>
        <v>45717</v>
      </c>
      <c r="CQ33" s="350">
        <f t="shared" ca="1" si="12"/>
        <v>45748</v>
      </c>
      <c r="CR33" s="350">
        <f t="shared" ca="1" si="12"/>
        <v>45778</v>
      </c>
      <c r="CS33" s="350">
        <f t="shared" ca="1" si="12"/>
        <v>45809</v>
      </c>
      <c r="CT33" s="350">
        <f t="shared" ca="1" si="12"/>
        <v>45839</v>
      </c>
      <c r="CU33" s="350">
        <f t="shared" ca="1" si="12"/>
        <v>45870</v>
      </c>
      <c r="CV33" s="350">
        <f t="shared" ca="1" si="12"/>
        <v>45901</v>
      </c>
      <c r="CW33" s="350">
        <f t="shared" ca="1" si="12"/>
        <v>45931</v>
      </c>
      <c r="CX33" s="350">
        <f t="shared" ca="1" si="12"/>
        <v>45962</v>
      </c>
      <c r="CY33" s="350">
        <f t="shared" ca="1" si="12"/>
        <v>45992</v>
      </c>
      <c r="CZ33" s="350">
        <f t="shared" ca="1" si="12"/>
        <v>46023</v>
      </c>
      <c r="DA33" s="350">
        <f t="shared" ca="1" si="12"/>
        <v>46054</v>
      </c>
      <c r="DB33" s="350">
        <f t="shared" ca="1" si="12"/>
        <v>46082</v>
      </c>
      <c r="DC33" s="350">
        <f t="shared" ca="1" si="12"/>
        <v>46113</v>
      </c>
      <c r="DD33" s="350">
        <f t="shared" ca="1" si="12"/>
        <v>46143</v>
      </c>
      <c r="DE33" s="350">
        <f t="shared" ca="1" si="12"/>
        <v>46174</v>
      </c>
      <c r="DF33" s="350">
        <f t="shared" ca="1" si="12"/>
        <v>46204</v>
      </c>
      <c r="DG33" s="350">
        <f t="shared" ca="1" si="12"/>
        <v>46235</v>
      </c>
      <c r="DH33" s="350">
        <f t="shared" ca="1" si="12"/>
        <v>46266</v>
      </c>
      <c r="DI33" s="350">
        <f t="shared" ca="1" si="12"/>
        <v>46296</v>
      </c>
      <c r="DJ33" s="350">
        <f t="shared" ca="1" si="12"/>
        <v>46327</v>
      </c>
      <c r="DK33" s="350">
        <f t="shared" ca="1" si="12"/>
        <v>46357</v>
      </c>
      <c r="DL33" s="350">
        <f t="shared" ca="1" si="12"/>
        <v>46388</v>
      </c>
      <c r="DM33" s="350">
        <f t="shared" ca="1" si="12"/>
        <v>46419</v>
      </c>
      <c r="DN33" s="350">
        <f t="shared" ca="1" si="12"/>
        <v>46447</v>
      </c>
      <c r="DO33" s="350">
        <f t="shared" ca="1" si="12"/>
        <v>46478</v>
      </c>
      <c r="DP33" s="350">
        <f t="shared" ca="1" si="12"/>
        <v>46508</v>
      </c>
      <c r="DQ33" s="350">
        <f t="shared" ca="1" si="12"/>
        <v>46539</v>
      </c>
      <c r="DR33" s="350">
        <f t="shared" ca="1" si="12"/>
        <v>46569</v>
      </c>
      <c r="DS33" s="350">
        <f t="shared" ca="1" si="12"/>
        <v>46600</v>
      </c>
      <c r="DT33" s="350">
        <f t="shared" ca="1" si="12"/>
        <v>46631</v>
      </c>
      <c r="DU33" s="350">
        <f t="shared" ca="1" si="12"/>
        <v>46661</v>
      </c>
      <c r="DV33" s="350">
        <f t="shared" ca="1" si="12"/>
        <v>46692</v>
      </c>
      <c r="DW33" s="350">
        <f t="shared" ca="1" si="12"/>
        <v>46722</v>
      </c>
      <c r="DX33" s="350">
        <f t="shared" ca="1" si="12"/>
        <v>46753</v>
      </c>
      <c r="DY33" s="350">
        <f t="shared" ca="1" si="12"/>
        <v>46784</v>
      </c>
      <c r="DZ33" s="350">
        <f t="shared" ca="1" si="12"/>
        <v>46813</v>
      </c>
      <c r="EA33" s="350">
        <f t="shared" ca="1" si="12"/>
        <v>46844</v>
      </c>
      <c r="EB33" s="350">
        <f t="shared" ca="1" si="12"/>
        <v>46874</v>
      </c>
      <c r="EC33" s="350">
        <f t="shared" ref="EC33:GA33" ca="1" si="13">EOMONTH(EB33,0)+1</f>
        <v>46905</v>
      </c>
      <c r="ED33" s="350">
        <f t="shared" ca="1" si="13"/>
        <v>46935</v>
      </c>
      <c r="EE33" s="350">
        <f t="shared" ca="1" si="13"/>
        <v>46966</v>
      </c>
      <c r="EF33" s="350">
        <f t="shared" ca="1" si="13"/>
        <v>46997</v>
      </c>
      <c r="EG33" s="350">
        <f t="shared" ca="1" si="13"/>
        <v>47027</v>
      </c>
      <c r="EH33" s="350">
        <f t="shared" ca="1" si="13"/>
        <v>47058</v>
      </c>
      <c r="EI33" s="350">
        <f t="shared" ca="1" si="13"/>
        <v>47088</v>
      </c>
      <c r="EJ33" s="350">
        <f t="shared" ca="1" si="13"/>
        <v>47119</v>
      </c>
      <c r="EK33" s="350">
        <f t="shared" ca="1" si="13"/>
        <v>47150</v>
      </c>
      <c r="EL33" s="350">
        <f t="shared" ca="1" si="13"/>
        <v>47178</v>
      </c>
      <c r="EM33" s="350">
        <f t="shared" ca="1" si="13"/>
        <v>47209</v>
      </c>
      <c r="EN33" s="350">
        <f t="shared" ca="1" si="13"/>
        <v>47239</v>
      </c>
      <c r="EO33" s="350">
        <f t="shared" ca="1" si="13"/>
        <v>47270</v>
      </c>
      <c r="EP33" s="350">
        <f t="shared" ca="1" si="13"/>
        <v>47300</v>
      </c>
      <c r="EQ33" s="350">
        <f t="shared" ca="1" si="13"/>
        <v>47331</v>
      </c>
      <c r="ER33" s="350">
        <f t="shared" ca="1" si="13"/>
        <v>47362</v>
      </c>
      <c r="ES33" s="350">
        <f t="shared" ca="1" si="13"/>
        <v>47392</v>
      </c>
      <c r="ET33" s="350">
        <f t="shared" ca="1" si="13"/>
        <v>47423</v>
      </c>
      <c r="EU33" s="350">
        <f t="shared" ca="1" si="13"/>
        <v>47453</v>
      </c>
      <c r="EV33" s="350">
        <f t="shared" ca="1" si="13"/>
        <v>47484</v>
      </c>
      <c r="EW33" s="350">
        <f t="shared" ca="1" si="13"/>
        <v>47515</v>
      </c>
      <c r="EX33" s="350">
        <f t="shared" ca="1" si="13"/>
        <v>47543</v>
      </c>
      <c r="EY33" s="350">
        <f t="shared" ca="1" si="13"/>
        <v>47574</v>
      </c>
      <c r="EZ33" s="350">
        <f t="shared" ca="1" si="13"/>
        <v>47604</v>
      </c>
      <c r="FA33" s="350">
        <f t="shared" ca="1" si="13"/>
        <v>47635</v>
      </c>
      <c r="FB33" s="350">
        <f t="shared" ca="1" si="13"/>
        <v>47665</v>
      </c>
      <c r="FC33" s="350">
        <f t="shared" ca="1" si="13"/>
        <v>47696</v>
      </c>
      <c r="FD33" s="350">
        <f t="shared" ca="1" si="13"/>
        <v>47727</v>
      </c>
      <c r="FE33" s="350">
        <f t="shared" ca="1" si="13"/>
        <v>47757</v>
      </c>
      <c r="FF33" s="350">
        <f t="shared" ca="1" si="13"/>
        <v>47788</v>
      </c>
      <c r="FG33" s="350">
        <f t="shared" ca="1" si="13"/>
        <v>47818</v>
      </c>
      <c r="FH33" s="350">
        <f t="shared" ca="1" si="13"/>
        <v>47849</v>
      </c>
      <c r="FI33" s="350">
        <f t="shared" ca="1" si="13"/>
        <v>47880</v>
      </c>
      <c r="FJ33" s="350">
        <f t="shared" ca="1" si="13"/>
        <v>47908</v>
      </c>
      <c r="FK33" s="350">
        <f t="shared" ca="1" si="13"/>
        <v>47939</v>
      </c>
      <c r="FL33" s="350">
        <f t="shared" ca="1" si="13"/>
        <v>47969</v>
      </c>
      <c r="FM33" s="350">
        <f t="shared" ca="1" si="13"/>
        <v>48000</v>
      </c>
      <c r="FN33" s="350">
        <f t="shared" ca="1" si="13"/>
        <v>48030</v>
      </c>
      <c r="FO33" s="350">
        <f t="shared" ca="1" si="13"/>
        <v>48061</v>
      </c>
      <c r="FP33" s="350">
        <f t="shared" ca="1" si="13"/>
        <v>48092</v>
      </c>
      <c r="FQ33" s="350">
        <f t="shared" ca="1" si="13"/>
        <v>48122</v>
      </c>
      <c r="FR33" s="350">
        <f t="shared" ca="1" si="13"/>
        <v>48153</v>
      </c>
      <c r="FS33" s="350">
        <f t="shared" ca="1" si="13"/>
        <v>48183</v>
      </c>
      <c r="FT33" s="350">
        <f t="shared" ca="1" si="13"/>
        <v>48214</v>
      </c>
      <c r="FU33" s="350">
        <f t="shared" ca="1" si="13"/>
        <v>48245</v>
      </c>
      <c r="FV33" s="350">
        <f t="shared" ca="1" si="13"/>
        <v>48274</v>
      </c>
      <c r="FW33" s="350">
        <f t="shared" ca="1" si="13"/>
        <v>48305</v>
      </c>
      <c r="FX33" s="350">
        <f t="shared" ca="1" si="13"/>
        <v>48335</v>
      </c>
      <c r="FY33" s="350">
        <f t="shared" ca="1" si="13"/>
        <v>48366</v>
      </c>
      <c r="FZ33" s="350">
        <f t="shared" ca="1" si="13"/>
        <v>48396</v>
      </c>
      <c r="GA33" s="351">
        <f t="shared" ca="1" si="13"/>
        <v>48427</v>
      </c>
    </row>
    <row r="34" spans="1:183" x14ac:dyDescent="0.15">
      <c r="A34" s="427"/>
      <c r="B34" s="48"/>
      <c r="C34" s="428"/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352"/>
      <c r="AK34" s="352"/>
      <c r="AL34" s="352"/>
      <c r="AM34" s="352"/>
      <c r="AN34" s="352"/>
      <c r="AO34" s="352"/>
      <c r="AP34" s="352"/>
      <c r="AQ34" s="352"/>
      <c r="AR34" s="352"/>
      <c r="AS34" s="352"/>
      <c r="AT34" s="352"/>
      <c r="AU34" s="352"/>
      <c r="AV34" s="352"/>
      <c r="AW34" s="352"/>
      <c r="AX34" s="352"/>
      <c r="AY34" s="352"/>
      <c r="AZ34" s="352"/>
      <c r="BA34" s="352"/>
      <c r="BB34" s="352"/>
      <c r="BC34" s="352"/>
      <c r="BD34" s="352"/>
      <c r="BE34" s="352"/>
      <c r="BF34" s="352"/>
      <c r="BG34" s="352"/>
      <c r="BH34" s="352"/>
      <c r="BI34" s="352"/>
      <c r="BJ34" s="352"/>
      <c r="BK34" s="352"/>
      <c r="BL34" s="352"/>
      <c r="BM34" s="352"/>
      <c r="BN34" s="352"/>
      <c r="BO34" s="352"/>
      <c r="BP34" s="352"/>
      <c r="BQ34" s="352"/>
      <c r="BR34" s="352"/>
      <c r="BS34" s="352"/>
      <c r="BT34" s="352"/>
      <c r="BU34" s="352"/>
      <c r="BV34" s="352"/>
      <c r="BW34" s="352"/>
      <c r="BX34" s="352"/>
      <c r="BY34" s="352"/>
      <c r="BZ34" s="352"/>
      <c r="CA34" s="352"/>
      <c r="CB34" s="352"/>
      <c r="CC34" s="352"/>
      <c r="CD34" s="352"/>
      <c r="CE34" s="352"/>
      <c r="CF34" s="352"/>
      <c r="CG34" s="352"/>
      <c r="CH34" s="352"/>
      <c r="CI34" s="352"/>
      <c r="CJ34" s="352"/>
      <c r="CK34" s="352"/>
      <c r="CL34" s="352"/>
      <c r="CM34" s="352"/>
      <c r="CN34" s="352"/>
      <c r="CO34" s="352"/>
      <c r="CP34" s="352"/>
      <c r="CQ34" s="352"/>
      <c r="CR34" s="352"/>
      <c r="CS34" s="352"/>
      <c r="CT34" s="352"/>
      <c r="CU34" s="352"/>
      <c r="CV34" s="352"/>
      <c r="CW34" s="352"/>
      <c r="CX34" s="352"/>
      <c r="CY34" s="352"/>
      <c r="CZ34" s="352"/>
      <c r="DA34" s="352"/>
      <c r="DB34" s="352"/>
      <c r="DC34" s="352"/>
      <c r="DD34" s="352"/>
      <c r="DE34" s="352"/>
      <c r="DF34" s="352"/>
      <c r="DG34" s="352"/>
      <c r="DH34" s="352"/>
      <c r="DI34" s="352"/>
      <c r="DJ34" s="352"/>
      <c r="DK34" s="352"/>
      <c r="DL34" s="352"/>
      <c r="DM34" s="352"/>
      <c r="DN34" s="352"/>
      <c r="DO34" s="352"/>
      <c r="DP34" s="352"/>
      <c r="DQ34" s="352"/>
      <c r="DR34" s="352"/>
      <c r="DS34" s="352"/>
      <c r="DT34" s="352"/>
      <c r="DU34" s="352"/>
      <c r="DV34" s="352"/>
      <c r="DW34" s="352"/>
      <c r="DX34" s="352"/>
      <c r="DY34" s="352"/>
      <c r="DZ34" s="352"/>
      <c r="EA34" s="352"/>
      <c r="EB34" s="352"/>
      <c r="EC34" s="352"/>
      <c r="ED34" s="352"/>
      <c r="EE34" s="352"/>
      <c r="EF34" s="352"/>
      <c r="EG34" s="352"/>
      <c r="EH34" s="352"/>
      <c r="EI34" s="352"/>
      <c r="EJ34" s="352"/>
      <c r="EK34" s="352"/>
      <c r="EL34" s="352"/>
      <c r="EM34" s="352"/>
      <c r="EN34" s="352"/>
      <c r="EO34" s="352"/>
      <c r="EP34" s="352"/>
      <c r="EQ34" s="352"/>
      <c r="ER34" s="352"/>
      <c r="ES34" s="352"/>
      <c r="ET34" s="352"/>
      <c r="EU34" s="352"/>
      <c r="EV34" s="352"/>
      <c r="EW34" s="352"/>
      <c r="EX34" s="352"/>
      <c r="EY34" s="352"/>
      <c r="EZ34" s="352"/>
      <c r="FA34" s="352"/>
      <c r="FB34" s="352"/>
      <c r="FC34" s="352"/>
      <c r="FD34" s="352"/>
      <c r="FE34" s="352"/>
      <c r="FF34" s="352"/>
      <c r="FG34" s="352"/>
      <c r="FH34" s="352"/>
      <c r="FI34" s="352"/>
      <c r="FJ34" s="352"/>
      <c r="FK34" s="352"/>
      <c r="FL34" s="352"/>
      <c r="FM34" s="352"/>
      <c r="FN34" s="352"/>
      <c r="FO34" s="352"/>
      <c r="FP34" s="352"/>
      <c r="FQ34" s="352"/>
      <c r="FR34" s="352"/>
      <c r="FS34" s="352"/>
      <c r="FT34" s="352"/>
      <c r="FU34" s="352"/>
      <c r="FV34" s="352"/>
      <c r="FW34" s="352"/>
      <c r="FX34" s="352"/>
      <c r="FY34" s="352"/>
      <c r="FZ34" s="352"/>
      <c r="GA34" s="352"/>
    </row>
    <row r="35" spans="1:183" x14ac:dyDescent="0.15">
      <c r="A35" s="342" t="s">
        <v>401</v>
      </c>
      <c r="C35" s="353">
        <f>HLOOKUP(C$32,$C$21:$W$27,2,FALSE)</f>
        <v>0</v>
      </c>
      <c r="D35" s="354">
        <f t="shared" ref="D35:BO35" si="14">HLOOKUP(D$32,$C$21:$W$27,2,FALSE)/12</f>
        <v>0</v>
      </c>
      <c r="E35" s="354">
        <f t="shared" si="14"/>
        <v>0</v>
      </c>
      <c r="F35" s="354">
        <f t="shared" si="14"/>
        <v>0</v>
      </c>
      <c r="G35" s="354">
        <f t="shared" si="14"/>
        <v>0</v>
      </c>
      <c r="H35" s="354">
        <f t="shared" si="14"/>
        <v>0</v>
      </c>
      <c r="I35" s="354">
        <f t="shared" si="14"/>
        <v>0</v>
      </c>
      <c r="J35" s="354">
        <f t="shared" si="14"/>
        <v>0</v>
      </c>
      <c r="K35" s="354">
        <f t="shared" si="14"/>
        <v>0</v>
      </c>
      <c r="L35" s="354">
        <f t="shared" si="14"/>
        <v>0</v>
      </c>
      <c r="M35" s="354">
        <f t="shared" si="14"/>
        <v>0</v>
      </c>
      <c r="N35" s="354">
        <f t="shared" si="14"/>
        <v>0</v>
      </c>
      <c r="O35" s="354">
        <f t="shared" si="14"/>
        <v>0</v>
      </c>
      <c r="P35" s="354">
        <f t="shared" si="14"/>
        <v>0</v>
      </c>
      <c r="Q35" s="354">
        <f t="shared" si="14"/>
        <v>0</v>
      </c>
      <c r="R35" s="354">
        <f t="shared" si="14"/>
        <v>0</v>
      </c>
      <c r="S35" s="354">
        <f t="shared" si="14"/>
        <v>0</v>
      </c>
      <c r="T35" s="354">
        <f t="shared" si="14"/>
        <v>0</v>
      </c>
      <c r="U35" s="354">
        <f t="shared" si="14"/>
        <v>0</v>
      </c>
      <c r="V35" s="354">
        <f t="shared" si="14"/>
        <v>0</v>
      </c>
      <c r="W35" s="354">
        <f t="shared" si="14"/>
        <v>0</v>
      </c>
      <c r="X35" s="354">
        <f t="shared" si="14"/>
        <v>0</v>
      </c>
      <c r="Y35" s="354">
        <f t="shared" si="14"/>
        <v>0</v>
      </c>
      <c r="Z35" s="354">
        <f t="shared" si="14"/>
        <v>0</v>
      </c>
      <c r="AA35" s="354">
        <f t="shared" si="14"/>
        <v>0</v>
      </c>
      <c r="AB35" s="354">
        <f t="shared" si="14"/>
        <v>0</v>
      </c>
      <c r="AC35" s="354">
        <f t="shared" si="14"/>
        <v>0</v>
      </c>
      <c r="AD35" s="354">
        <f t="shared" si="14"/>
        <v>0</v>
      </c>
      <c r="AE35" s="354">
        <f t="shared" si="14"/>
        <v>0</v>
      </c>
      <c r="AF35" s="354">
        <f t="shared" si="14"/>
        <v>0</v>
      </c>
      <c r="AG35" s="354">
        <f t="shared" si="14"/>
        <v>0</v>
      </c>
      <c r="AH35" s="354">
        <f t="shared" si="14"/>
        <v>0</v>
      </c>
      <c r="AI35" s="354">
        <f t="shared" si="14"/>
        <v>0</v>
      </c>
      <c r="AJ35" s="354">
        <f t="shared" si="14"/>
        <v>0</v>
      </c>
      <c r="AK35" s="354">
        <f t="shared" si="14"/>
        <v>0</v>
      </c>
      <c r="AL35" s="354">
        <f t="shared" si="14"/>
        <v>0</v>
      </c>
      <c r="AM35" s="354">
        <f t="shared" si="14"/>
        <v>0</v>
      </c>
      <c r="AN35" s="354">
        <f t="shared" si="14"/>
        <v>0</v>
      </c>
      <c r="AO35" s="354">
        <f t="shared" si="14"/>
        <v>0</v>
      </c>
      <c r="AP35" s="354">
        <f t="shared" si="14"/>
        <v>0</v>
      </c>
      <c r="AQ35" s="354">
        <f t="shared" si="14"/>
        <v>0</v>
      </c>
      <c r="AR35" s="354">
        <f t="shared" si="14"/>
        <v>0</v>
      </c>
      <c r="AS35" s="354">
        <f t="shared" si="14"/>
        <v>0</v>
      </c>
      <c r="AT35" s="354">
        <f t="shared" si="14"/>
        <v>0</v>
      </c>
      <c r="AU35" s="354">
        <f t="shared" si="14"/>
        <v>0</v>
      </c>
      <c r="AV35" s="354">
        <f t="shared" si="14"/>
        <v>0</v>
      </c>
      <c r="AW35" s="354">
        <f t="shared" si="14"/>
        <v>0</v>
      </c>
      <c r="AX35" s="354">
        <f t="shared" si="14"/>
        <v>0</v>
      </c>
      <c r="AY35" s="354">
        <f t="shared" si="14"/>
        <v>0</v>
      </c>
      <c r="AZ35" s="354">
        <f t="shared" si="14"/>
        <v>0</v>
      </c>
      <c r="BA35" s="354">
        <f t="shared" si="14"/>
        <v>0</v>
      </c>
      <c r="BB35" s="354">
        <f t="shared" si="14"/>
        <v>0</v>
      </c>
      <c r="BC35" s="354">
        <f t="shared" si="14"/>
        <v>0</v>
      </c>
      <c r="BD35" s="354">
        <f t="shared" si="14"/>
        <v>0</v>
      </c>
      <c r="BE35" s="354">
        <f t="shared" si="14"/>
        <v>0</v>
      </c>
      <c r="BF35" s="354">
        <f t="shared" si="14"/>
        <v>0</v>
      </c>
      <c r="BG35" s="354">
        <f t="shared" si="14"/>
        <v>0</v>
      </c>
      <c r="BH35" s="354">
        <f t="shared" si="14"/>
        <v>0</v>
      </c>
      <c r="BI35" s="354">
        <f t="shared" si="14"/>
        <v>0</v>
      </c>
      <c r="BJ35" s="354">
        <f t="shared" si="14"/>
        <v>0</v>
      </c>
      <c r="BK35" s="354">
        <f t="shared" si="14"/>
        <v>0</v>
      </c>
      <c r="BL35" s="354">
        <f t="shared" si="14"/>
        <v>0</v>
      </c>
      <c r="BM35" s="354">
        <f t="shared" si="14"/>
        <v>0</v>
      </c>
      <c r="BN35" s="354">
        <f t="shared" si="14"/>
        <v>0</v>
      </c>
      <c r="BO35" s="354">
        <f t="shared" si="14"/>
        <v>0</v>
      </c>
      <c r="BP35" s="354">
        <f t="shared" ref="BP35:EA35" si="15">HLOOKUP(BP$32,$C$21:$W$27,2,FALSE)/12</f>
        <v>0</v>
      </c>
      <c r="BQ35" s="354">
        <f t="shared" si="15"/>
        <v>0</v>
      </c>
      <c r="BR35" s="354">
        <f t="shared" si="15"/>
        <v>0</v>
      </c>
      <c r="BS35" s="354">
        <f t="shared" si="15"/>
        <v>0</v>
      </c>
      <c r="BT35" s="354">
        <f t="shared" si="15"/>
        <v>0</v>
      </c>
      <c r="BU35" s="354">
        <f t="shared" si="15"/>
        <v>0</v>
      </c>
      <c r="BV35" s="354">
        <f t="shared" si="15"/>
        <v>0</v>
      </c>
      <c r="BW35" s="354">
        <f t="shared" si="15"/>
        <v>0</v>
      </c>
      <c r="BX35" s="354">
        <f t="shared" si="15"/>
        <v>0</v>
      </c>
      <c r="BY35" s="354">
        <f t="shared" si="15"/>
        <v>0</v>
      </c>
      <c r="BZ35" s="354">
        <f t="shared" si="15"/>
        <v>0</v>
      </c>
      <c r="CA35" s="354">
        <f t="shared" si="15"/>
        <v>0</v>
      </c>
      <c r="CB35" s="354">
        <f t="shared" si="15"/>
        <v>0</v>
      </c>
      <c r="CC35" s="354">
        <f t="shared" si="15"/>
        <v>0</v>
      </c>
      <c r="CD35" s="354">
        <f t="shared" si="15"/>
        <v>0</v>
      </c>
      <c r="CE35" s="354">
        <f t="shared" si="15"/>
        <v>0</v>
      </c>
      <c r="CF35" s="354">
        <f t="shared" si="15"/>
        <v>0</v>
      </c>
      <c r="CG35" s="354">
        <f t="shared" si="15"/>
        <v>0</v>
      </c>
      <c r="CH35" s="354">
        <f t="shared" si="15"/>
        <v>0</v>
      </c>
      <c r="CI35" s="354">
        <f t="shared" si="15"/>
        <v>0</v>
      </c>
      <c r="CJ35" s="354">
        <f t="shared" si="15"/>
        <v>0</v>
      </c>
      <c r="CK35" s="354">
        <f t="shared" si="15"/>
        <v>0</v>
      </c>
      <c r="CL35" s="354">
        <f t="shared" si="15"/>
        <v>0</v>
      </c>
      <c r="CM35" s="354">
        <f t="shared" si="15"/>
        <v>0</v>
      </c>
      <c r="CN35" s="354">
        <f t="shared" si="15"/>
        <v>0</v>
      </c>
      <c r="CO35" s="354">
        <f t="shared" si="15"/>
        <v>0</v>
      </c>
      <c r="CP35" s="354">
        <f t="shared" si="15"/>
        <v>0</v>
      </c>
      <c r="CQ35" s="354">
        <f t="shared" si="15"/>
        <v>0</v>
      </c>
      <c r="CR35" s="354">
        <f t="shared" si="15"/>
        <v>0</v>
      </c>
      <c r="CS35" s="354">
        <f t="shared" si="15"/>
        <v>0</v>
      </c>
      <c r="CT35" s="354">
        <f t="shared" si="15"/>
        <v>0</v>
      </c>
      <c r="CU35" s="354">
        <f t="shared" si="15"/>
        <v>0</v>
      </c>
      <c r="CV35" s="354">
        <f t="shared" si="15"/>
        <v>0</v>
      </c>
      <c r="CW35" s="354">
        <f t="shared" si="15"/>
        <v>0</v>
      </c>
      <c r="CX35" s="354">
        <f t="shared" si="15"/>
        <v>0</v>
      </c>
      <c r="CY35" s="354">
        <f t="shared" si="15"/>
        <v>0</v>
      </c>
      <c r="CZ35" s="354">
        <f t="shared" si="15"/>
        <v>0</v>
      </c>
      <c r="DA35" s="354">
        <f t="shared" si="15"/>
        <v>0</v>
      </c>
      <c r="DB35" s="354">
        <f t="shared" si="15"/>
        <v>0</v>
      </c>
      <c r="DC35" s="354">
        <f t="shared" si="15"/>
        <v>0</v>
      </c>
      <c r="DD35" s="354">
        <f t="shared" si="15"/>
        <v>0</v>
      </c>
      <c r="DE35" s="354">
        <f t="shared" si="15"/>
        <v>0</v>
      </c>
      <c r="DF35" s="354">
        <f t="shared" si="15"/>
        <v>0</v>
      </c>
      <c r="DG35" s="354">
        <f t="shared" si="15"/>
        <v>0</v>
      </c>
      <c r="DH35" s="354">
        <f t="shared" si="15"/>
        <v>0</v>
      </c>
      <c r="DI35" s="354">
        <f t="shared" si="15"/>
        <v>0</v>
      </c>
      <c r="DJ35" s="354">
        <f t="shared" si="15"/>
        <v>0</v>
      </c>
      <c r="DK35" s="354">
        <f t="shared" si="15"/>
        <v>0</v>
      </c>
      <c r="DL35" s="354">
        <f t="shared" si="15"/>
        <v>0</v>
      </c>
      <c r="DM35" s="354">
        <f t="shared" si="15"/>
        <v>0</v>
      </c>
      <c r="DN35" s="354">
        <f t="shared" si="15"/>
        <v>0</v>
      </c>
      <c r="DO35" s="354">
        <f t="shared" si="15"/>
        <v>0</v>
      </c>
      <c r="DP35" s="354">
        <f t="shared" si="15"/>
        <v>0</v>
      </c>
      <c r="DQ35" s="354">
        <f t="shared" si="15"/>
        <v>0</v>
      </c>
      <c r="DR35" s="354">
        <f t="shared" si="15"/>
        <v>0</v>
      </c>
      <c r="DS35" s="354">
        <f t="shared" si="15"/>
        <v>0</v>
      </c>
      <c r="DT35" s="354">
        <f t="shared" si="15"/>
        <v>0</v>
      </c>
      <c r="DU35" s="354">
        <f t="shared" si="15"/>
        <v>0</v>
      </c>
      <c r="DV35" s="354">
        <f t="shared" si="15"/>
        <v>0</v>
      </c>
      <c r="DW35" s="354">
        <f t="shared" si="15"/>
        <v>0</v>
      </c>
      <c r="DX35" s="354">
        <f t="shared" si="15"/>
        <v>0</v>
      </c>
      <c r="DY35" s="354">
        <f t="shared" si="15"/>
        <v>0</v>
      </c>
      <c r="DZ35" s="354">
        <f t="shared" si="15"/>
        <v>0</v>
      </c>
      <c r="EA35" s="354">
        <f t="shared" si="15"/>
        <v>0</v>
      </c>
      <c r="EB35" s="354">
        <f t="shared" ref="EB35:GA35" si="16">HLOOKUP(EB$32,$C$21:$W$27,2,FALSE)/12</f>
        <v>0</v>
      </c>
      <c r="EC35" s="354">
        <f t="shared" si="16"/>
        <v>0</v>
      </c>
      <c r="ED35" s="354">
        <f t="shared" si="16"/>
        <v>0</v>
      </c>
      <c r="EE35" s="354">
        <f t="shared" si="16"/>
        <v>0</v>
      </c>
      <c r="EF35" s="354">
        <f t="shared" si="16"/>
        <v>0</v>
      </c>
      <c r="EG35" s="354">
        <f t="shared" si="16"/>
        <v>0</v>
      </c>
      <c r="EH35" s="354">
        <f t="shared" si="16"/>
        <v>0</v>
      </c>
      <c r="EI35" s="354">
        <f t="shared" si="16"/>
        <v>0</v>
      </c>
      <c r="EJ35" s="354">
        <f t="shared" si="16"/>
        <v>0</v>
      </c>
      <c r="EK35" s="354">
        <f t="shared" si="16"/>
        <v>0</v>
      </c>
      <c r="EL35" s="354">
        <f t="shared" si="16"/>
        <v>0</v>
      </c>
      <c r="EM35" s="354">
        <f t="shared" si="16"/>
        <v>0</v>
      </c>
      <c r="EN35" s="354">
        <f t="shared" si="16"/>
        <v>0</v>
      </c>
      <c r="EO35" s="354">
        <f t="shared" si="16"/>
        <v>0</v>
      </c>
      <c r="EP35" s="354">
        <f t="shared" si="16"/>
        <v>0</v>
      </c>
      <c r="EQ35" s="354">
        <f t="shared" si="16"/>
        <v>0</v>
      </c>
      <c r="ER35" s="354">
        <f t="shared" si="16"/>
        <v>0</v>
      </c>
      <c r="ES35" s="354">
        <f t="shared" si="16"/>
        <v>0</v>
      </c>
      <c r="ET35" s="354">
        <f t="shared" si="16"/>
        <v>0</v>
      </c>
      <c r="EU35" s="354">
        <f t="shared" si="16"/>
        <v>0</v>
      </c>
      <c r="EV35" s="354">
        <f t="shared" si="16"/>
        <v>0</v>
      </c>
      <c r="EW35" s="354">
        <f t="shared" si="16"/>
        <v>0</v>
      </c>
      <c r="EX35" s="354">
        <f t="shared" si="16"/>
        <v>0</v>
      </c>
      <c r="EY35" s="354">
        <f t="shared" si="16"/>
        <v>0</v>
      </c>
      <c r="EZ35" s="354">
        <f t="shared" si="16"/>
        <v>0</v>
      </c>
      <c r="FA35" s="354">
        <f t="shared" si="16"/>
        <v>0</v>
      </c>
      <c r="FB35" s="354">
        <f t="shared" si="16"/>
        <v>0</v>
      </c>
      <c r="FC35" s="354">
        <f t="shared" si="16"/>
        <v>0</v>
      </c>
      <c r="FD35" s="354">
        <f t="shared" si="16"/>
        <v>0</v>
      </c>
      <c r="FE35" s="354">
        <f t="shared" si="16"/>
        <v>0</v>
      </c>
      <c r="FF35" s="354">
        <f t="shared" si="16"/>
        <v>0</v>
      </c>
      <c r="FG35" s="354">
        <f t="shared" si="16"/>
        <v>0</v>
      </c>
      <c r="FH35" s="354">
        <f t="shared" si="16"/>
        <v>0</v>
      </c>
      <c r="FI35" s="354">
        <f t="shared" si="16"/>
        <v>0</v>
      </c>
      <c r="FJ35" s="354">
        <f t="shared" si="16"/>
        <v>0</v>
      </c>
      <c r="FK35" s="354">
        <f t="shared" si="16"/>
        <v>0</v>
      </c>
      <c r="FL35" s="354">
        <f t="shared" si="16"/>
        <v>0</v>
      </c>
      <c r="FM35" s="354">
        <f t="shared" si="16"/>
        <v>0</v>
      </c>
      <c r="FN35" s="354">
        <f t="shared" si="16"/>
        <v>0</v>
      </c>
      <c r="FO35" s="354">
        <f t="shared" si="16"/>
        <v>0</v>
      </c>
      <c r="FP35" s="354">
        <f t="shared" si="16"/>
        <v>0</v>
      </c>
      <c r="FQ35" s="354">
        <f t="shared" si="16"/>
        <v>0</v>
      </c>
      <c r="FR35" s="354">
        <f t="shared" si="16"/>
        <v>0</v>
      </c>
      <c r="FS35" s="354">
        <f t="shared" si="16"/>
        <v>0</v>
      </c>
      <c r="FT35" s="354">
        <f t="shared" si="16"/>
        <v>0</v>
      </c>
      <c r="FU35" s="354">
        <f t="shared" si="16"/>
        <v>0</v>
      </c>
      <c r="FV35" s="354">
        <f t="shared" si="16"/>
        <v>0</v>
      </c>
      <c r="FW35" s="354">
        <f t="shared" si="16"/>
        <v>0</v>
      </c>
      <c r="FX35" s="354">
        <f t="shared" si="16"/>
        <v>0</v>
      </c>
      <c r="FY35" s="354">
        <f t="shared" si="16"/>
        <v>0</v>
      </c>
      <c r="FZ35" s="354">
        <f t="shared" si="16"/>
        <v>0</v>
      </c>
      <c r="GA35" s="355">
        <f t="shared" si="16"/>
        <v>0</v>
      </c>
    </row>
    <row r="36" spans="1:183" x14ac:dyDescent="0.15">
      <c r="A36" s="346" t="s">
        <v>406</v>
      </c>
      <c r="C36" s="356">
        <f>HLOOKUP(C$32,$C$21:$W$27,7,FALSE)</f>
        <v>0</v>
      </c>
      <c r="D36" s="61">
        <f t="shared" ref="D36:BO36" si="17">HLOOKUP(D$32,$C$21:$W$27,7,FALSE)/12</f>
        <v>0</v>
      </c>
      <c r="E36" s="61">
        <f t="shared" si="17"/>
        <v>0</v>
      </c>
      <c r="F36" s="61">
        <f t="shared" si="17"/>
        <v>0</v>
      </c>
      <c r="G36" s="61">
        <f t="shared" si="17"/>
        <v>0</v>
      </c>
      <c r="H36" s="61">
        <f t="shared" si="17"/>
        <v>0</v>
      </c>
      <c r="I36" s="61">
        <f t="shared" si="17"/>
        <v>0</v>
      </c>
      <c r="J36" s="61">
        <f t="shared" si="17"/>
        <v>0</v>
      </c>
      <c r="K36" s="61">
        <f t="shared" si="17"/>
        <v>0</v>
      </c>
      <c r="L36" s="61">
        <f t="shared" si="17"/>
        <v>0</v>
      </c>
      <c r="M36" s="61">
        <f t="shared" si="17"/>
        <v>0</v>
      </c>
      <c r="N36" s="61">
        <f t="shared" si="17"/>
        <v>0</v>
      </c>
      <c r="O36" s="61">
        <f t="shared" si="17"/>
        <v>0</v>
      </c>
      <c r="P36" s="61">
        <f t="shared" si="17"/>
        <v>0</v>
      </c>
      <c r="Q36" s="61">
        <f t="shared" si="17"/>
        <v>0</v>
      </c>
      <c r="R36" s="61">
        <f t="shared" si="17"/>
        <v>0</v>
      </c>
      <c r="S36" s="61">
        <f t="shared" si="17"/>
        <v>0</v>
      </c>
      <c r="T36" s="61">
        <f t="shared" si="17"/>
        <v>0</v>
      </c>
      <c r="U36" s="61">
        <f t="shared" si="17"/>
        <v>0</v>
      </c>
      <c r="V36" s="61">
        <f t="shared" si="17"/>
        <v>0</v>
      </c>
      <c r="W36" s="61">
        <f t="shared" si="17"/>
        <v>0</v>
      </c>
      <c r="X36" s="61">
        <f t="shared" si="17"/>
        <v>0</v>
      </c>
      <c r="Y36" s="61">
        <f t="shared" si="17"/>
        <v>0</v>
      </c>
      <c r="Z36" s="61">
        <f t="shared" si="17"/>
        <v>0</v>
      </c>
      <c r="AA36" s="61">
        <f t="shared" si="17"/>
        <v>0</v>
      </c>
      <c r="AB36" s="61">
        <f t="shared" si="17"/>
        <v>0</v>
      </c>
      <c r="AC36" s="61">
        <f t="shared" si="17"/>
        <v>0</v>
      </c>
      <c r="AD36" s="61">
        <f t="shared" si="17"/>
        <v>0</v>
      </c>
      <c r="AE36" s="61">
        <f t="shared" si="17"/>
        <v>0</v>
      </c>
      <c r="AF36" s="61">
        <f t="shared" si="17"/>
        <v>0</v>
      </c>
      <c r="AG36" s="61">
        <f t="shared" si="17"/>
        <v>0</v>
      </c>
      <c r="AH36" s="61">
        <f t="shared" si="17"/>
        <v>0</v>
      </c>
      <c r="AI36" s="61">
        <f t="shared" si="17"/>
        <v>0</v>
      </c>
      <c r="AJ36" s="61">
        <f t="shared" si="17"/>
        <v>0</v>
      </c>
      <c r="AK36" s="61">
        <f t="shared" si="17"/>
        <v>0</v>
      </c>
      <c r="AL36" s="61">
        <f t="shared" si="17"/>
        <v>0</v>
      </c>
      <c r="AM36" s="61">
        <f t="shared" si="17"/>
        <v>0</v>
      </c>
      <c r="AN36" s="61">
        <f t="shared" si="17"/>
        <v>0</v>
      </c>
      <c r="AO36" s="61">
        <f t="shared" si="17"/>
        <v>0</v>
      </c>
      <c r="AP36" s="61">
        <f t="shared" si="17"/>
        <v>0</v>
      </c>
      <c r="AQ36" s="61">
        <f t="shared" si="17"/>
        <v>0</v>
      </c>
      <c r="AR36" s="61">
        <f t="shared" si="17"/>
        <v>0</v>
      </c>
      <c r="AS36" s="61">
        <f t="shared" si="17"/>
        <v>0</v>
      </c>
      <c r="AT36" s="61">
        <f t="shared" si="17"/>
        <v>0</v>
      </c>
      <c r="AU36" s="61">
        <f t="shared" si="17"/>
        <v>0</v>
      </c>
      <c r="AV36" s="61">
        <f t="shared" si="17"/>
        <v>0</v>
      </c>
      <c r="AW36" s="61">
        <f t="shared" si="17"/>
        <v>0</v>
      </c>
      <c r="AX36" s="61">
        <f t="shared" si="17"/>
        <v>0</v>
      </c>
      <c r="AY36" s="61">
        <f t="shared" si="17"/>
        <v>0</v>
      </c>
      <c r="AZ36" s="61">
        <f t="shared" si="17"/>
        <v>0</v>
      </c>
      <c r="BA36" s="61">
        <f t="shared" si="17"/>
        <v>0</v>
      </c>
      <c r="BB36" s="61">
        <f t="shared" si="17"/>
        <v>0</v>
      </c>
      <c r="BC36" s="61">
        <f t="shared" si="17"/>
        <v>0</v>
      </c>
      <c r="BD36" s="61">
        <f t="shared" si="17"/>
        <v>0</v>
      </c>
      <c r="BE36" s="61">
        <f t="shared" si="17"/>
        <v>0</v>
      </c>
      <c r="BF36" s="61">
        <f t="shared" si="17"/>
        <v>0</v>
      </c>
      <c r="BG36" s="61">
        <f t="shared" si="17"/>
        <v>0</v>
      </c>
      <c r="BH36" s="61">
        <f t="shared" si="17"/>
        <v>0</v>
      </c>
      <c r="BI36" s="61">
        <f t="shared" si="17"/>
        <v>0</v>
      </c>
      <c r="BJ36" s="61">
        <f t="shared" si="17"/>
        <v>0</v>
      </c>
      <c r="BK36" s="61">
        <f t="shared" si="17"/>
        <v>0</v>
      </c>
      <c r="BL36" s="61">
        <f t="shared" si="17"/>
        <v>0</v>
      </c>
      <c r="BM36" s="61">
        <f t="shared" si="17"/>
        <v>0</v>
      </c>
      <c r="BN36" s="61">
        <f t="shared" si="17"/>
        <v>0</v>
      </c>
      <c r="BO36" s="61">
        <f t="shared" si="17"/>
        <v>0</v>
      </c>
      <c r="BP36" s="61">
        <f t="shared" ref="BP36:EA36" si="18">HLOOKUP(BP$32,$C$21:$W$27,7,FALSE)/12</f>
        <v>0</v>
      </c>
      <c r="BQ36" s="61">
        <f t="shared" si="18"/>
        <v>0</v>
      </c>
      <c r="BR36" s="61">
        <f t="shared" si="18"/>
        <v>0</v>
      </c>
      <c r="BS36" s="61">
        <f t="shared" si="18"/>
        <v>0</v>
      </c>
      <c r="BT36" s="61">
        <f t="shared" si="18"/>
        <v>0</v>
      </c>
      <c r="BU36" s="61">
        <f t="shared" si="18"/>
        <v>0</v>
      </c>
      <c r="BV36" s="61">
        <f t="shared" si="18"/>
        <v>0</v>
      </c>
      <c r="BW36" s="61">
        <f t="shared" si="18"/>
        <v>0</v>
      </c>
      <c r="BX36" s="61">
        <f t="shared" si="18"/>
        <v>0</v>
      </c>
      <c r="BY36" s="61">
        <f t="shared" si="18"/>
        <v>0</v>
      </c>
      <c r="BZ36" s="61">
        <f t="shared" si="18"/>
        <v>0</v>
      </c>
      <c r="CA36" s="61">
        <f t="shared" si="18"/>
        <v>0</v>
      </c>
      <c r="CB36" s="61">
        <f t="shared" si="18"/>
        <v>0</v>
      </c>
      <c r="CC36" s="61">
        <f t="shared" si="18"/>
        <v>0</v>
      </c>
      <c r="CD36" s="61">
        <f t="shared" si="18"/>
        <v>0</v>
      </c>
      <c r="CE36" s="61">
        <f t="shared" si="18"/>
        <v>0</v>
      </c>
      <c r="CF36" s="61">
        <f t="shared" si="18"/>
        <v>0</v>
      </c>
      <c r="CG36" s="61">
        <f t="shared" si="18"/>
        <v>0</v>
      </c>
      <c r="CH36" s="61">
        <f t="shared" si="18"/>
        <v>0</v>
      </c>
      <c r="CI36" s="61">
        <f t="shared" si="18"/>
        <v>0</v>
      </c>
      <c r="CJ36" s="61">
        <f t="shared" si="18"/>
        <v>0</v>
      </c>
      <c r="CK36" s="61">
        <f t="shared" si="18"/>
        <v>0</v>
      </c>
      <c r="CL36" s="61">
        <f t="shared" si="18"/>
        <v>0</v>
      </c>
      <c r="CM36" s="61">
        <f t="shared" si="18"/>
        <v>0</v>
      </c>
      <c r="CN36" s="61">
        <f t="shared" si="18"/>
        <v>0</v>
      </c>
      <c r="CO36" s="61">
        <f t="shared" si="18"/>
        <v>0</v>
      </c>
      <c r="CP36" s="61">
        <f t="shared" si="18"/>
        <v>0</v>
      </c>
      <c r="CQ36" s="61">
        <f t="shared" si="18"/>
        <v>0</v>
      </c>
      <c r="CR36" s="61">
        <f t="shared" si="18"/>
        <v>0</v>
      </c>
      <c r="CS36" s="61">
        <f t="shared" si="18"/>
        <v>0</v>
      </c>
      <c r="CT36" s="61">
        <f t="shared" si="18"/>
        <v>0</v>
      </c>
      <c r="CU36" s="61">
        <f t="shared" si="18"/>
        <v>0</v>
      </c>
      <c r="CV36" s="61">
        <f t="shared" si="18"/>
        <v>0</v>
      </c>
      <c r="CW36" s="61">
        <f t="shared" si="18"/>
        <v>0</v>
      </c>
      <c r="CX36" s="61">
        <f t="shared" si="18"/>
        <v>0</v>
      </c>
      <c r="CY36" s="61">
        <f t="shared" si="18"/>
        <v>0</v>
      </c>
      <c r="CZ36" s="61">
        <f t="shared" si="18"/>
        <v>0</v>
      </c>
      <c r="DA36" s="61">
        <f t="shared" si="18"/>
        <v>0</v>
      </c>
      <c r="DB36" s="61">
        <f t="shared" si="18"/>
        <v>0</v>
      </c>
      <c r="DC36" s="61">
        <f t="shared" si="18"/>
        <v>0</v>
      </c>
      <c r="DD36" s="61">
        <f t="shared" si="18"/>
        <v>0</v>
      </c>
      <c r="DE36" s="61">
        <f t="shared" si="18"/>
        <v>0</v>
      </c>
      <c r="DF36" s="61">
        <f t="shared" si="18"/>
        <v>0</v>
      </c>
      <c r="DG36" s="61">
        <f t="shared" si="18"/>
        <v>0</v>
      </c>
      <c r="DH36" s="61">
        <f t="shared" si="18"/>
        <v>0</v>
      </c>
      <c r="DI36" s="61">
        <f t="shared" si="18"/>
        <v>0</v>
      </c>
      <c r="DJ36" s="61">
        <f t="shared" si="18"/>
        <v>0</v>
      </c>
      <c r="DK36" s="61">
        <f t="shared" si="18"/>
        <v>0</v>
      </c>
      <c r="DL36" s="61">
        <f t="shared" si="18"/>
        <v>0</v>
      </c>
      <c r="DM36" s="61">
        <f t="shared" si="18"/>
        <v>0</v>
      </c>
      <c r="DN36" s="61">
        <f t="shared" si="18"/>
        <v>0</v>
      </c>
      <c r="DO36" s="61">
        <f t="shared" si="18"/>
        <v>0</v>
      </c>
      <c r="DP36" s="61">
        <f t="shared" si="18"/>
        <v>0</v>
      </c>
      <c r="DQ36" s="61">
        <f t="shared" si="18"/>
        <v>0</v>
      </c>
      <c r="DR36" s="61">
        <f t="shared" si="18"/>
        <v>0</v>
      </c>
      <c r="DS36" s="61">
        <f t="shared" si="18"/>
        <v>0</v>
      </c>
      <c r="DT36" s="61">
        <f t="shared" si="18"/>
        <v>0</v>
      </c>
      <c r="DU36" s="61">
        <f t="shared" si="18"/>
        <v>0</v>
      </c>
      <c r="DV36" s="61">
        <f t="shared" si="18"/>
        <v>0</v>
      </c>
      <c r="DW36" s="61">
        <f t="shared" si="18"/>
        <v>0</v>
      </c>
      <c r="DX36" s="61">
        <f t="shared" si="18"/>
        <v>0</v>
      </c>
      <c r="DY36" s="61">
        <f t="shared" si="18"/>
        <v>0</v>
      </c>
      <c r="DZ36" s="61">
        <f t="shared" si="18"/>
        <v>0</v>
      </c>
      <c r="EA36" s="61">
        <f t="shared" si="18"/>
        <v>0</v>
      </c>
      <c r="EB36" s="61">
        <f t="shared" ref="EB36:GA36" si="19">HLOOKUP(EB$32,$C$21:$W$27,7,FALSE)/12</f>
        <v>0</v>
      </c>
      <c r="EC36" s="61">
        <f t="shared" si="19"/>
        <v>0</v>
      </c>
      <c r="ED36" s="61">
        <f t="shared" si="19"/>
        <v>0</v>
      </c>
      <c r="EE36" s="61">
        <f t="shared" si="19"/>
        <v>0</v>
      </c>
      <c r="EF36" s="61">
        <f t="shared" si="19"/>
        <v>0</v>
      </c>
      <c r="EG36" s="61">
        <f t="shared" si="19"/>
        <v>0</v>
      </c>
      <c r="EH36" s="61">
        <f t="shared" si="19"/>
        <v>0</v>
      </c>
      <c r="EI36" s="61">
        <f t="shared" si="19"/>
        <v>0</v>
      </c>
      <c r="EJ36" s="61">
        <f t="shared" si="19"/>
        <v>0</v>
      </c>
      <c r="EK36" s="61">
        <f t="shared" si="19"/>
        <v>0</v>
      </c>
      <c r="EL36" s="61">
        <f t="shared" si="19"/>
        <v>0</v>
      </c>
      <c r="EM36" s="61">
        <f t="shared" si="19"/>
        <v>0</v>
      </c>
      <c r="EN36" s="61">
        <f t="shared" si="19"/>
        <v>0</v>
      </c>
      <c r="EO36" s="61">
        <f t="shared" si="19"/>
        <v>0</v>
      </c>
      <c r="EP36" s="61">
        <f t="shared" si="19"/>
        <v>0</v>
      </c>
      <c r="EQ36" s="61">
        <f t="shared" si="19"/>
        <v>0</v>
      </c>
      <c r="ER36" s="61">
        <f t="shared" si="19"/>
        <v>0</v>
      </c>
      <c r="ES36" s="61">
        <f t="shared" si="19"/>
        <v>0</v>
      </c>
      <c r="ET36" s="61">
        <f t="shared" si="19"/>
        <v>0</v>
      </c>
      <c r="EU36" s="61">
        <f t="shared" si="19"/>
        <v>0</v>
      </c>
      <c r="EV36" s="61">
        <f t="shared" si="19"/>
        <v>0</v>
      </c>
      <c r="EW36" s="61">
        <f t="shared" si="19"/>
        <v>0</v>
      </c>
      <c r="EX36" s="61">
        <f t="shared" si="19"/>
        <v>0</v>
      </c>
      <c r="EY36" s="61">
        <f t="shared" si="19"/>
        <v>0</v>
      </c>
      <c r="EZ36" s="61">
        <f t="shared" si="19"/>
        <v>0</v>
      </c>
      <c r="FA36" s="61">
        <f t="shared" si="19"/>
        <v>0</v>
      </c>
      <c r="FB36" s="61">
        <f t="shared" si="19"/>
        <v>0</v>
      </c>
      <c r="FC36" s="61">
        <f t="shared" si="19"/>
        <v>0</v>
      </c>
      <c r="FD36" s="61">
        <f t="shared" si="19"/>
        <v>0</v>
      </c>
      <c r="FE36" s="61">
        <f t="shared" si="19"/>
        <v>0</v>
      </c>
      <c r="FF36" s="61">
        <f t="shared" si="19"/>
        <v>0</v>
      </c>
      <c r="FG36" s="61">
        <f t="shared" si="19"/>
        <v>0</v>
      </c>
      <c r="FH36" s="61">
        <f t="shared" si="19"/>
        <v>0</v>
      </c>
      <c r="FI36" s="61">
        <f t="shared" si="19"/>
        <v>0</v>
      </c>
      <c r="FJ36" s="61">
        <f t="shared" si="19"/>
        <v>0</v>
      </c>
      <c r="FK36" s="61">
        <f t="shared" si="19"/>
        <v>0</v>
      </c>
      <c r="FL36" s="61">
        <f t="shared" si="19"/>
        <v>0</v>
      </c>
      <c r="FM36" s="61">
        <f t="shared" si="19"/>
        <v>0</v>
      </c>
      <c r="FN36" s="61">
        <f t="shared" si="19"/>
        <v>0</v>
      </c>
      <c r="FO36" s="61">
        <f t="shared" si="19"/>
        <v>0</v>
      </c>
      <c r="FP36" s="61">
        <f t="shared" si="19"/>
        <v>0</v>
      </c>
      <c r="FQ36" s="61">
        <f t="shared" si="19"/>
        <v>0</v>
      </c>
      <c r="FR36" s="61">
        <f t="shared" si="19"/>
        <v>0</v>
      </c>
      <c r="FS36" s="61">
        <f t="shared" si="19"/>
        <v>0</v>
      </c>
      <c r="FT36" s="61">
        <f t="shared" si="19"/>
        <v>0</v>
      </c>
      <c r="FU36" s="61">
        <f t="shared" si="19"/>
        <v>0</v>
      </c>
      <c r="FV36" s="61">
        <f t="shared" si="19"/>
        <v>0</v>
      </c>
      <c r="FW36" s="61">
        <f t="shared" si="19"/>
        <v>0</v>
      </c>
      <c r="FX36" s="61">
        <f t="shared" si="19"/>
        <v>0</v>
      </c>
      <c r="FY36" s="61">
        <f t="shared" si="19"/>
        <v>0</v>
      </c>
      <c r="FZ36" s="61">
        <f t="shared" si="19"/>
        <v>0</v>
      </c>
      <c r="GA36" s="357">
        <f t="shared" si="19"/>
        <v>0</v>
      </c>
    </row>
    <row r="37" spans="1:183" x14ac:dyDescent="0.15">
      <c r="A37" s="358"/>
      <c r="C37" s="313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/>
      <c r="BE37" s="85"/>
      <c r="BF37" s="85"/>
      <c r="BG37" s="85"/>
      <c r="BH37" s="85"/>
      <c r="BI37" s="85"/>
      <c r="BJ37" s="85"/>
      <c r="BK37" s="85"/>
      <c r="BL37" s="85"/>
      <c r="BM37" s="85"/>
      <c r="BN37" s="85"/>
      <c r="BO37" s="85"/>
      <c r="BP37" s="85"/>
      <c r="BQ37" s="85"/>
      <c r="BR37" s="85"/>
      <c r="BS37" s="85"/>
      <c r="BT37" s="85"/>
      <c r="BU37" s="85"/>
      <c r="BV37" s="85"/>
      <c r="BW37" s="85"/>
      <c r="BX37" s="85"/>
      <c r="BY37" s="85"/>
      <c r="BZ37" s="85"/>
      <c r="CA37" s="85"/>
      <c r="CB37" s="85"/>
      <c r="CC37" s="85"/>
      <c r="CD37" s="85"/>
      <c r="CE37" s="85"/>
      <c r="CF37" s="85"/>
      <c r="CG37" s="85"/>
      <c r="CH37" s="85"/>
      <c r="CI37" s="85"/>
      <c r="CJ37" s="85"/>
      <c r="CK37" s="85"/>
      <c r="CL37" s="85"/>
      <c r="CM37" s="85"/>
      <c r="CN37" s="85"/>
      <c r="CO37" s="85"/>
      <c r="CP37" s="85"/>
      <c r="CQ37" s="85"/>
      <c r="CR37" s="85"/>
      <c r="CS37" s="85"/>
      <c r="CT37" s="85"/>
      <c r="CU37" s="85"/>
      <c r="CV37" s="85"/>
      <c r="CW37" s="85"/>
      <c r="CX37" s="85"/>
      <c r="CY37" s="85"/>
      <c r="CZ37" s="85"/>
      <c r="DA37" s="85"/>
      <c r="DB37" s="85"/>
      <c r="DC37" s="85"/>
      <c r="DD37" s="85"/>
      <c r="DE37" s="85"/>
      <c r="DF37" s="85"/>
      <c r="DG37" s="85"/>
      <c r="DH37" s="85"/>
      <c r="DI37" s="85"/>
      <c r="DJ37" s="85"/>
      <c r="DK37" s="85"/>
      <c r="DL37" s="85"/>
      <c r="DM37" s="85"/>
      <c r="DN37" s="85"/>
      <c r="DO37" s="85"/>
      <c r="DP37" s="85"/>
      <c r="DQ37" s="85"/>
      <c r="DR37" s="85"/>
      <c r="DS37" s="85"/>
      <c r="DT37" s="85"/>
      <c r="DU37" s="85"/>
      <c r="DV37" s="85"/>
      <c r="DW37" s="85"/>
      <c r="DX37" s="85"/>
      <c r="DY37" s="85"/>
      <c r="DZ37" s="85"/>
      <c r="EA37" s="85"/>
      <c r="EB37" s="85"/>
      <c r="EC37" s="85"/>
      <c r="ED37" s="85"/>
      <c r="EE37" s="85"/>
      <c r="EF37" s="85"/>
      <c r="EG37" s="85"/>
      <c r="EH37" s="85"/>
      <c r="EI37" s="85"/>
      <c r="EJ37" s="85"/>
      <c r="EK37" s="85"/>
      <c r="EL37" s="85"/>
      <c r="EM37" s="85"/>
      <c r="EN37" s="85"/>
      <c r="EO37" s="85"/>
      <c r="EP37" s="85"/>
      <c r="EQ37" s="85"/>
      <c r="ER37" s="85"/>
      <c r="ES37" s="85"/>
      <c r="ET37" s="85"/>
      <c r="EU37" s="85"/>
      <c r="EV37" s="85"/>
      <c r="EW37" s="85"/>
      <c r="EX37" s="85"/>
      <c r="EY37" s="85"/>
      <c r="EZ37" s="85"/>
      <c r="FA37" s="85"/>
      <c r="FB37" s="85"/>
      <c r="FC37" s="85"/>
      <c r="FD37" s="85"/>
      <c r="FE37" s="85"/>
      <c r="FF37" s="85"/>
      <c r="FG37" s="85"/>
      <c r="FH37" s="85"/>
      <c r="FI37" s="85"/>
      <c r="FJ37" s="85"/>
      <c r="FK37" s="85"/>
      <c r="FL37" s="85"/>
      <c r="FM37" s="85"/>
      <c r="FN37" s="85"/>
      <c r="FO37" s="85"/>
      <c r="FP37" s="85"/>
      <c r="FQ37" s="85"/>
      <c r="FR37" s="85"/>
      <c r="FS37" s="85"/>
      <c r="FT37" s="85"/>
      <c r="FU37" s="85"/>
      <c r="FV37" s="85"/>
      <c r="FW37" s="85"/>
      <c r="FX37" s="85"/>
      <c r="FY37" s="85"/>
      <c r="FZ37" s="85"/>
      <c r="GA37" s="85"/>
    </row>
    <row r="38" spans="1:183" x14ac:dyDescent="0.15">
      <c r="A38" s="346" t="s">
        <v>410</v>
      </c>
      <c r="C38" s="408">
        <f>-C11+C14</f>
        <v>0</v>
      </c>
      <c r="D38" s="325">
        <f>D$36*Inputs_MySOL!$B$14</f>
        <v>0</v>
      </c>
      <c r="E38" s="325">
        <f>E$36*Inputs_MySOL!$B$14</f>
        <v>0</v>
      </c>
      <c r="F38" s="325">
        <f>F$36*Inputs_MySOL!$B$14</f>
        <v>0</v>
      </c>
      <c r="G38" s="325">
        <f>G$36*Inputs_MySOL!$B$14</f>
        <v>0</v>
      </c>
      <c r="H38" s="325">
        <f>H$36*Inputs_MySOL!$B$14</f>
        <v>0</v>
      </c>
      <c r="I38" s="325">
        <f>I$36*Inputs_MySOL!$B$14</f>
        <v>0</v>
      </c>
      <c r="J38" s="325">
        <f>J$36*Inputs_MySOL!$B$14</f>
        <v>0</v>
      </c>
      <c r="K38" s="325">
        <f>K$36*Inputs_MySOL!$B$14</f>
        <v>0</v>
      </c>
      <c r="L38" s="325">
        <f>L$36*Inputs_MySOL!$B$14</f>
        <v>0</v>
      </c>
      <c r="M38" s="325">
        <f>M$36*Inputs_MySOL!$B$14</f>
        <v>0</v>
      </c>
      <c r="N38" s="325">
        <f>N$36*Inputs_MySOL!$B$14</f>
        <v>0</v>
      </c>
      <c r="O38" s="325">
        <f>O$36*Inputs_MySOL!$B$14</f>
        <v>0</v>
      </c>
      <c r="P38" s="325">
        <f>P$36*Inputs_MySOL!$B$14</f>
        <v>0</v>
      </c>
      <c r="Q38" s="325">
        <f>Q$36*Inputs_MySOL!$B$14</f>
        <v>0</v>
      </c>
      <c r="R38" s="325">
        <f>R$36*Inputs_MySOL!$B$14</f>
        <v>0</v>
      </c>
      <c r="S38" s="325">
        <f>S$36*Inputs_MySOL!$B$14</f>
        <v>0</v>
      </c>
      <c r="T38" s="325">
        <f>T$36*Inputs_MySOL!$B$14</f>
        <v>0</v>
      </c>
      <c r="U38" s="325">
        <f>U$36*Inputs_MySOL!$B$14</f>
        <v>0</v>
      </c>
      <c r="V38" s="325">
        <f>V$36*Inputs_MySOL!$B$14</f>
        <v>0</v>
      </c>
      <c r="W38" s="325">
        <f>W$36*Inputs_MySOL!$B$14</f>
        <v>0</v>
      </c>
      <c r="X38" s="325">
        <f>X$36*Inputs_MySOL!$B$14</f>
        <v>0</v>
      </c>
      <c r="Y38" s="325">
        <f>Y$36*Inputs_MySOL!$B$14</f>
        <v>0</v>
      </c>
      <c r="Z38" s="325">
        <f>Z$36*Inputs_MySOL!$B$14</f>
        <v>0</v>
      </c>
      <c r="AA38" s="325">
        <f>AA$36*Inputs_MySOL!$B$14</f>
        <v>0</v>
      </c>
      <c r="AB38" s="325">
        <f>AB$36*Inputs_MySOL!$B$14</f>
        <v>0</v>
      </c>
      <c r="AC38" s="325">
        <f>AC$36*Inputs_MySOL!$B$14</f>
        <v>0</v>
      </c>
      <c r="AD38" s="325">
        <f>AD$36*Inputs_MySOL!$B$14</f>
        <v>0</v>
      </c>
      <c r="AE38" s="325">
        <f>AE$36*Inputs_MySOL!$B$14</f>
        <v>0</v>
      </c>
      <c r="AF38" s="325">
        <f>AF$36*Inputs_MySOL!$B$14</f>
        <v>0</v>
      </c>
      <c r="AG38" s="325">
        <f>AG$36*Inputs_MySOL!$B$14</f>
        <v>0</v>
      </c>
      <c r="AH38" s="325">
        <f>AH$36*Inputs_MySOL!$B$14</f>
        <v>0</v>
      </c>
      <c r="AI38" s="325">
        <f>AI$36*Inputs_MySOL!$B$14</f>
        <v>0</v>
      </c>
      <c r="AJ38" s="325">
        <f>AJ$36*Inputs_MySOL!$B$14</f>
        <v>0</v>
      </c>
      <c r="AK38" s="325">
        <f>AK$36*Inputs_MySOL!$B$14</f>
        <v>0</v>
      </c>
      <c r="AL38" s="325">
        <f>AL$36*Inputs_MySOL!$B$14</f>
        <v>0</v>
      </c>
      <c r="AM38" s="325">
        <f>AM$36*Inputs_MySOL!$B$14</f>
        <v>0</v>
      </c>
      <c r="AN38" s="325">
        <f>AN$36*Inputs_MySOL!$B$14</f>
        <v>0</v>
      </c>
      <c r="AO38" s="325">
        <f>AO$36*Inputs_MySOL!$B$14</f>
        <v>0</v>
      </c>
      <c r="AP38" s="325">
        <f>AP$36*Inputs_MySOL!$B$14</f>
        <v>0</v>
      </c>
      <c r="AQ38" s="325">
        <f>AQ$36*Inputs_MySOL!$B$14</f>
        <v>0</v>
      </c>
      <c r="AR38" s="325">
        <f>AR$36*Inputs_MySOL!$B$14</f>
        <v>0</v>
      </c>
      <c r="AS38" s="325">
        <f>AS$36*Inputs_MySOL!$B$14</f>
        <v>0</v>
      </c>
      <c r="AT38" s="325">
        <f>AT$36*Inputs_MySOL!$B$14</f>
        <v>0</v>
      </c>
      <c r="AU38" s="325">
        <f>AU$36*Inputs_MySOL!$B$14</f>
        <v>0</v>
      </c>
      <c r="AV38" s="325">
        <f>AV$36*Inputs_MySOL!$B$14</f>
        <v>0</v>
      </c>
      <c r="AW38" s="325">
        <f>AW$36*Inputs_MySOL!$B$14</f>
        <v>0</v>
      </c>
      <c r="AX38" s="325">
        <f>AX$36*Inputs_MySOL!$B$14</f>
        <v>0</v>
      </c>
      <c r="AY38" s="325">
        <f>AY$36*Inputs_MySOL!$B$14</f>
        <v>0</v>
      </c>
      <c r="AZ38" s="325">
        <f>AZ$36*Inputs_MySOL!$B$14</f>
        <v>0</v>
      </c>
      <c r="BA38" s="325">
        <f>BA$36*Inputs_MySOL!$B$14</f>
        <v>0</v>
      </c>
      <c r="BB38" s="325">
        <f>BB$36*Inputs_MySOL!$B$14</f>
        <v>0</v>
      </c>
      <c r="BC38" s="325">
        <f>BC$36*Inputs_MySOL!$B$14</f>
        <v>0</v>
      </c>
      <c r="BD38" s="325">
        <f>BD$36*Inputs_MySOL!$B$14</f>
        <v>0</v>
      </c>
      <c r="BE38" s="325">
        <f>BE$36*Inputs_MySOL!$B$14</f>
        <v>0</v>
      </c>
      <c r="BF38" s="325">
        <f>BF$36*Inputs_MySOL!$B$14</f>
        <v>0</v>
      </c>
      <c r="BG38" s="325">
        <f>BG$36*Inputs_MySOL!$B$14</f>
        <v>0</v>
      </c>
      <c r="BH38" s="325">
        <f>BH$36*Inputs_MySOL!$B$14</f>
        <v>0</v>
      </c>
      <c r="BI38" s="325">
        <f>BI$36*Inputs_MySOL!$B$14</f>
        <v>0</v>
      </c>
      <c r="BJ38" s="325">
        <f>BJ$36*Inputs_MySOL!$B$14</f>
        <v>0</v>
      </c>
      <c r="BK38" s="325">
        <f>BK$36*Inputs_MySOL!$B$14</f>
        <v>0</v>
      </c>
      <c r="BL38" s="325">
        <f>BL$36*Inputs_MySOL!$B$14</f>
        <v>0</v>
      </c>
      <c r="BM38" s="325">
        <f>BM$36*Inputs_MySOL!$B$14</f>
        <v>0</v>
      </c>
      <c r="BN38" s="325">
        <f>BN$36*Inputs_MySOL!$B$14</f>
        <v>0</v>
      </c>
      <c r="BO38" s="325">
        <f>BO$36*Inputs_MySOL!$B$14</f>
        <v>0</v>
      </c>
      <c r="BP38" s="325">
        <f>BP$36*Inputs_MySOL!$B$14</f>
        <v>0</v>
      </c>
      <c r="BQ38" s="325">
        <f>BQ$36*Inputs_MySOL!$B$14</f>
        <v>0</v>
      </c>
      <c r="BR38" s="325">
        <f>BR$36*Inputs_MySOL!$B$14</f>
        <v>0</v>
      </c>
      <c r="BS38" s="325">
        <f>BS$36*Inputs_MySOL!$B$14</f>
        <v>0</v>
      </c>
      <c r="BT38" s="325">
        <f>BT$36*Inputs_MySOL!$B$14</f>
        <v>0</v>
      </c>
      <c r="BU38" s="325">
        <f>BU$36*Inputs_MySOL!$B$14</f>
        <v>0</v>
      </c>
      <c r="BV38" s="325">
        <f>BV$36*Inputs_MySOL!$B$14</f>
        <v>0</v>
      </c>
      <c r="BW38" s="325">
        <f>BW$36*Inputs_MySOL!$B$14</f>
        <v>0</v>
      </c>
      <c r="BX38" s="325">
        <f>BX$36*Inputs_MySOL!$B$14</f>
        <v>0</v>
      </c>
      <c r="BY38" s="325">
        <f>BY$36*Inputs_MySOL!$B$14</f>
        <v>0</v>
      </c>
      <c r="BZ38" s="325">
        <f>BZ$36*Inputs_MySOL!$B$14</f>
        <v>0</v>
      </c>
      <c r="CA38" s="325">
        <f>CA$36*Inputs_MySOL!$B$14</f>
        <v>0</v>
      </c>
      <c r="CB38" s="325">
        <f>CB$36*Inputs_MySOL!$B$14</f>
        <v>0</v>
      </c>
      <c r="CC38" s="325">
        <f>CC$36*Inputs_MySOL!$B$14</f>
        <v>0</v>
      </c>
      <c r="CD38" s="325">
        <f>CD$36*Inputs_MySOL!$B$14</f>
        <v>0</v>
      </c>
      <c r="CE38" s="325">
        <f>CE$36*Inputs_MySOL!$B$14</f>
        <v>0</v>
      </c>
      <c r="CF38" s="325">
        <f>CF$36*Inputs_MySOL!$B$14</f>
        <v>0</v>
      </c>
      <c r="CG38" s="325">
        <f>CG$36*Inputs_MySOL!$B$14</f>
        <v>0</v>
      </c>
      <c r="CH38" s="325">
        <f>CH$36*Inputs_MySOL!$B$14</f>
        <v>0</v>
      </c>
      <c r="CI38" s="325">
        <f>CI$36*Inputs_MySOL!$B$14</f>
        <v>0</v>
      </c>
      <c r="CJ38" s="325">
        <f>CJ$36*Inputs_MySOL!$B$14</f>
        <v>0</v>
      </c>
      <c r="CK38" s="325">
        <f>CK$36*Inputs_MySOL!$B$14</f>
        <v>0</v>
      </c>
      <c r="CL38" s="325">
        <f>CL$36*Inputs_MySOL!$B$14</f>
        <v>0</v>
      </c>
      <c r="CM38" s="325">
        <f>CM$36*Inputs_MySOL!$B$14</f>
        <v>0</v>
      </c>
      <c r="CN38" s="325">
        <f>CN$36*Inputs_MySOL!$B$14</f>
        <v>0</v>
      </c>
      <c r="CO38" s="325">
        <f>CO$36*Inputs_MySOL!$B$14</f>
        <v>0</v>
      </c>
      <c r="CP38" s="325">
        <f>CP$36*Inputs_MySOL!$B$14</f>
        <v>0</v>
      </c>
      <c r="CQ38" s="325">
        <f>CQ$36*Inputs_MySOL!$B$14</f>
        <v>0</v>
      </c>
      <c r="CR38" s="325">
        <f>CR$36*Inputs_MySOL!$B$14</f>
        <v>0</v>
      </c>
      <c r="CS38" s="325">
        <f>CS$36*Inputs_MySOL!$B$14</f>
        <v>0</v>
      </c>
      <c r="CT38" s="325">
        <f>CT$36*Inputs_MySOL!$B$14</f>
        <v>0</v>
      </c>
      <c r="CU38" s="325">
        <f>CU$36*Inputs_MySOL!$B$14</f>
        <v>0</v>
      </c>
      <c r="CV38" s="325">
        <f>CV$36*Inputs_MySOL!$B$14</f>
        <v>0</v>
      </c>
      <c r="CW38" s="325">
        <f>CW$36*Inputs_MySOL!$B$14</f>
        <v>0</v>
      </c>
      <c r="CX38" s="325">
        <f>CX$36*Inputs_MySOL!$B$14</f>
        <v>0</v>
      </c>
      <c r="CY38" s="325">
        <f>CY$36*Inputs_MySOL!$B$14</f>
        <v>0</v>
      </c>
      <c r="CZ38" s="325">
        <f>CZ$36*Inputs_MySOL!$B$14</f>
        <v>0</v>
      </c>
      <c r="DA38" s="325">
        <f>DA$36*Inputs_MySOL!$B$14</f>
        <v>0</v>
      </c>
      <c r="DB38" s="325">
        <f>DB$36*Inputs_MySOL!$B$14</f>
        <v>0</v>
      </c>
      <c r="DC38" s="325">
        <f>DC$36*Inputs_MySOL!$B$14</f>
        <v>0</v>
      </c>
      <c r="DD38" s="325">
        <f>DD$36*Inputs_MySOL!$B$14</f>
        <v>0</v>
      </c>
      <c r="DE38" s="325">
        <f>DE$36*Inputs_MySOL!$B$14</f>
        <v>0</v>
      </c>
      <c r="DF38" s="325">
        <f>DF$36*Inputs_MySOL!$B$14</f>
        <v>0</v>
      </c>
      <c r="DG38" s="325">
        <f>DG$36*Inputs_MySOL!$B$14</f>
        <v>0</v>
      </c>
      <c r="DH38" s="325">
        <f>DH$36*Inputs_MySOL!$B$14</f>
        <v>0</v>
      </c>
      <c r="DI38" s="325">
        <f>DI$36*Inputs_MySOL!$B$14</f>
        <v>0</v>
      </c>
      <c r="DJ38" s="325">
        <f>DJ$36*Inputs_MySOL!$B$14</f>
        <v>0</v>
      </c>
      <c r="DK38" s="325">
        <f>DK$36*Inputs_MySOL!$B$14</f>
        <v>0</v>
      </c>
      <c r="DL38" s="325">
        <f>DL$36*Inputs_MySOL!$B$14</f>
        <v>0</v>
      </c>
      <c r="DM38" s="325">
        <f>DM$36*Inputs_MySOL!$B$14</f>
        <v>0</v>
      </c>
      <c r="DN38" s="325">
        <f>DN$36*Inputs_MySOL!$B$14</f>
        <v>0</v>
      </c>
      <c r="DO38" s="325">
        <f>DO$36*Inputs_MySOL!$B$14</f>
        <v>0</v>
      </c>
      <c r="DP38" s="325">
        <f>DP$36*Inputs_MySOL!$B$14</f>
        <v>0</v>
      </c>
      <c r="DQ38" s="325">
        <f>DQ$36*Inputs_MySOL!$B$14</f>
        <v>0</v>
      </c>
      <c r="DR38" s="325">
        <f>DR$36*Inputs_MySOL!$B$14</f>
        <v>0</v>
      </c>
      <c r="DS38" s="325">
        <f>DS$36*Inputs_MySOL!$B$14</f>
        <v>0</v>
      </c>
      <c r="DT38" s="325">
        <f>DT$36*Inputs_MySOL!$B$14</f>
        <v>0</v>
      </c>
      <c r="DU38" s="325">
        <f>DU$36*Inputs_MySOL!$B$14</f>
        <v>0</v>
      </c>
      <c r="DV38" s="325">
        <f>DV$36*Inputs_MySOL!$B$14</f>
        <v>0</v>
      </c>
      <c r="DW38" s="325">
        <f>DW$36*Inputs_MySOL!$B$14</f>
        <v>0</v>
      </c>
      <c r="DX38" s="325">
        <f>DX$36*Inputs_MySOL!$B$14</f>
        <v>0</v>
      </c>
      <c r="DY38" s="325">
        <f>DY$36*Inputs_MySOL!$B$14</f>
        <v>0</v>
      </c>
      <c r="DZ38" s="325">
        <f>DZ$36*Inputs_MySOL!$B$14</f>
        <v>0</v>
      </c>
      <c r="EA38" s="325">
        <f>EA$36*Inputs_MySOL!$B$14</f>
        <v>0</v>
      </c>
      <c r="EB38" s="325">
        <f>EB$36*Inputs_MySOL!$B$14</f>
        <v>0</v>
      </c>
      <c r="EC38" s="325">
        <f>EC$36*Inputs_MySOL!$B$14</f>
        <v>0</v>
      </c>
      <c r="ED38" s="325">
        <f>ED$36*Inputs_MySOL!$B$14</f>
        <v>0</v>
      </c>
      <c r="EE38" s="325">
        <f>EE$36*Inputs_MySOL!$B$14</f>
        <v>0</v>
      </c>
      <c r="EF38" s="325">
        <f>EF$36*Inputs_MySOL!$B$14</f>
        <v>0</v>
      </c>
      <c r="EG38" s="325">
        <f>EG$36*Inputs_MySOL!$B$14</f>
        <v>0</v>
      </c>
      <c r="EH38" s="325">
        <f>EH$36*Inputs_MySOL!$B$14</f>
        <v>0</v>
      </c>
      <c r="EI38" s="325">
        <f>EI$36*Inputs_MySOL!$B$14</f>
        <v>0</v>
      </c>
      <c r="EJ38" s="325">
        <f>EJ$36*Inputs_MySOL!$B$14</f>
        <v>0</v>
      </c>
      <c r="EK38" s="325">
        <f>EK$36*Inputs_MySOL!$B$14</f>
        <v>0</v>
      </c>
      <c r="EL38" s="325">
        <f>EL$36*Inputs_MySOL!$B$14</f>
        <v>0</v>
      </c>
      <c r="EM38" s="325">
        <f>EM$36*Inputs_MySOL!$B$14</f>
        <v>0</v>
      </c>
      <c r="EN38" s="325">
        <f>EN$36*Inputs_MySOL!$B$14</f>
        <v>0</v>
      </c>
      <c r="EO38" s="325">
        <f>EO$36*Inputs_MySOL!$B$14</f>
        <v>0</v>
      </c>
      <c r="EP38" s="325">
        <f>EP$36*Inputs_MySOL!$B$14</f>
        <v>0</v>
      </c>
      <c r="EQ38" s="325">
        <f>EQ$36*Inputs_MySOL!$B$14</f>
        <v>0</v>
      </c>
      <c r="ER38" s="325">
        <f>ER$36*Inputs_MySOL!$B$14</f>
        <v>0</v>
      </c>
      <c r="ES38" s="325">
        <f>ES$36*Inputs_MySOL!$B$14</f>
        <v>0</v>
      </c>
      <c r="ET38" s="325">
        <f>ET$36*Inputs_MySOL!$B$14</f>
        <v>0</v>
      </c>
      <c r="EU38" s="325">
        <f>EU$36*Inputs_MySOL!$B$14</f>
        <v>0</v>
      </c>
      <c r="EV38" s="325">
        <f>EV$36*Inputs_MySOL!$B$14</f>
        <v>0</v>
      </c>
      <c r="EW38" s="325">
        <f>EW$36*Inputs_MySOL!$B$14</f>
        <v>0</v>
      </c>
      <c r="EX38" s="325">
        <f>EX$36*Inputs_MySOL!$B$14</f>
        <v>0</v>
      </c>
      <c r="EY38" s="325">
        <f>EY$36*Inputs_MySOL!$B$14</f>
        <v>0</v>
      </c>
      <c r="EZ38" s="325">
        <f>EZ$36*Inputs_MySOL!$B$14</f>
        <v>0</v>
      </c>
      <c r="FA38" s="325">
        <f>FA$36*Inputs_MySOL!$B$14</f>
        <v>0</v>
      </c>
      <c r="FB38" s="325">
        <f>FB$36*Inputs_MySOL!$B$14</f>
        <v>0</v>
      </c>
      <c r="FC38" s="325">
        <f>FC$36*Inputs_MySOL!$B$14</f>
        <v>0</v>
      </c>
      <c r="FD38" s="325">
        <f>FD$36*Inputs_MySOL!$B$14</f>
        <v>0</v>
      </c>
      <c r="FE38" s="325">
        <f>FE$36*Inputs_MySOL!$B$14</f>
        <v>0</v>
      </c>
      <c r="FF38" s="325">
        <f>FF$36*Inputs_MySOL!$B$14</f>
        <v>0</v>
      </c>
      <c r="FG38" s="325">
        <f>FG$36*Inputs_MySOL!$B$14</f>
        <v>0</v>
      </c>
      <c r="FH38" s="325">
        <f>FH$36*Inputs_MySOL!$B$14</f>
        <v>0</v>
      </c>
      <c r="FI38" s="325">
        <f>FI$36*Inputs_MySOL!$B$14</f>
        <v>0</v>
      </c>
      <c r="FJ38" s="325">
        <f>FJ$36*Inputs_MySOL!$B$14</f>
        <v>0</v>
      </c>
      <c r="FK38" s="325">
        <f>FK$36*Inputs_MySOL!$B$14</f>
        <v>0</v>
      </c>
      <c r="FL38" s="325">
        <f>FL$36*Inputs_MySOL!$B$14</f>
        <v>0</v>
      </c>
      <c r="FM38" s="325">
        <f>FM$36*Inputs_MySOL!$B$14</f>
        <v>0</v>
      </c>
      <c r="FN38" s="325">
        <f>FN$36*Inputs_MySOL!$B$14</f>
        <v>0</v>
      </c>
      <c r="FO38" s="325">
        <f>FO$36*Inputs_MySOL!$B$14</f>
        <v>0</v>
      </c>
      <c r="FP38" s="325">
        <f>FP$36*Inputs_MySOL!$B$14</f>
        <v>0</v>
      </c>
      <c r="FQ38" s="325">
        <f>FQ$36*Inputs_MySOL!$B$14</f>
        <v>0</v>
      </c>
      <c r="FR38" s="325">
        <f>FR$36*Inputs_MySOL!$B$14</f>
        <v>0</v>
      </c>
      <c r="FS38" s="325">
        <f>FS$36*Inputs_MySOL!$B$14</f>
        <v>0</v>
      </c>
      <c r="FT38" s="325">
        <f>FT$36*Inputs_MySOL!$B$14</f>
        <v>0</v>
      </c>
      <c r="FU38" s="325">
        <f>FU$36*Inputs_MySOL!$B$14</f>
        <v>0</v>
      </c>
      <c r="FV38" s="325">
        <f>FV$36*Inputs_MySOL!$B$14</f>
        <v>0</v>
      </c>
      <c r="FW38" s="325">
        <f>FW$36*Inputs_MySOL!$B$14</f>
        <v>0</v>
      </c>
      <c r="FX38" s="325">
        <f>FX$36*Inputs_MySOL!$B$14</f>
        <v>0</v>
      </c>
      <c r="FY38" s="325">
        <f>FY$36*Inputs_MySOL!$B$14</f>
        <v>0</v>
      </c>
      <c r="FZ38" s="325">
        <f>FZ$36*Inputs_MySOL!$B$14</f>
        <v>0</v>
      </c>
      <c r="GA38" s="326">
        <f>GA$36*Inputs_MySOL!$B$14</f>
        <v>0</v>
      </c>
    </row>
    <row r="39" spans="1:183" x14ac:dyDescent="0.15">
      <c r="A39" s="346" t="s">
        <v>600</v>
      </c>
      <c r="C39" s="336"/>
      <c r="D39" s="313">
        <f>-HLOOKUP(D$32,$C$21:$W$27,3,FALSE)/12</f>
        <v>0</v>
      </c>
      <c r="E39" s="313">
        <f t="shared" ref="E39:BP39" si="20">-HLOOKUP(E$32,$C$21:$W$27,3,FALSE)/12</f>
        <v>0</v>
      </c>
      <c r="F39" s="313">
        <f t="shared" si="20"/>
        <v>0</v>
      </c>
      <c r="G39" s="313">
        <f t="shared" si="20"/>
        <v>0</v>
      </c>
      <c r="H39" s="313">
        <f t="shared" si="20"/>
        <v>0</v>
      </c>
      <c r="I39" s="313">
        <f t="shared" si="20"/>
        <v>0</v>
      </c>
      <c r="J39" s="313">
        <f t="shared" si="20"/>
        <v>0</v>
      </c>
      <c r="K39" s="313">
        <f t="shared" si="20"/>
        <v>0</v>
      </c>
      <c r="L39" s="313">
        <f t="shared" si="20"/>
        <v>0</v>
      </c>
      <c r="M39" s="313">
        <f t="shared" si="20"/>
        <v>0</v>
      </c>
      <c r="N39" s="313">
        <f t="shared" si="20"/>
        <v>0</v>
      </c>
      <c r="O39" s="313">
        <f t="shared" si="20"/>
        <v>0</v>
      </c>
      <c r="P39" s="313">
        <f t="shared" si="20"/>
        <v>0</v>
      </c>
      <c r="Q39" s="313">
        <f t="shared" si="20"/>
        <v>0</v>
      </c>
      <c r="R39" s="313">
        <f t="shared" si="20"/>
        <v>0</v>
      </c>
      <c r="S39" s="313">
        <f t="shared" si="20"/>
        <v>0</v>
      </c>
      <c r="T39" s="313">
        <f t="shared" si="20"/>
        <v>0</v>
      </c>
      <c r="U39" s="313">
        <f t="shared" si="20"/>
        <v>0</v>
      </c>
      <c r="V39" s="313">
        <f t="shared" si="20"/>
        <v>0</v>
      </c>
      <c r="W39" s="313">
        <f t="shared" si="20"/>
        <v>0</v>
      </c>
      <c r="X39" s="313">
        <f t="shared" si="20"/>
        <v>0</v>
      </c>
      <c r="Y39" s="313">
        <f t="shared" si="20"/>
        <v>0</v>
      </c>
      <c r="Z39" s="313">
        <f t="shared" si="20"/>
        <v>0</v>
      </c>
      <c r="AA39" s="313">
        <f t="shared" si="20"/>
        <v>0</v>
      </c>
      <c r="AB39" s="313">
        <f t="shared" si="20"/>
        <v>0</v>
      </c>
      <c r="AC39" s="313">
        <f t="shared" si="20"/>
        <v>0</v>
      </c>
      <c r="AD39" s="313">
        <f t="shared" si="20"/>
        <v>0</v>
      </c>
      <c r="AE39" s="313">
        <f t="shared" si="20"/>
        <v>0</v>
      </c>
      <c r="AF39" s="313">
        <f t="shared" si="20"/>
        <v>0</v>
      </c>
      <c r="AG39" s="313">
        <f t="shared" si="20"/>
        <v>0</v>
      </c>
      <c r="AH39" s="313">
        <f t="shared" si="20"/>
        <v>0</v>
      </c>
      <c r="AI39" s="313">
        <f t="shared" si="20"/>
        <v>0</v>
      </c>
      <c r="AJ39" s="313">
        <f t="shared" si="20"/>
        <v>0</v>
      </c>
      <c r="AK39" s="313">
        <f t="shared" si="20"/>
        <v>0</v>
      </c>
      <c r="AL39" s="313">
        <f t="shared" si="20"/>
        <v>0</v>
      </c>
      <c r="AM39" s="313">
        <f t="shared" si="20"/>
        <v>0</v>
      </c>
      <c r="AN39" s="313">
        <f t="shared" si="20"/>
        <v>0</v>
      </c>
      <c r="AO39" s="313">
        <f t="shared" si="20"/>
        <v>0</v>
      </c>
      <c r="AP39" s="313">
        <f t="shared" si="20"/>
        <v>0</v>
      </c>
      <c r="AQ39" s="313">
        <f t="shared" si="20"/>
        <v>0</v>
      </c>
      <c r="AR39" s="313">
        <f t="shared" si="20"/>
        <v>0</v>
      </c>
      <c r="AS39" s="313">
        <f t="shared" si="20"/>
        <v>0</v>
      </c>
      <c r="AT39" s="313">
        <f t="shared" si="20"/>
        <v>0</v>
      </c>
      <c r="AU39" s="313">
        <f t="shared" si="20"/>
        <v>0</v>
      </c>
      <c r="AV39" s="313">
        <f t="shared" si="20"/>
        <v>0</v>
      </c>
      <c r="AW39" s="313">
        <f t="shared" si="20"/>
        <v>0</v>
      </c>
      <c r="AX39" s="313">
        <f t="shared" si="20"/>
        <v>0</v>
      </c>
      <c r="AY39" s="313">
        <f t="shared" si="20"/>
        <v>0</v>
      </c>
      <c r="AZ39" s="313">
        <f t="shared" si="20"/>
        <v>0</v>
      </c>
      <c r="BA39" s="313">
        <f t="shared" si="20"/>
        <v>0</v>
      </c>
      <c r="BB39" s="313">
        <f t="shared" si="20"/>
        <v>0</v>
      </c>
      <c r="BC39" s="313">
        <f t="shared" si="20"/>
        <v>0</v>
      </c>
      <c r="BD39" s="313">
        <f t="shared" si="20"/>
        <v>0</v>
      </c>
      <c r="BE39" s="313">
        <f t="shared" si="20"/>
        <v>0</v>
      </c>
      <c r="BF39" s="313">
        <f t="shared" si="20"/>
        <v>0</v>
      </c>
      <c r="BG39" s="313">
        <f t="shared" si="20"/>
        <v>0</v>
      </c>
      <c r="BH39" s="313">
        <f t="shared" si="20"/>
        <v>0</v>
      </c>
      <c r="BI39" s="313">
        <f t="shared" si="20"/>
        <v>0</v>
      </c>
      <c r="BJ39" s="313">
        <f t="shared" si="20"/>
        <v>0</v>
      </c>
      <c r="BK39" s="313">
        <f t="shared" si="20"/>
        <v>0</v>
      </c>
      <c r="BL39" s="313">
        <f t="shared" si="20"/>
        <v>0</v>
      </c>
      <c r="BM39" s="313">
        <f t="shared" si="20"/>
        <v>0</v>
      </c>
      <c r="BN39" s="313">
        <f t="shared" si="20"/>
        <v>0</v>
      </c>
      <c r="BO39" s="313">
        <f t="shared" si="20"/>
        <v>0</v>
      </c>
      <c r="BP39" s="313">
        <f t="shared" si="20"/>
        <v>0</v>
      </c>
      <c r="BQ39" s="313">
        <f t="shared" ref="BQ39:EB39" si="21">-HLOOKUP(BQ$32,$C$21:$W$27,3,FALSE)/12</f>
        <v>0</v>
      </c>
      <c r="BR39" s="313">
        <f t="shared" si="21"/>
        <v>0</v>
      </c>
      <c r="BS39" s="313">
        <f t="shared" si="21"/>
        <v>0</v>
      </c>
      <c r="BT39" s="313">
        <f t="shared" si="21"/>
        <v>0</v>
      </c>
      <c r="BU39" s="313">
        <f t="shared" si="21"/>
        <v>0</v>
      </c>
      <c r="BV39" s="313">
        <f t="shared" si="21"/>
        <v>0</v>
      </c>
      <c r="BW39" s="313">
        <f t="shared" si="21"/>
        <v>0</v>
      </c>
      <c r="BX39" s="313">
        <f t="shared" si="21"/>
        <v>0</v>
      </c>
      <c r="BY39" s="313">
        <f t="shared" si="21"/>
        <v>0</v>
      </c>
      <c r="BZ39" s="313">
        <f t="shared" si="21"/>
        <v>0</v>
      </c>
      <c r="CA39" s="313">
        <f t="shared" si="21"/>
        <v>0</v>
      </c>
      <c r="CB39" s="313">
        <f t="shared" si="21"/>
        <v>0</v>
      </c>
      <c r="CC39" s="313">
        <f t="shared" si="21"/>
        <v>0</v>
      </c>
      <c r="CD39" s="313">
        <f t="shared" si="21"/>
        <v>0</v>
      </c>
      <c r="CE39" s="313">
        <f t="shared" si="21"/>
        <v>0</v>
      </c>
      <c r="CF39" s="313">
        <f t="shared" si="21"/>
        <v>0</v>
      </c>
      <c r="CG39" s="313">
        <f t="shared" si="21"/>
        <v>0</v>
      </c>
      <c r="CH39" s="313">
        <f t="shared" si="21"/>
        <v>0</v>
      </c>
      <c r="CI39" s="313">
        <f t="shared" si="21"/>
        <v>0</v>
      </c>
      <c r="CJ39" s="313">
        <f t="shared" si="21"/>
        <v>0</v>
      </c>
      <c r="CK39" s="313">
        <f t="shared" si="21"/>
        <v>0</v>
      </c>
      <c r="CL39" s="313">
        <f t="shared" si="21"/>
        <v>0</v>
      </c>
      <c r="CM39" s="313">
        <f t="shared" si="21"/>
        <v>0</v>
      </c>
      <c r="CN39" s="313">
        <f t="shared" si="21"/>
        <v>0</v>
      </c>
      <c r="CO39" s="313">
        <f t="shared" si="21"/>
        <v>0</v>
      </c>
      <c r="CP39" s="313">
        <f t="shared" si="21"/>
        <v>0</v>
      </c>
      <c r="CQ39" s="313">
        <f t="shared" si="21"/>
        <v>0</v>
      </c>
      <c r="CR39" s="313">
        <f t="shared" si="21"/>
        <v>0</v>
      </c>
      <c r="CS39" s="313">
        <f t="shared" si="21"/>
        <v>0</v>
      </c>
      <c r="CT39" s="313">
        <f t="shared" si="21"/>
        <v>0</v>
      </c>
      <c r="CU39" s="313">
        <f t="shared" si="21"/>
        <v>0</v>
      </c>
      <c r="CV39" s="313">
        <f t="shared" si="21"/>
        <v>0</v>
      </c>
      <c r="CW39" s="313">
        <f t="shared" si="21"/>
        <v>0</v>
      </c>
      <c r="CX39" s="313">
        <f t="shared" si="21"/>
        <v>0</v>
      </c>
      <c r="CY39" s="313">
        <f t="shared" si="21"/>
        <v>0</v>
      </c>
      <c r="CZ39" s="313">
        <f t="shared" si="21"/>
        <v>0</v>
      </c>
      <c r="DA39" s="313">
        <f t="shared" si="21"/>
        <v>0</v>
      </c>
      <c r="DB39" s="313">
        <f t="shared" si="21"/>
        <v>0</v>
      </c>
      <c r="DC39" s="313">
        <f t="shared" si="21"/>
        <v>0</v>
      </c>
      <c r="DD39" s="313">
        <f t="shared" si="21"/>
        <v>0</v>
      </c>
      <c r="DE39" s="313">
        <f t="shared" si="21"/>
        <v>0</v>
      </c>
      <c r="DF39" s="313">
        <f t="shared" si="21"/>
        <v>0</v>
      </c>
      <c r="DG39" s="313">
        <f t="shared" si="21"/>
        <v>0</v>
      </c>
      <c r="DH39" s="313">
        <f t="shared" si="21"/>
        <v>0</v>
      </c>
      <c r="DI39" s="313">
        <f t="shared" si="21"/>
        <v>0</v>
      </c>
      <c r="DJ39" s="313">
        <f t="shared" si="21"/>
        <v>0</v>
      </c>
      <c r="DK39" s="313">
        <f t="shared" si="21"/>
        <v>0</v>
      </c>
      <c r="DL39" s="313">
        <f t="shared" si="21"/>
        <v>0</v>
      </c>
      <c r="DM39" s="313">
        <f t="shared" si="21"/>
        <v>0</v>
      </c>
      <c r="DN39" s="313">
        <f t="shared" si="21"/>
        <v>0</v>
      </c>
      <c r="DO39" s="313">
        <f t="shared" si="21"/>
        <v>0</v>
      </c>
      <c r="DP39" s="313">
        <f t="shared" si="21"/>
        <v>0</v>
      </c>
      <c r="DQ39" s="313">
        <f t="shared" si="21"/>
        <v>0</v>
      </c>
      <c r="DR39" s="313">
        <f t="shared" si="21"/>
        <v>0</v>
      </c>
      <c r="DS39" s="313">
        <f t="shared" si="21"/>
        <v>0</v>
      </c>
      <c r="DT39" s="313">
        <f t="shared" si="21"/>
        <v>0</v>
      </c>
      <c r="DU39" s="313">
        <f t="shared" si="21"/>
        <v>0</v>
      </c>
      <c r="DV39" s="313">
        <f t="shared" si="21"/>
        <v>0</v>
      </c>
      <c r="DW39" s="313">
        <f t="shared" si="21"/>
        <v>0</v>
      </c>
      <c r="DX39" s="313">
        <f t="shared" si="21"/>
        <v>0</v>
      </c>
      <c r="DY39" s="313">
        <f t="shared" si="21"/>
        <v>0</v>
      </c>
      <c r="DZ39" s="313">
        <f t="shared" si="21"/>
        <v>0</v>
      </c>
      <c r="EA39" s="313">
        <f t="shared" si="21"/>
        <v>0</v>
      </c>
      <c r="EB39" s="313">
        <f t="shared" si="21"/>
        <v>0</v>
      </c>
      <c r="EC39" s="313">
        <f t="shared" ref="EC39:GA39" si="22">-HLOOKUP(EC$32,$C$21:$W$27,3,FALSE)/12</f>
        <v>0</v>
      </c>
      <c r="ED39" s="313">
        <f t="shared" si="22"/>
        <v>0</v>
      </c>
      <c r="EE39" s="313">
        <f t="shared" si="22"/>
        <v>0</v>
      </c>
      <c r="EF39" s="313">
        <f t="shared" si="22"/>
        <v>0</v>
      </c>
      <c r="EG39" s="313">
        <f t="shared" si="22"/>
        <v>0</v>
      </c>
      <c r="EH39" s="313">
        <f t="shared" si="22"/>
        <v>0</v>
      </c>
      <c r="EI39" s="313">
        <f t="shared" si="22"/>
        <v>0</v>
      </c>
      <c r="EJ39" s="313">
        <f t="shared" si="22"/>
        <v>0</v>
      </c>
      <c r="EK39" s="313">
        <f t="shared" si="22"/>
        <v>0</v>
      </c>
      <c r="EL39" s="313">
        <f t="shared" si="22"/>
        <v>0</v>
      </c>
      <c r="EM39" s="313">
        <f t="shared" si="22"/>
        <v>0</v>
      </c>
      <c r="EN39" s="313">
        <f t="shared" si="22"/>
        <v>0</v>
      </c>
      <c r="EO39" s="313">
        <f t="shared" si="22"/>
        <v>0</v>
      </c>
      <c r="EP39" s="313">
        <f t="shared" si="22"/>
        <v>0</v>
      </c>
      <c r="EQ39" s="313">
        <f t="shared" si="22"/>
        <v>0</v>
      </c>
      <c r="ER39" s="313">
        <f t="shared" si="22"/>
        <v>0</v>
      </c>
      <c r="ES39" s="313">
        <f t="shared" si="22"/>
        <v>0</v>
      </c>
      <c r="ET39" s="313">
        <f t="shared" si="22"/>
        <v>0</v>
      </c>
      <c r="EU39" s="313">
        <f t="shared" si="22"/>
        <v>0</v>
      </c>
      <c r="EV39" s="313">
        <f t="shared" si="22"/>
        <v>0</v>
      </c>
      <c r="EW39" s="313">
        <f t="shared" si="22"/>
        <v>0</v>
      </c>
      <c r="EX39" s="313">
        <f t="shared" si="22"/>
        <v>0</v>
      </c>
      <c r="EY39" s="313">
        <f t="shared" si="22"/>
        <v>0</v>
      </c>
      <c r="EZ39" s="313">
        <f t="shared" si="22"/>
        <v>0</v>
      </c>
      <c r="FA39" s="313">
        <f t="shared" si="22"/>
        <v>0</v>
      </c>
      <c r="FB39" s="313">
        <f t="shared" si="22"/>
        <v>0</v>
      </c>
      <c r="FC39" s="313">
        <f t="shared" si="22"/>
        <v>0</v>
      </c>
      <c r="FD39" s="313">
        <f t="shared" si="22"/>
        <v>0</v>
      </c>
      <c r="FE39" s="313">
        <f t="shared" si="22"/>
        <v>0</v>
      </c>
      <c r="FF39" s="313">
        <f t="shared" si="22"/>
        <v>0</v>
      </c>
      <c r="FG39" s="313">
        <f t="shared" si="22"/>
        <v>0</v>
      </c>
      <c r="FH39" s="313">
        <f t="shared" si="22"/>
        <v>0</v>
      </c>
      <c r="FI39" s="313">
        <f t="shared" si="22"/>
        <v>0</v>
      </c>
      <c r="FJ39" s="313">
        <f t="shared" si="22"/>
        <v>0</v>
      </c>
      <c r="FK39" s="313">
        <f t="shared" si="22"/>
        <v>0</v>
      </c>
      <c r="FL39" s="313">
        <f t="shared" si="22"/>
        <v>0</v>
      </c>
      <c r="FM39" s="313">
        <f t="shared" si="22"/>
        <v>0</v>
      </c>
      <c r="FN39" s="313">
        <f t="shared" si="22"/>
        <v>0</v>
      </c>
      <c r="FO39" s="313">
        <f t="shared" si="22"/>
        <v>0</v>
      </c>
      <c r="FP39" s="313">
        <f t="shared" si="22"/>
        <v>0</v>
      </c>
      <c r="FQ39" s="313">
        <f t="shared" si="22"/>
        <v>0</v>
      </c>
      <c r="FR39" s="313">
        <f t="shared" si="22"/>
        <v>0</v>
      </c>
      <c r="FS39" s="313">
        <f t="shared" si="22"/>
        <v>0</v>
      </c>
      <c r="FT39" s="313">
        <f t="shared" si="22"/>
        <v>0</v>
      </c>
      <c r="FU39" s="313">
        <f t="shared" si="22"/>
        <v>0</v>
      </c>
      <c r="FV39" s="313">
        <f t="shared" si="22"/>
        <v>0</v>
      </c>
      <c r="FW39" s="313">
        <f t="shared" si="22"/>
        <v>0</v>
      </c>
      <c r="FX39" s="313">
        <f t="shared" si="22"/>
        <v>0</v>
      </c>
      <c r="FY39" s="313">
        <f t="shared" si="22"/>
        <v>0</v>
      </c>
      <c r="FZ39" s="313">
        <f t="shared" si="22"/>
        <v>0</v>
      </c>
      <c r="GA39" s="329">
        <f t="shared" si="22"/>
        <v>0</v>
      </c>
    </row>
    <row r="40" spans="1:183" x14ac:dyDescent="0.15">
      <c r="A40" s="346" t="s">
        <v>601</v>
      </c>
      <c r="C40" s="336"/>
      <c r="D40" s="313">
        <f>-D39*Inputs_MySOL!$B$21</f>
        <v>0</v>
      </c>
      <c r="E40" s="313">
        <f>-E39*Inputs_MySOL!$B$21</f>
        <v>0</v>
      </c>
      <c r="F40" s="313">
        <f>-F39*Inputs_MySOL!$B$21</f>
        <v>0</v>
      </c>
      <c r="G40" s="313">
        <f>-G39*Inputs_MySOL!$B$21</f>
        <v>0</v>
      </c>
      <c r="H40" s="313">
        <f>-H39*Inputs_MySOL!$B$21</f>
        <v>0</v>
      </c>
      <c r="I40" s="313">
        <f>-I39*Inputs_MySOL!$B$21</f>
        <v>0</v>
      </c>
      <c r="J40" s="313">
        <f>-J39*Inputs_MySOL!$B$21</f>
        <v>0</v>
      </c>
      <c r="K40" s="313">
        <f>-K39*Inputs_MySOL!$B$21</f>
        <v>0</v>
      </c>
      <c r="L40" s="313">
        <f>-L39*Inputs_MySOL!$B$21</f>
        <v>0</v>
      </c>
      <c r="M40" s="313">
        <f>-M39*Inputs_MySOL!$B$21</f>
        <v>0</v>
      </c>
      <c r="N40" s="313">
        <f>-N39*Inputs_MySOL!$B$21</f>
        <v>0</v>
      </c>
      <c r="O40" s="313">
        <f>-O39*Inputs_MySOL!$B$21</f>
        <v>0</v>
      </c>
      <c r="P40" s="313">
        <f>-P39*Inputs_MySOL!$B$21</f>
        <v>0</v>
      </c>
      <c r="Q40" s="313">
        <f>-Q39*Inputs_MySOL!$B$21</f>
        <v>0</v>
      </c>
      <c r="R40" s="313">
        <f>-R39*Inputs_MySOL!$B$21</f>
        <v>0</v>
      </c>
      <c r="S40" s="313">
        <f>-S39*Inputs_MySOL!$B$21</f>
        <v>0</v>
      </c>
      <c r="T40" s="313">
        <f>-T39*Inputs_MySOL!$B$21</f>
        <v>0</v>
      </c>
      <c r="U40" s="313">
        <f>-U39*Inputs_MySOL!$B$21</f>
        <v>0</v>
      </c>
      <c r="V40" s="313">
        <f>-V39*Inputs_MySOL!$B$21</f>
        <v>0</v>
      </c>
      <c r="W40" s="313">
        <f>-W39*Inputs_MySOL!$B$21</f>
        <v>0</v>
      </c>
      <c r="X40" s="313">
        <f>-X39*Inputs_MySOL!$B$21</f>
        <v>0</v>
      </c>
      <c r="Y40" s="313">
        <f>-Y39*Inputs_MySOL!$B$21</f>
        <v>0</v>
      </c>
      <c r="Z40" s="313">
        <f>-Z39*Inputs_MySOL!$B$21</f>
        <v>0</v>
      </c>
      <c r="AA40" s="313">
        <f>-AA39*Inputs_MySOL!$B$21</f>
        <v>0</v>
      </c>
      <c r="AB40" s="313">
        <f>-AB39*Inputs_MySOL!$B$21</f>
        <v>0</v>
      </c>
      <c r="AC40" s="313">
        <f>-AC39*Inputs_MySOL!$B$21</f>
        <v>0</v>
      </c>
      <c r="AD40" s="313">
        <f>-AD39*Inputs_MySOL!$B$21</f>
        <v>0</v>
      </c>
      <c r="AE40" s="313">
        <f>-AE39*Inputs_MySOL!$B$21</f>
        <v>0</v>
      </c>
      <c r="AF40" s="313">
        <f>-AF39*Inputs_MySOL!$B$21</f>
        <v>0</v>
      </c>
      <c r="AG40" s="313">
        <f>-AG39*Inputs_MySOL!$B$21</f>
        <v>0</v>
      </c>
      <c r="AH40" s="313">
        <f>-AH39*Inputs_MySOL!$B$21</f>
        <v>0</v>
      </c>
      <c r="AI40" s="313">
        <f>-AI39*Inputs_MySOL!$B$21</f>
        <v>0</v>
      </c>
      <c r="AJ40" s="313">
        <f>-AJ39*Inputs_MySOL!$B$21</f>
        <v>0</v>
      </c>
      <c r="AK40" s="313">
        <f>-AK39*Inputs_MySOL!$B$21</f>
        <v>0</v>
      </c>
      <c r="AL40" s="313">
        <f>-AL39*Inputs_MySOL!$B$21</f>
        <v>0</v>
      </c>
      <c r="AM40" s="313">
        <f>-AM39*Inputs_MySOL!$B$21</f>
        <v>0</v>
      </c>
      <c r="AN40" s="313">
        <f>-AN39*Inputs_MySOL!$B$21</f>
        <v>0</v>
      </c>
      <c r="AO40" s="313">
        <f>-AO39*Inputs_MySOL!$B$21</f>
        <v>0</v>
      </c>
      <c r="AP40" s="313">
        <f>-AP39*Inputs_MySOL!$B$21</f>
        <v>0</v>
      </c>
      <c r="AQ40" s="313">
        <f>-AQ39*Inputs_MySOL!$B$21</f>
        <v>0</v>
      </c>
      <c r="AR40" s="313">
        <f>-AR39*Inputs_MySOL!$B$21</f>
        <v>0</v>
      </c>
      <c r="AS40" s="313">
        <f>-AS39*Inputs_MySOL!$B$21</f>
        <v>0</v>
      </c>
      <c r="AT40" s="313">
        <f>-AT39*Inputs_MySOL!$B$21</f>
        <v>0</v>
      </c>
      <c r="AU40" s="313">
        <f>-AU39*Inputs_MySOL!$B$21</f>
        <v>0</v>
      </c>
      <c r="AV40" s="313">
        <f>-AV39*Inputs_MySOL!$B$21</f>
        <v>0</v>
      </c>
      <c r="AW40" s="313">
        <f>-AW39*Inputs_MySOL!$B$21</f>
        <v>0</v>
      </c>
      <c r="AX40" s="313">
        <f>-AX39*Inputs_MySOL!$B$21</f>
        <v>0</v>
      </c>
      <c r="AY40" s="313">
        <f>-AY39*Inputs_MySOL!$B$21</f>
        <v>0</v>
      </c>
      <c r="AZ40" s="313">
        <f>-AZ39*Inputs_MySOL!$B$21</f>
        <v>0</v>
      </c>
      <c r="BA40" s="313">
        <f>-BA39*Inputs_MySOL!$B$21</f>
        <v>0</v>
      </c>
      <c r="BB40" s="313">
        <f>-BB39*Inputs_MySOL!$B$21</f>
        <v>0</v>
      </c>
      <c r="BC40" s="313">
        <f>-BC39*Inputs_MySOL!$B$21</f>
        <v>0</v>
      </c>
      <c r="BD40" s="313">
        <f>-BD39*Inputs_MySOL!$B$21</f>
        <v>0</v>
      </c>
      <c r="BE40" s="313">
        <f>-BE39*Inputs_MySOL!$B$21</f>
        <v>0</v>
      </c>
      <c r="BF40" s="313">
        <f>-BF39*Inputs_MySOL!$B$21</f>
        <v>0</v>
      </c>
      <c r="BG40" s="313">
        <f>-BG39*Inputs_MySOL!$B$21</f>
        <v>0</v>
      </c>
      <c r="BH40" s="313">
        <f>-BH39*Inputs_MySOL!$B$21</f>
        <v>0</v>
      </c>
      <c r="BI40" s="313">
        <f>-BI39*Inputs_MySOL!$B$21</f>
        <v>0</v>
      </c>
      <c r="BJ40" s="313">
        <f>-BJ39*Inputs_MySOL!$B$21</f>
        <v>0</v>
      </c>
      <c r="BK40" s="313">
        <f>-BK39*Inputs_MySOL!$B$21</f>
        <v>0</v>
      </c>
      <c r="BL40" s="313">
        <f>-BL39*Inputs_MySOL!$B$21</f>
        <v>0</v>
      </c>
      <c r="BM40" s="313">
        <f>-BM39*Inputs_MySOL!$B$21</f>
        <v>0</v>
      </c>
      <c r="BN40" s="313">
        <f>-BN39*Inputs_MySOL!$B$21</f>
        <v>0</v>
      </c>
      <c r="BO40" s="313">
        <f>-BO39*Inputs_MySOL!$B$21</f>
        <v>0</v>
      </c>
      <c r="BP40" s="313">
        <f>-BP39*Inputs_MySOL!$B$21</f>
        <v>0</v>
      </c>
      <c r="BQ40" s="313">
        <f>-BQ39*Inputs_MySOL!$B$21</f>
        <v>0</v>
      </c>
      <c r="BR40" s="313">
        <f>-BR39*Inputs_MySOL!$B$21</f>
        <v>0</v>
      </c>
      <c r="BS40" s="313">
        <f>-BS39*Inputs_MySOL!$B$21</f>
        <v>0</v>
      </c>
      <c r="BT40" s="313">
        <f>-BT39*Inputs_MySOL!$B$21</f>
        <v>0</v>
      </c>
      <c r="BU40" s="313">
        <f>-BU39*Inputs_MySOL!$B$21</f>
        <v>0</v>
      </c>
      <c r="BV40" s="313">
        <f>-BV39*Inputs_MySOL!$B$21</f>
        <v>0</v>
      </c>
      <c r="BW40" s="313">
        <f>-BW39*Inputs_MySOL!$B$21</f>
        <v>0</v>
      </c>
      <c r="BX40" s="313">
        <f>-BX39*Inputs_MySOL!$B$21</f>
        <v>0</v>
      </c>
      <c r="BY40" s="313">
        <f>-BY39*Inputs_MySOL!$B$21</f>
        <v>0</v>
      </c>
      <c r="BZ40" s="313">
        <f>-BZ39*Inputs_MySOL!$B$21</f>
        <v>0</v>
      </c>
      <c r="CA40" s="313">
        <f>-CA39*Inputs_MySOL!$B$21</f>
        <v>0</v>
      </c>
      <c r="CB40" s="313">
        <f>-CB39*Inputs_MySOL!$B$21</f>
        <v>0</v>
      </c>
      <c r="CC40" s="313">
        <f>-CC39*Inputs_MySOL!$B$21</f>
        <v>0</v>
      </c>
      <c r="CD40" s="313">
        <f>-CD39*Inputs_MySOL!$B$21</f>
        <v>0</v>
      </c>
      <c r="CE40" s="313">
        <f>-CE39*Inputs_MySOL!$B$21</f>
        <v>0</v>
      </c>
      <c r="CF40" s="313">
        <f>-CF39*Inputs_MySOL!$B$21</f>
        <v>0</v>
      </c>
      <c r="CG40" s="313">
        <f>-CG39*Inputs_MySOL!$B$21</f>
        <v>0</v>
      </c>
      <c r="CH40" s="313">
        <f>-CH39*Inputs_MySOL!$B$21</f>
        <v>0</v>
      </c>
      <c r="CI40" s="313">
        <f>-CI39*Inputs_MySOL!$B$21</f>
        <v>0</v>
      </c>
      <c r="CJ40" s="313">
        <f>-CJ39*Inputs_MySOL!$B$21</f>
        <v>0</v>
      </c>
      <c r="CK40" s="313">
        <f>-CK39*Inputs_MySOL!$B$21</f>
        <v>0</v>
      </c>
      <c r="CL40" s="313">
        <f>-CL39*Inputs_MySOL!$B$21</f>
        <v>0</v>
      </c>
      <c r="CM40" s="313">
        <f>-CM39*Inputs_MySOL!$B$21</f>
        <v>0</v>
      </c>
      <c r="CN40" s="313">
        <f>-CN39*Inputs_MySOL!$B$21</f>
        <v>0</v>
      </c>
      <c r="CO40" s="313">
        <f>-CO39*Inputs_MySOL!$B$21</f>
        <v>0</v>
      </c>
      <c r="CP40" s="313">
        <f>-CP39*Inputs_MySOL!$B$21</f>
        <v>0</v>
      </c>
      <c r="CQ40" s="313">
        <f>-CQ39*Inputs_MySOL!$B$21</f>
        <v>0</v>
      </c>
      <c r="CR40" s="313">
        <f>-CR39*Inputs_MySOL!$B$21</f>
        <v>0</v>
      </c>
      <c r="CS40" s="313">
        <f>-CS39*Inputs_MySOL!$B$21</f>
        <v>0</v>
      </c>
      <c r="CT40" s="313">
        <f>-CT39*Inputs_MySOL!$B$21</f>
        <v>0</v>
      </c>
      <c r="CU40" s="313">
        <f>-CU39*Inputs_MySOL!$B$21</f>
        <v>0</v>
      </c>
      <c r="CV40" s="313">
        <f>-CV39*Inputs_MySOL!$B$21</f>
        <v>0</v>
      </c>
      <c r="CW40" s="313">
        <f>-CW39*Inputs_MySOL!$B$21</f>
        <v>0</v>
      </c>
      <c r="CX40" s="313">
        <f>-CX39*Inputs_MySOL!$B$21</f>
        <v>0</v>
      </c>
      <c r="CY40" s="313">
        <f>-CY39*Inputs_MySOL!$B$21</f>
        <v>0</v>
      </c>
      <c r="CZ40" s="313">
        <f>-CZ39*Inputs_MySOL!$B$21</f>
        <v>0</v>
      </c>
      <c r="DA40" s="313">
        <f>-DA39*Inputs_MySOL!$B$21</f>
        <v>0</v>
      </c>
      <c r="DB40" s="313">
        <f>-DB39*Inputs_MySOL!$B$21</f>
        <v>0</v>
      </c>
      <c r="DC40" s="313">
        <f>-DC39*Inputs_MySOL!$B$21</f>
        <v>0</v>
      </c>
      <c r="DD40" s="313">
        <f>-DD39*Inputs_MySOL!$B$21</f>
        <v>0</v>
      </c>
      <c r="DE40" s="313">
        <f>-DE39*Inputs_MySOL!$B$21</f>
        <v>0</v>
      </c>
      <c r="DF40" s="313">
        <f>-DF39*Inputs_MySOL!$B$21</f>
        <v>0</v>
      </c>
      <c r="DG40" s="313">
        <f>-DG39*Inputs_MySOL!$B$21</f>
        <v>0</v>
      </c>
      <c r="DH40" s="313">
        <f>-DH39*Inputs_MySOL!$B$21</f>
        <v>0</v>
      </c>
      <c r="DI40" s="313">
        <f>-DI39*Inputs_MySOL!$B$21</f>
        <v>0</v>
      </c>
      <c r="DJ40" s="313">
        <f>-DJ39*Inputs_MySOL!$B$21</f>
        <v>0</v>
      </c>
      <c r="DK40" s="313">
        <f>-DK39*Inputs_MySOL!$B$21</f>
        <v>0</v>
      </c>
      <c r="DL40" s="313">
        <f>-DL39*Inputs_MySOL!$B$21</f>
        <v>0</v>
      </c>
      <c r="DM40" s="313">
        <f>-DM39*Inputs_MySOL!$B$21</f>
        <v>0</v>
      </c>
      <c r="DN40" s="313">
        <f>-DN39*Inputs_MySOL!$B$21</f>
        <v>0</v>
      </c>
      <c r="DO40" s="313">
        <f>-DO39*Inputs_MySOL!$B$21</f>
        <v>0</v>
      </c>
      <c r="DP40" s="313">
        <f>-DP39*Inputs_MySOL!$B$21</f>
        <v>0</v>
      </c>
      <c r="DQ40" s="313">
        <f>-DQ39*Inputs_MySOL!$B$21</f>
        <v>0</v>
      </c>
      <c r="DR40" s="313">
        <f>-DR39*Inputs_MySOL!$B$21</f>
        <v>0</v>
      </c>
      <c r="DS40" s="313">
        <f>-DS39*Inputs_MySOL!$B$21</f>
        <v>0</v>
      </c>
      <c r="DT40" s="313">
        <f>-DT39*Inputs_MySOL!$B$21</f>
        <v>0</v>
      </c>
      <c r="DU40" s="313">
        <f>-DU39*Inputs_MySOL!$B$21</f>
        <v>0</v>
      </c>
      <c r="DV40" s="313">
        <f>-DV39*Inputs_MySOL!$B$21</f>
        <v>0</v>
      </c>
      <c r="DW40" s="313">
        <f>-DW39*Inputs_MySOL!$B$21</f>
        <v>0</v>
      </c>
      <c r="DX40" s="313">
        <f>-DX39*Inputs_MySOL!$B$21</f>
        <v>0</v>
      </c>
      <c r="DY40" s="313">
        <f>-DY39*Inputs_MySOL!$B$21</f>
        <v>0</v>
      </c>
      <c r="DZ40" s="313">
        <f>-DZ39*Inputs_MySOL!$B$21</f>
        <v>0</v>
      </c>
      <c r="EA40" s="313">
        <f>-EA39*Inputs_MySOL!$B$21</f>
        <v>0</v>
      </c>
      <c r="EB40" s="313">
        <f>-EB39*Inputs_MySOL!$B$21</f>
        <v>0</v>
      </c>
      <c r="EC40" s="313">
        <f>-EC39*Inputs_MySOL!$B$21</f>
        <v>0</v>
      </c>
      <c r="ED40" s="313">
        <f>-ED39*Inputs_MySOL!$B$21</f>
        <v>0</v>
      </c>
      <c r="EE40" s="313">
        <f>-EE39*Inputs_MySOL!$B$21</f>
        <v>0</v>
      </c>
      <c r="EF40" s="313">
        <f>-EF39*Inputs_MySOL!$B$21</f>
        <v>0</v>
      </c>
      <c r="EG40" s="313">
        <f>-EG39*Inputs_MySOL!$B$21</f>
        <v>0</v>
      </c>
      <c r="EH40" s="313">
        <f>-EH39*Inputs_MySOL!$B$21</f>
        <v>0</v>
      </c>
      <c r="EI40" s="313">
        <f>-EI39*Inputs_MySOL!$B$21</f>
        <v>0</v>
      </c>
      <c r="EJ40" s="313">
        <f>-EJ39*Inputs_MySOL!$B$21</f>
        <v>0</v>
      </c>
      <c r="EK40" s="313">
        <f>-EK39*Inputs_MySOL!$B$21</f>
        <v>0</v>
      </c>
      <c r="EL40" s="313">
        <f>-EL39*Inputs_MySOL!$B$21</f>
        <v>0</v>
      </c>
      <c r="EM40" s="313">
        <f>-EM39*Inputs_MySOL!$B$21</f>
        <v>0</v>
      </c>
      <c r="EN40" s="313">
        <f>-EN39*Inputs_MySOL!$B$21</f>
        <v>0</v>
      </c>
      <c r="EO40" s="313">
        <f>-EO39*Inputs_MySOL!$B$21</f>
        <v>0</v>
      </c>
      <c r="EP40" s="313">
        <f>-EP39*Inputs_MySOL!$B$21</f>
        <v>0</v>
      </c>
      <c r="EQ40" s="313">
        <f>-EQ39*Inputs_MySOL!$B$21</f>
        <v>0</v>
      </c>
      <c r="ER40" s="313">
        <f>-ER39*Inputs_MySOL!$B$21</f>
        <v>0</v>
      </c>
      <c r="ES40" s="313">
        <f>-ES39*Inputs_MySOL!$B$21</f>
        <v>0</v>
      </c>
      <c r="ET40" s="313">
        <f>-ET39*Inputs_MySOL!$B$21</f>
        <v>0</v>
      </c>
      <c r="EU40" s="313">
        <f>-EU39*Inputs_MySOL!$B$21</f>
        <v>0</v>
      </c>
      <c r="EV40" s="313">
        <f>-EV39*Inputs_MySOL!$B$21</f>
        <v>0</v>
      </c>
      <c r="EW40" s="313">
        <f>-EW39*Inputs_MySOL!$B$21</f>
        <v>0</v>
      </c>
      <c r="EX40" s="313">
        <f>-EX39*Inputs_MySOL!$B$21</f>
        <v>0</v>
      </c>
      <c r="EY40" s="313">
        <f>-EY39*Inputs_MySOL!$B$21</f>
        <v>0</v>
      </c>
      <c r="EZ40" s="313">
        <f>-EZ39*Inputs_MySOL!$B$21</f>
        <v>0</v>
      </c>
      <c r="FA40" s="313">
        <f>-FA39*Inputs_MySOL!$B$21</f>
        <v>0</v>
      </c>
      <c r="FB40" s="313">
        <f>-FB39*Inputs_MySOL!$B$21</f>
        <v>0</v>
      </c>
      <c r="FC40" s="313">
        <f>-FC39*Inputs_MySOL!$B$21</f>
        <v>0</v>
      </c>
      <c r="FD40" s="313">
        <f>-FD39*Inputs_MySOL!$B$21</f>
        <v>0</v>
      </c>
      <c r="FE40" s="313">
        <f>-FE39*Inputs_MySOL!$B$21</f>
        <v>0</v>
      </c>
      <c r="FF40" s="313">
        <f>-FF39*Inputs_MySOL!$B$21</f>
        <v>0</v>
      </c>
      <c r="FG40" s="313">
        <f>-FG39*Inputs_MySOL!$B$21</f>
        <v>0</v>
      </c>
      <c r="FH40" s="313">
        <f>-FH39*Inputs_MySOL!$B$21</f>
        <v>0</v>
      </c>
      <c r="FI40" s="313">
        <f>-FI39*Inputs_MySOL!$B$21</f>
        <v>0</v>
      </c>
      <c r="FJ40" s="313">
        <f>-FJ39*Inputs_MySOL!$B$21</f>
        <v>0</v>
      </c>
      <c r="FK40" s="313">
        <f>-FK39*Inputs_MySOL!$B$21</f>
        <v>0</v>
      </c>
      <c r="FL40" s="313">
        <f>-FL39*Inputs_MySOL!$B$21</f>
        <v>0</v>
      </c>
      <c r="FM40" s="313">
        <f>-FM39*Inputs_MySOL!$B$21</f>
        <v>0</v>
      </c>
      <c r="FN40" s="313">
        <f>-FN39*Inputs_MySOL!$B$21</f>
        <v>0</v>
      </c>
      <c r="FO40" s="313">
        <f>-FO39*Inputs_MySOL!$B$21</f>
        <v>0</v>
      </c>
      <c r="FP40" s="313">
        <f>-FP39*Inputs_MySOL!$B$21</f>
        <v>0</v>
      </c>
      <c r="FQ40" s="313">
        <f>-FQ39*Inputs_MySOL!$B$21</f>
        <v>0</v>
      </c>
      <c r="FR40" s="313">
        <f>-FR39*Inputs_MySOL!$B$21</f>
        <v>0</v>
      </c>
      <c r="FS40" s="313">
        <f>-FS39*Inputs_MySOL!$B$21</f>
        <v>0</v>
      </c>
      <c r="FT40" s="313">
        <f>-FT39*Inputs_MySOL!$B$21</f>
        <v>0</v>
      </c>
      <c r="FU40" s="313">
        <f>-FU39*Inputs_MySOL!$B$21</f>
        <v>0</v>
      </c>
      <c r="FV40" s="313">
        <f>-FV39*Inputs_MySOL!$B$21</f>
        <v>0</v>
      </c>
      <c r="FW40" s="313">
        <f>-FW39*Inputs_MySOL!$B$21</f>
        <v>0</v>
      </c>
      <c r="FX40" s="313">
        <f>-FX39*Inputs_MySOL!$B$21</f>
        <v>0</v>
      </c>
      <c r="FY40" s="313">
        <f>-FY39*Inputs_MySOL!$B$21</f>
        <v>0</v>
      </c>
      <c r="FZ40" s="313">
        <f>-FZ39*Inputs_MySOL!$B$21</f>
        <v>0</v>
      </c>
      <c r="GA40" s="329">
        <f>-GA39*Inputs_MySOL!$B$21</f>
        <v>0</v>
      </c>
    </row>
    <row r="41" spans="1:183" x14ac:dyDescent="0.15">
      <c r="A41" s="348" t="s">
        <v>602</v>
      </c>
      <c r="C41" s="360">
        <f>-C12+C15</f>
        <v>0</v>
      </c>
      <c r="D41" s="407">
        <f>(D$36*Inputs_MySOL!$B$15)+D$39+D$40</f>
        <v>0</v>
      </c>
      <c r="E41" s="359">
        <f>(E$36*Inputs_MySOL!$B$15)+E$39+E$40</f>
        <v>0</v>
      </c>
      <c r="F41" s="359">
        <f>(F$36*Inputs_MySOL!$B$15)+F$39+F$40</f>
        <v>0</v>
      </c>
      <c r="G41" s="359">
        <f>(G$36*Inputs_MySOL!$B$15)+G$39+G$40</f>
        <v>0</v>
      </c>
      <c r="H41" s="359">
        <f>(H$36*Inputs_MySOL!$B$15)+H$39+H$40</f>
        <v>0</v>
      </c>
      <c r="I41" s="359">
        <f>(I$36*Inputs_MySOL!$B$15)+I$39+I$40</f>
        <v>0</v>
      </c>
      <c r="J41" s="359">
        <f>(J$36*Inputs_MySOL!$B$15)+J$39+J$40</f>
        <v>0</v>
      </c>
      <c r="K41" s="359">
        <f>(K$36*Inputs_MySOL!$B$15)+K$39+K$40</f>
        <v>0</v>
      </c>
      <c r="L41" s="359">
        <f>(L$36*Inputs_MySOL!$B$15)+L$39+L$40</f>
        <v>0</v>
      </c>
      <c r="M41" s="359">
        <f>(M$36*Inputs_MySOL!$B$15)+M$39+M$40</f>
        <v>0</v>
      </c>
      <c r="N41" s="359">
        <f>(N$36*Inputs_MySOL!$B$15)+N$39+N$40</f>
        <v>0</v>
      </c>
      <c r="O41" s="359">
        <f>(O$36*Inputs_MySOL!$B$15)+O$39+O$40</f>
        <v>0</v>
      </c>
      <c r="P41" s="359">
        <f>(P$36*Inputs_MySOL!$B$15)+P$39+P$40</f>
        <v>0</v>
      </c>
      <c r="Q41" s="359">
        <f>(Q$36*Inputs_MySOL!$B$15)+Q$39+Q$40</f>
        <v>0</v>
      </c>
      <c r="R41" s="359">
        <f>(R$36*Inputs_MySOL!$B$15)+R$39+R$40</f>
        <v>0</v>
      </c>
      <c r="S41" s="359">
        <f>(S$36*Inputs_MySOL!$B$15)+S$39+S$40</f>
        <v>0</v>
      </c>
      <c r="T41" s="359">
        <f>(T$36*Inputs_MySOL!$B$15)+T$39+T$40</f>
        <v>0</v>
      </c>
      <c r="U41" s="359">
        <f>(U$36*Inputs_MySOL!$B$15)+U$39+U$40</f>
        <v>0</v>
      </c>
      <c r="V41" s="359">
        <f>(V$36*Inputs_MySOL!$B$15)+V$39+V$40</f>
        <v>0</v>
      </c>
      <c r="W41" s="359">
        <f>(W$36*Inputs_MySOL!$B$15)+W$39+W$40</f>
        <v>0</v>
      </c>
      <c r="X41" s="359">
        <f>(X$36*Inputs_MySOL!$B$15)+X$39+X$40</f>
        <v>0</v>
      </c>
      <c r="Y41" s="359">
        <f>(Y$36*Inputs_MySOL!$B$15)+Y$39+Y$40</f>
        <v>0</v>
      </c>
      <c r="Z41" s="359">
        <f>(Z$36*Inputs_MySOL!$B$15)+Z$39+Z$40</f>
        <v>0</v>
      </c>
      <c r="AA41" s="359">
        <f>(AA$36*Inputs_MySOL!$B$15)+AA$39+AA$40</f>
        <v>0</v>
      </c>
      <c r="AB41" s="359">
        <f>(AB$36*Inputs_MySOL!$B$15)+AB$39+AB$40</f>
        <v>0</v>
      </c>
      <c r="AC41" s="359">
        <f>(AC$36*Inputs_MySOL!$B$15)+AC$39+AC$40</f>
        <v>0</v>
      </c>
      <c r="AD41" s="359">
        <f>(AD$36*Inputs_MySOL!$B$15)+AD$39+AD$40</f>
        <v>0</v>
      </c>
      <c r="AE41" s="359">
        <f>(AE$36*Inputs_MySOL!$B$15)+AE$39+AE$40</f>
        <v>0</v>
      </c>
      <c r="AF41" s="359">
        <f>(AF$36*Inputs_MySOL!$B$15)+AF$39+AF$40</f>
        <v>0</v>
      </c>
      <c r="AG41" s="359">
        <f>(AG$36*Inputs_MySOL!$B$15)+AG$39+AG$40</f>
        <v>0</v>
      </c>
      <c r="AH41" s="359">
        <f>(AH$36*Inputs_MySOL!$B$15)+AH$39+AH$40</f>
        <v>0</v>
      </c>
      <c r="AI41" s="359">
        <f>(AI$36*Inputs_MySOL!$B$15)+AI$39+AI$40</f>
        <v>0</v>
      </c>
      <c r="AJ41" s="359">
        <f>(AJ$36*Inputs_MySOL!$B$15)+AJ$39+AJ$40</f>
        <v>0</v>
      </c>
      <c r="AK41" s="359">
        <f>(AK$36*Inputs_MySOL!$B$15)+AK$39+AK$40</f>
        <v>0</v>
      </c>
      <c r="AL41" s="359">
        <f>(AL$36*Inputs_MySOL!$B$15)+AL$39+AL$40</f>
        <v>0</v>
      </c>
      <c r="AM41" s="359">
        <f>(AM$36*Inputs_MySOL!$B$15)+AM$39+AM$40</f>
        <v>0</v>
      </c>
      <c r="AN41" s="359">
        <f>(AN$36*Inputs_MySOL!$B$15)+AN$39+AN$40</f>
        <v>0</v>
      </c>
      <c r="AO41" s="359">
        <f>(AO$36*Inputs_MySOL!$B$15)+AO$39+AO$40</f>
        <v>0</v>
      </c>
      <c r="AP41" s="359">
        <f>(AP$36*Inputs_MySOL!$B$15)+AP$39+AP$40</f>
        <v>0</v>
      </c>
      <c r="AQ41" s="359">
        <f>(AQ$36*Inputs_MySOL!$B$15)+AQ$39+AQ$40</f>
        <v>0</v>
      </c>
      <c r="AR41" s="359">
        <f>(AR$36*Inputs_MySOL!$B$15)+AR$39+AR$40</f>
        <v>0</v>
      </c>
      <c r="AS41" s="359">
        <f>(AS$36*Inputs_MySOL!$B$15)+AS$39+AS$40</f>
        <v>0</v>
      </c>
      <c r="AT41" s="359">
        <f>(AT$36*Inputs_MySOL!$B$15)+AT$39+AT$40</f>
        <v>0</v>
      </c>
      <c r="AU41" s="359">
        <f>(AU$36*Inputs_MySOL!$B$15)+AU$39+AU$40</f>
        <v>0</v>
      </c>
      <c r="AV41" s="359">
        <f>(AV$36*Inputs_MySOL!$B$15)+AV$39+AV$40</f>
        <v>0</v>
      </c>
      <c r="AW41" s="359">
        <f>(AW$36*Inputs_MySOL!$B$15)+AW$39+AW$40</f>
        <v>0</v>
      </c>
      <c r="AX41" s="359">
        <f>(AX$36*Inputs_MySOL!$B$15)+AX$39+AX$40</f>
        <v>0</v>
      </c>
      <c r="AY41" s="359">
        <f>(AY$36*Inputs_MySOL!$B$15)+AY$39+AY$40</f>
        <v>0</v>
      </c>
      <c r="AZ41" s="359">
        <f>(AZ$36*Inputs_MySOL!$B$15)+AZ$39+AZ$40</f>
        <v>0</v>
      </c>
      <c r="BA41" s="359">
        <f>(BA$36*Inputs_MySOL!$B$15)+BA$39+BA$40</f>
        <v>0</v>
      </c>
      <c r="BB41" s="359">
        <f>(BB$36*Inputs_MySOL!$B$15)+BB$39+BB$40</f>
        <v>0</v>
      </c>
      <c r="BC41" s="359">
        <f>(BC$36*Inputs_MySOL!$B$15)+BC$39+BC$40</f>
        <v>0</v>
      </c>
      <c r="BD41" s="359">
        <f>(BD$36*Inputs_MySOL!$B$15)+BD$39+BD$40</f>
        <v>0</v>
      </c>
      <c r="BE41" s="359">
        <f>(BE$36*Inputs_MySOL!$B$15)+BE$39+BE$40</f>
        <v>0</v>
      </c>
      <c r="BF41" s="359">
        <f>(BF$36*Inputs_MySOL!$B$15)+BF$39+BF$40</f>
        <v>0</v>
      </c>
      <c r="BG41" s="359">
        <f>(BG$36*Inputs_MySOL!$B$15)+BG$39+BG$40</f>
        <v>0</v>
      </c>
      <c r="BH41" s="359">
        <f>(BH$36*Inputs_MySOL!$B$15)+BH$39+BH$40</f>
        <v>0</v>
      </c>
      <c r="BI41" s="359">
        <f>(BI$36*Inputs_MySOL!$B$15)+BI$39+BI$40</f>
        <v>0</v>
      </c>
      <c r="BJ41" s="359">
        <f>(BJ$36*Inputs_MySOL!$B$15)+BJ$39+BJ$40</f>
        <v>0</v>
      </c>
      <c r="BK41" s="359">
        <f>(BK$36*Inputs_MySOL!$B$15)+BK$39+BK$40</f>
        <v>0</v>
      </c>
      <c r="BL41" s="359">
        <f>(BL$36*Inputs_MySOL!$B$15)+BL$39+BL$40</f>
        <v>0</v>
      </c>
      <c r="BM41" s="359">
        <f>(BM$36*Inputs_MySOL!$B$15)+BM$39+BM$40</f>
        <v>0</v>
      </c>
      <c r="BN41" s="359">
        <f>(BN$36*Inputs_MySOL!$B$15)+BN$39+BN$40</f>
        <v>0</v>
      </c>
      <c r="BO41" s="359">
        <f>(BO$36*Inputs_MySOL!$B$15)+BO$39+BO$40</f>
        <v>0</v>
      </c>
      <c r="BP41" s="359">
        <f>(BP$36*Inputs_MySOL!$B$15)+BP$39+BP$40</f>
        <v>0</v>
      </c>
      <c r="BQ41" s="359">
        <f>(BQ$36*Inputs_MySOL!$B$15)+BQ$39+BQ$40</f>
        <v>0</v>
      </c>
      <c r="BR41" s="359">
        <f>(BR$36*Inputs_MySOL!$B$15)+BR$39+BR$40</f>
        <v>0</v>
      </c>
      <c r="BS41" s="359">
        <f>(BS$36*Inputs_MySOL!$B$15)+BS$39+BS$40</f>
        <v>0</v>
      </c>
      <c r="BT41" s="359">
        <f>(BT$36*Inputs_MySOL!$B$15)+BT$39+BT$40</f>
        <v>0</v>
      </c>
      <c r="BU41" s="359">
        <f>(BU$36*Inputs_MySOL!$B$15)+BU$39+BU$40</f>
        <v>0</v>
      </c>
      <c r="BV41" s="359">
        <f>(BV$36*Inputs_MySOL!$B$15)+BV$39+BV$40</f>
        <v>0</v>
      </c>
      <c r="BW41" s="359">
        <f>(BW$36*Inputs_MySOL!$B$15)+BW$39+BW$40</f>
        <v>0</v>
      </c>
      <c r="BX41" s="359">
        <f>(BX$36*Inputs_MySOL!$B$15)+BX$39+BX$40</f>
        <v>0</v>
      </c>
      <c r="BY41" s="359">
        <f>(BY$36*Inputs_MySOL!$B$15)+BY$39+BY$40</f>
        <v>0</v>
      </c>
      <c r="BZ41" s="359">
        <f>(BZ$36*Inputs_MySOL!$B$15)+BZ$39+BZ$40</f>
        <v>0</v>
      </c>
      <c r="CA41" s="359">
        <f>(CA$36*Inputs_MySOL!$B$15)+CA$39+CA$40</f>
        <v>0</v>
      </c>
      <c r="CB41" s="359">
        <f>(CB$36*Inputs_MySOL!$B$15)+CB$39+CB$40</f>
        <v>0</v>
      </c>
      <c r="CC41" s="359">
        <f>(CC$36*Inputs_MySOL!$B$15)+CC$39+CC$40</f>
        <v>0</v>
      </c>
      <c r="CD41" s="359">
        <f>(CD$36*Inputs_MySOL!$B$15)+CD$39+CD$40</f>
        <v>0</v>
      </c>
      <c r="CE41" s="359">
        <f>(CE$36*Inputs_MySOL!$B$15)+CE$39+CE$40</f>
        <v>0</v>
      </c>
      <c r="CF41" s="359">
        <f>(CF$36*Inputs_MySOL!$B$15)+CF$39+CF$40</f>
        <v>0</v>
      </c>
      <c r="CG41" s="359">
        <f>(CG$36*Inputs_MySOL!$B$15)+CG$39+CG$40</f>
        <v>0</v>
      </c>
      <c r="CH41" s="359">
        <f>(CH$36*Inputs_MySOL!$B$15)+CH$39+CH$40</f>
        <v>0</v>
      </c>
      <c r="CI41" s="359">
        <f>(CI$36*Inputs_MySOL!$B$15)+CI$39+CI$40</f>
        <v>0</v>
      </c>
      <c r="CJ41" s="359">
        <f>(CJ$36*Inputs_MySOL!$B$15)+CJ$39+CJ$40</f>
        <v>0</v>
      </c>
      <c r="CK41" s="359">
        <f>(CK$36*Inputs_MySOL!$B$15)+CK$39+CK$40</f>
        <v>0</v>
      </c>
      <c r="CL41" s="359">
        <f>(CL$36*Inputs_MySOL!$B$15)+CL$39+CL$40</f>
        <v>0</v>
      </c>
      <c r="CM41" s="359">
        <f>(CM$36*Inputs_MySOL!$B$15)+CM$39+CM$40</f>
        <v>0</v>
      </c>
      <c r="CN41" s="359">
        <f>(CN$36*Inputs_MySOL!$B$15)+CN$39+CN$40</f>
        <v>0</v>
      </c>
      <c r="CO41" s="359">
        <f>(CO$36*Inputs_MySOL!$B$15)+CO$39+CO$40</f>
        <v>0</v>
      </c>
      <c r="CP41" s="359">
        <f>(CP$36*Inputs_MySOL!$B$15)+CP$39+CP$40</f>
        <v>0</v>
      </c>
      <c r="CQ41" s="359">
        <f>(CQ$36*Inputs_MySOL!$B$15)+CQ$39+CQ$40</f>
        <v>0</v>
      </c>
      <c r="CR41" s="359">
        <f>(CR$36*Inputs_MySOL!$B$15)+CR$39+CR$40</f>
        <v>0</v>
      </c>
      <c r="CS41" s="359">
        <f>(CS$36*Inputs_MySOL!$B$15)+CS$39+CS$40</f>
        <v>0</v>
      </c>
      <c r="CT41" s="359">
        <f>(CT$36*Inputs_MySOL!$B$15)+CT$39+CT$40</f>
        <v>0</v>
      </c>
      <c r="CU41" s="359">
        <f>(CU$36*Inputs_MySOL!$B$15)+CU$39+CU$40</f>
        <v>0</v>
      </c>
      <c r="CV41" s="359">
        <f>(CV$36*Inputs_MySOL!$B$15)+CV$39+CV$40</f>
        <v>0</v>
      </c>
      <c r="CW41" s="359">
        <f>(CW$36*Inputs_MySOL!$B$15)+CW$39+CW$40</f>
        <v>0</v>
      </c>
      <c r="CX41" s="359">
        <f>(CX$36*Inputs_MySOL!$B$15)+CX$39+CX$40</f>
        <v>0</v>
      </c>
      <c r="CY41" s="359">
        <f>(CY$36*Inputs_MySOL!$B$15)+CY$39+CY$40</f>
        <v>0</v>
      </c>
      <c r="CZ41" s="359">
        <f>(CZ$36*Inputs_MySOL!$B$15)+CZ$39+CZ$40</f>
        <v>0</v>
      </c>
      <c r="DA41" s="359">
        <f>(DA$36*Inputs_MySOL!$B$15)+DA$39+DA$40</f>
        <v>0</v>
      </c>
      <c r="DB41" s="359">
        <f>(DB$36*Inputs_MySOL!$B$15)+DB$39+DB$40</f>
        <v>0</v>
      </c>
      <c r="DC41" s="359">
        <f>(DC$36*Inputs_MySOL!$B$15)+DC$39+DC$40</f>
        <v>0</v>
      </c>
      <c r="DD41" s="359">
        <f>(DD$36*Inputs_MySOL!$B$15)+DD$39+DD$40</f>
        <v>0</v>
      </c>
      <c r="DE41" s="359">
        <f>(DE$36*Inputs_MySOL!$B$15)+DE$39+DE$40</f>
        <v>0</v>
      </c>
      <c r="DF41" s="359">
        <f>(DF$36*Inputs_MySOL!$B$15)+DF$39+DF$40</f>
        <v>0</v>
      </c>
      <c r="DG41" s="359">
        <f>(DG$36*Inputs_MySOL!$B$15)+DG$39+DG$40</f>
        <v>0</v>
      </c>
      <c r="DH41" s="359">
        <f>(DH$36*Inputs_MySOL!$B$15)+DH$39+DH$40</f>
        <v>0</v>
      </c>
      <c r="DI41" s="359">
        <f>(DI$36*Inputs_MySOL!$B$15)+DI$39+DI$40</f>
        <v>0</v>
      </c>
      <c r="DJ41" s="359">
        <f>(DJ$36*Inputs_MySOL!$B$15)+DJ$39+DJ$40</f>
        <v>0</v>
      </c>
      <c r="DK41" s="359">
        <f>(DK$36*Inputs_MySOL!$B$15)+DK$39+DK$40</f>
        <v>0</v>
      </c>
      <c r="DL41" s="359">
        <f>(DL$36*Inputs_MySOL!$B$15)+DL$39+DL$40</f>
        <v>0</v>
      </c>
      <c r="DM41" s="359">
        <f>(DM$36*Inputs_MySOL!$B$15)+DM$39+DM$40</f>
        <v>0</v>
      </c>
      <c r="DN41" s="359">
        <f>(DN$36*Inputs_MySOL!$B$15)+DN$39+DN$40</f>
        <v>0</v>
      </c>
      <c r="DO41" s="359">
        <f>(DO$36*Inputs_MySOL!$B$15)+DO$39+DO$40</f>
        <v>0</v>
      </c>
      <c r="DP41" s="359">
        <f>(DP$36*Inputs_MySOL!$B$15)+DP$39+DP$40</f>
        <v>0</v>
      </c>
      <c r="DQ41" s="359">
        <f>(DQ$36*Inputs_MySOL!$B$15)+DQ$39+DQ$40</f>
        <v>0</v>
      </c>
      <c r="DR41" s="359">
        <f>(DR$36*Inputs_MySOL!$B$15)+DR$39+DR$40</f>
        <v>0</v>
      </c>
      <c r="DS41" s="359">
        <f>(DS$36*Inputs_MySOL!$B$15)+DS$39+DS$40</f>
        <v>0</v>
      </c>
      <c r="DT41" s="359">
        <f>(DT$36*Inputs_MySOL!$B$15)+DT$39+DT$40</f>
        <v>0</v>
      </c>
      <c r="DU41" s="359">
        <f>(DU$36*Inputs_MySOL!$B$15)+DU$39+DU$40</f>
        <v>0</v>
      </c>
      <c r="DV41" s="359">
        <f>(DV$36*Inputs_MySOL!$B$15)+DV$39+DV$40</f>
        <v>0</v>
      </c>
      <c r="DW41" s="359">
        <f>(DW$36*Inputs_MySOL!$B$15)+DW$39+DW$40</f>
        <v>0</v>
      </c>
      <c r="DX41" s="359">
        <f>(DX$36*Inputs_MySOL!$B$15)+DX$39+DX$40</f>
        <v>0</v>
      </c>
      <c r="DY41" s="359">
        <f>(DY$36*Inputs_MySOL!$B$15)+DY$39+DY$40</f>
        <v>0</v>
      </c>
      <c r="DZ41" s="359">
        <f>(DZ$36*Inputs_MySOL!$B$15)+DZ$39+DZ$40</f>
        <v>0</v>
      </c>
      <c r="EA41" s="359">
        <f>(EA$36*Inputs_MySOL!$B$15)+EA$39+EA$40</f>
        <v>0</v>
      </c>
      <c r="EB41" s="359">
        <f>(EB$36*Inputs_MySOL!$B$15)+EB$39+EB$40</f>
        <v>0</v>
      </c>
      <c r="EC41" s="359">
        <f>(EC$36*Inputs_MySOL!$B$15)+EC$39+EC$40</f>
        <v>0</v>
      </c>
      <c r="ED41" s="359">
        <f>(ED$36*Inputs_MySOL!$B$15)+ED$39+ED$40</f>
        <v>0</v>
      </c>
      <c r="EE41" s="359">
        <f>(EE$36*Inputs_MySOL!$B$15)+EE$39+EE$40</f>
        <v>0</v>
      </c>
      <c r="EF41" s="359">
        <f>(EF$36*Inputs_MySOL!$B$15)+EF$39+EF$40</f>
        <v>0</v>
      </c>
      <c r="EG41" s="359">
        <f>(EG$36*Inputs_MySOL!$B$15)+EG$39+EG$40</f>
        <v>0</v>
      </c>
      <c r="EH41" s="359">
        <f>(EH$36*Inputs_MySOL!$B$15)+EH$39+EH$40</f>
        <v>0</v>
      </c>
      <c r="EI41" s="359">
        <f>(EI$36*Inputs_MySOL!$B$15)+EI$39+EI$40</f>
        <v>0</v>
      </c>
      <c r="EJ41" s="359">
        <f>(EJ$36*Inputs_MySOL!$B$15)+EJ$39+EJ$40</f>
        <v>0</v>
      </c>
      <c r="EK41" s="359">
        <f>(EK$36*Inputs_MySOL!$B$15)+EK$39+EK$40</f>
        <v>0</v>
      </c>
      <c r="EL41" s="359">
        <f>(EL$36*Inputs_MySOL!$B$15)+EL$39+EL$40</f>
        <v>0</v>
      </c>
      <c r="EM41" s="359">
        <f>(EM$36*Inputs_MySOL!$B$15)+EM$39+EM$40</f>
        <v>0</v>
      </c>
      <c r="EN41" s="359">
        <f>(EN$36*Inputs_MySOL!$B$15)+EN$39+EN$40</f>
        <v>0</v>
      </c>
      <c r="EO41" s="359">
        <f>(EO$36*Inputs_MySOL!$B$15)+EO$39+EO$40</f>
        <v>0</v>
      </c>
      <c r="EP41" s="359">
        <f>(EP$36*Inputs_MySOL!$B$15)+EP$39+EP$40</f>
        <v>0</v>
      </c>
      <c r="EQ41" s="359">
        <f>(EQ$36*Inputs_MySOL!$B$15)+EQ$39+EQ$40</f>
        <v>0</v>
      </c>
      <c r="ER41" s="359">
        <f>(ER$36*Inputs_MySOL!$B$15)+ER$39+ER$40</f>
        <v>0</v>
      </c>
      <c r="ES41" s="359">
        <f>(ES$36*Inputs_MySOL!$B$15)+ES$39+ES$40</f>
        <v>0</v>
      </c>
      <c r="ET41" s="359">
        <f>(ET$36*Inputs_MySOL!$B$15)+ET$39+ET$40</f>
        <v>0</v>
      </c>
      <c r="EU41" s="359">
        <f>(EU$36*Inputs_MySOL!$B$15)+EU$39+EU$40</f>
        <v>0</v>
      </c>
      <c r="EV41" s="359">
        <f>(EV$36*Inputs_MySOL!$B$15)+EV$39+EV$40</f>
        <v>0</v>
      </c>
      <c r="EW41" s="359">
        <f>(EW$36*Inputs_MySOL!$B$15)+EW$39+EW$40</f>
        <v>0</v>
      </c>
      <c r="EX41" s="359">
        <f>(EX$36*Inputs_MySOL!$B$15)+EX$39+EX$40</f>
        <v>0</v>
      </c>
      <c r="EY41" s="359">
        <f>(EY$36*Inputs_MySOL!$B$15)+EY$39+EY$40</f>
        <v>0</v>
      </c>
      <c r="EZ41" s="359">
        <f>(EZ$36*Inputs_MySOL!$B$15)+EZ$39+EZ$40</f>
        <v>0</v>
      </c>
      <c r="FA41" s="359">
        <f>(FA$36*Inputs_MySOL!$B$15)+FA$39+FA$40</f>
        <v>0</v>
      </c>
      <c r="FB41" s="359">
        <f>(FB$36*Inputs_MySOL!$B$15)+FB$39+FB$40</f>
        <v>0</v>
      </c>
      <c r="FC41" s="359">
        <f>(FC$36*Inputs_MySOL!$B$15)+FC$39+FC$40</f>
        <v>0</v>
      </c>
      <c r="FD41" s="359">
        <f>(FD$36*Inputs_MySOL!$B$15)+FD$39+FD$40</f>
        <v>0</v>
      </c>
      <c r="FE41" s="359">
        <f>(FE$36*Inputs_MySOL!$B$15)+FE$39+FE$40</f>
        <v>0</v>
      </c>
      <c r="FF41" s="359">
        <f>(FF$36*Inputs_MySOL!$B$15)+FF$39+FF$40</f>
        <v>0</v>
      </c>
      <c r="FG41" s="359">
        <f>(FG$36*Inputs_MySOL!$B$15)+FG$39+FG$40</f>
        <v>0</v>
      </c>
      <c r="FH41" s="359">
        <f>(FH$36*Inputs_MySOL!$B$15)+FH$39+FH$40</f>
        <v>0</v>
      </c>
      <c r="FI41" s="359">
        <f>(FI$36*Inputs_MySOL!$B$15)+FI$39+FI$40</f>
        <v>0</v>
      </c>
      <c r="FJ41" s="359">
        <f>(FJ$36*Inputs_MySOL!$B$15)+FJ$39+FJ$40</f>
        <v>0</v>
      </c>
      <c r="FK41" s="359">
        <f>(FK$36*Inputs_MySOL!$B$15)+FK$39+FK$40</f>
        <v>0</v>
      </c>
      <c r="FL41" s="359">
        <f>(FL$36*Inputs_MySOL!$B$15)+FL$39+FL$40</f>
        <v>0</v>
      </c>
      <c r="FM41" s="359">
        <f>(FM$36*Inputs_MySOL!$B$15)+FM$39+FM$40</f>
        <v>0</v>
      </c>
      <c r="FN41" s="359">
        <f>(FN$36*Inputs_MySOL!$B$15)+FN$39+FN$40</f>
        <v>0</v>
      </c>
      <c r="FO41" s="359">
        <f>(FO$36*Inputs_MySOL!$B$15)+FO$39+FO$40</f>
        <v>0</v>
      </c>
      <c r="FP41" s="359">
        <f>(FP$36*Inputs_MySOL!$B$15)+FP$39+FP$40</f>
        <v>0</v>
      </c>
      <c r="FQ41" s="359">
        <f>(FQ$36*Inputs_MySOL!$B$15)+FQ$39+FQ$40</f>
        <v>0</v>
      </c>
      <c r="FR41" s="359">
        <f>(FR$36*Inputs_MySOL!$B$15)+FR$39+FR$40</f>
        <v>0</v>
      </c>
      <c r="FS41" s="359">
        <f>(FS$36*Inputs_MySOL!$B$15)+FS$39+FS$40</f>
        <v>0</v>
      </c>
      <c r="FT41" s="359">
        <f>(FT$36*Inputs_MySOL!$B$15)+FT$39+FT$40</f>
        <v>0</v>
      </c>
      <c r="FU41" s="359">
        <f>(FU$36*Inputs_MySOL!$B$15)+FU$39+FU$40</f>
        <v>0</v>
      </c>
      <c r="FV41" s="359">
        <f>(FV$36*Inputs_MySOL!$B$15)+FV$39+FV$40</f>
        <v>0</v>
      </c>
      <c r="FW41" s="359">
        <f>(FW$36*Inputs_MySOL!$B$15)+FW$39+FW$40</f>
        <v>0</v>
      </c>
      <c r="FX41" s="359">
        <f>(FX$36*Inputs_MySOL!$B$15)+FX$39+FX$40</f>
        <v>0</v>
      </c>
      <c r="FY41" s="359">
        <f>(FY$36*Inputs_MySOL!$B$15)+FY$39+FY$40</f>
        <v>0</v>
      </c>
      <c r="FZ41" s="359">
        <f>(FZ$36*Inputs_MySOL!$B$15)+FZ$39+FZ$40</f>
        <v>0</v>
      </c>
      <c r="GA41" s="361">
        <f>(GA$36*Inputs_MySOL!$B$15)+GA$39+GA$40</f>
        <v>0</v>
      </c>
    </row>
    <row r="42" spans="1:183" x14ac:dyDescent="0.15">
      <c r="A42" s="358"/>
      <c r="C42" s="325"/>
      <c r="D42" s="313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3"/>
      <c r="AD42" s="313"/>
      <c r="AE42" s="313"/>
      <c r="AF42" s="313"/>
      <c r="AG42" s="313"/>
      <c r="AH42" s="313"/>
      <c r="AI42" s="313"/>
      <c r="AJ42" s="313"/>
      <c r="AK42" s="313"/>
      <c r="AL42" s="313"/>
      <c r="AM42" s="313"/>
      <c r="AN42" s="313"/>
      <c r="AO42" s="313"/>
      <c r="AP42" s="313"/>
      <c r="AQ42" s="313"/>
      <c r="AR42" s="313"/>
      <c r="AS42" s="313"/>
      <c r="AT42" s="313"/>
      <c r="AU42" s="313"/>
      <c r="AV42" s="313"/>
      <c r="AW42" s="313"/>
      <c r="AX42" s="313"/>
      <c r="AY42" s="313"/>
      <c r="AZ42" s="313"/>
      <c r="BA42" s="313"/>
      <c r="BB42" s="313"/>
      <c r="BC42" s="313"/>
      <c r="BD42" s="313"/>
      <c r="BE42" s="313"/>
      <c r="BF42" s="313"/>
      <c r="BG42" s="313"/>
      <c r="BH42" s="313"/>
      <c r="BI42" s="313"/>
      <c r="BJ42" s="313"/>
      <c r="BK42" s="313"/>
      <c r="BL42" s="313"/>
      <c r="BM42" s="313"/>
      <c r="BN42" s="313"/>
      <c r="BO42" s="313"/>
      <c r="BP42" s="313"/>
      <c r="BQ42" s="313"/>
      <c r="BR42" s="313"/>
      <c r="BS42" s="313"/>
      <c r="BT42" s="313"/>
      <c r="BU42" s="313"/>
      <c r="BV42" s="313"/>
      <c r="BW42" s="313"/>
      <c r="BX42" s="313"/>
      <c r="BY42" s="313"/>
      <c r="BZ42" s="313"/>
      <c r="CA42" s="313"/>
      <c r="CB42" s="313"/>
      <c r="CC42" s="313"/>
      <c r="CD42" s="313"/>
      <c r="CE42" s="313"/>
      <c r="CF42" s="313"/>
      <c r="CG42" s="313"/>
      <c r="CH42" s="313"/>
      <c r="CI42" s="313"/>
      <c r="CJ42" s="313"/>
      <c r="CK42" s="313"/>
      <c r="CL42" s="313"/>
      <c r="CM42" s="313"/>
      <c r="CN42" s="313"/>
      <c r="CO42" s="313"/>
      <c r="CP42" s="313"/>
      <c r="CQ42" s="313"/>
      <c r="CR42" s="313"/>
      <c r="CS42" s="313"/>
      <c r="CT42" s="313"/>
      <c r="CU42" s="313"/>
      <c r="CV42" s="313"/>
      <c r="CW42" s="313"/>
      <c r="CX42" s="313"/>
      <c r="CY42" s="313"/>
      <c r="CZ42" s="313"/>
      <c r="DA42" s="313"/>
      <c r="DB42" s="313"/>
      <c r="DC42" s="313"/>
      <c r="DD42" s="313"/>
      <c r="DE42" s="313"/>
      <c r="DF42" s="313"/>
      <c r="DG42" s="313"/>
      <c r="DH42" s="313"/>
      <c r="DI42" s="313"/>
      <c r="DJ42" s="313"/>
      <c r="DK42" s="313"/>
      <c r="DL42" s="313"/>
      <c r="DM42" s="313"/>
      <c r="DN42" s="313"/>
      <c r="DO42" s="313"/>
      <c r="DP42" s="313"/>
      <c r="DQ42" s="313"/>
      <c r="DR42" s="313"/>
      <c r="DS42" s="313"/>
      <c r="DT42" s="313"/>
      <c r="DU42" s="313"/>
      <c r="DV42" s="313"/>
      <c r="DW42" s="313"/>
      <c r="DX42" s="313"/>
      <c r="DY42" s="313"/>
      <c r="DZ42" s="313"/>
      <c r="EA42" s="313"/>
      <c r="EB42" s="313"/>
      <c r="EC42" s="313"/>
      <c r="ED42" s="313"/>
      <c r="EE42" s="313"/>
      <c r="EF42" s="313"/>
      <c r="EG42" s="313"/>
      <c r="EH42" s="313"/>
      <c r="EI42" s="313"/>
      <c r="EJ42" s="313"/>
      <c r="EK42" s="313"/>
      <c r="EL42" s="313"/>
      <c r="EM42" s="313"/>
      <c r="EN42" s="313"/>
      <c r="EO42" s="313"/>
      <c r="EP42" s="313"/>
      <c r="EQ42" s="313"/>
      <c r="ER42" s="313"/>
      <c r="ES42" s="313"/>
      <c r="ET42" s="313"/>
      <c r="EU42" s="313"/>
      <c r="EV42" s="313"/>
      <c r="EW42" s="313"/>
      <c r="EX42" s="313"/>
      <c r="EY42" s="313"/>
      <c r="EZ42" s="313"/>
      <c r="FA42" s="313"/>
      <c r="FB42" s="313"/>
      <c r="FC42" s="313"/>
      <c r="FD42" s="313"/>
      <c r="FE42" s="313"/>
      <c r="FF42" s="313"/>
      <c r="FG42" s="313"/>
      <c r="FH42" s="313"/>
      <c r="FI42" s="313"/>
      <c r="FJ42" s="313"/>
      <c r="FK42" s="313"/>
      <c r="FL42" s="313"/>
      <c r="FM42" s="313"/>
      <c r="FN42" s="313"/>
      <c r="FO42" s="313"/>
      <c r="FP42" s="313"/>
      <c r="FQ42" s="313"/>
      <c r="FR42" s="313"/>
      <c r="FS42" s="313"/>
      <c r="FT42" s="313"/>
      <c r="FU42" s="313"/>
      <c r="FV42" s="313"/>
      <c r="FW42" s="313"/>
      <c r="FX42" s="313"/>
      <c r="FY42" s="313"/>
      <c r="FZ42" s="313"/>
      <c r="GA42" s="325"/>
    </row>
    <row r="43" spans="1:183" x14ac:dyDescent="0.15">
      <c r="A43" s="346" t="s">
        <v>411</v>
      </c>
      <c r="C43" s="362" t="str">
        <f ca="1">GA43</f>
        <v>NaN</v>
      </c>
      <c r="D43" s="363" t="str">
        <f ca="1">IFERROR(XIRR($C38:D38,$C$33:D$33),"NaN")</f>
        <v>NaN</v>
      </c>
      <c r="E43" s="363" t="str">
        <f ca="1">IFERROR(XIRR($C38:E38,$C$33:E$33),"NaN")</f>
        <v>NaN</v>
      </c>
      <c r="F43" s="363" t="str">
        <f ca="1">IFERROR(XIRR($C38:F38,$C$33:F$33),"NaN")</f>
        <v>NaN</v>
      </c>
      <c r="G43" s="363" t="str">
        <f ca="1">IFERROR(XIRR($C38:G38,$C$33:G$33),"NaN")</f>
        <v>NaN</v>
      </c>
      <c r="H43" s="363" t="str">
        <f ca="1">IFERROR(XIRR($C38:H38,$C$33:H$33),"NaN")</f>
        <v>NaN</v>
      </c>
      <c r="I43" s="363" t="str">
        <f ca="1">IFERROR(XIRR($C38:I38,$C$33:I$33),"NaN")</f>
        <v>NaN</v>
      </c>
      <c r="J43" s="363" t="str">
        <f ca="1">IFERROR(XIRR($C38:J38,$C$33:J$33),"NaN")</f>
        <v>NaN</v>
      </c>
      <c r="K43" s="363" t="str">
        <f ca="1">IFERROR(XIRR($C38:K38,$C$33:K$33),"NaN")</f>
        <v>NaN</v>
      </c>
      <c r="L43" s="363" t="str">
        <f ca="1">IFERROR(XIRR($C38:L38,$C$33:L$33),"NaN")</f>
        <v>NaN</v>
      </c>
      <c r="M43" s="363" t="str">
        <f ca="1">IFERROR(XIRR($C38:M38,$C$33:M$33),"NaN")</f>
        <v>NaN</v>
      </c>
      <c r="N43" s="363" t="str">
        <f ca="1">IFERROR(XIRR($C38:N38,$C$33:N$33),"NaN")</f>
        <v>NaN</v>
      </c>
      <c r="O43" s="363" t="str">
        <f ca="1">IFERROR(XIRR($C38:O38,$C$33:O$33),"NaN")</f>
        <v>NaN</v>
      </c>
      <c r="P43" s="363" t="str">
        <f ca="1">IFERROR(XIRR($C38:P38,$C$33:P$33),"NaN")</f>
        <v>NaN</v>
      </c>
      <c r="Q43" s="363" t="str">
        <f ca="1">IFERROR(XIRR($C38:Q38,$C$33:Q$33),"NaN")</f>
        <v>NaN</v>
      </c>
      <c r="R43" s="363" t="str">
        <f ca="1">IFERROR(XIRR($C38:R38,$C$33:R$33),"NaN")</f>
        <v>NaN</v>
      </c>
      <c r="S43" s="363" t="str">
        <f ca="1">IFERROR(XIRR($C38:S38,$C$33:S$33),"NaN")</f>
        <v>NaN</v>
      </c>
      <c r="T43" s="363" t="str">
        <f ca="1">IFERROR(XIRR($C38:T38,$C$33:T$33),"NaN")</f>
        <v>NaN</v>
      </c>
      <c r="U43" s="363" t="str">
        <f ca="1">IFERROR(XIRR($C38:U38,$C$33:U$33),"NaN")</f>
        <v>NaN</v>
      </c>
      <c r="V43" s="363" t="str">
        <f ca="1">IFERROR(XIRR($C38:V38,$C$33:V$33),"NaN")</f>
        <v>NaN</v>
      </c>
      <c r="W43" s="363" t="str">
        <f ca="1">IFERROR(XIRR($C38:W38,$C$33:W$33),"NaN")</f>
        <v>NaN</v>
      </c>
      <c r="X43" s="363" t="str">
        <f ca="1">IFERROR(XIRR($C38:X38,$C$33:X$33),"NaN")</f>
        <v>NaN</v>
      </c>
      <c r="Y43" s="363" t="str">
        <f ca="1">IFERROR(XIRR($C38:Y38,$C$33:Y$33),"NaN")</f>
        <v>NaN</v>
      </c>
      <c r="Z43" s="363" t="str">
        <f ca="1">IFERROR(XIRR($C38:Z38,$C$33:Z$33),"NaN")</f>
        <v>NaN</v>
      </c>
      <c r="AA43" s="363" t="str">
        <f ca="1">IFERROR(XIRR($C38:AA38,$C$33:AA$33),"NaN")</f>
        <v>NaN</v>
      </c>
      <c r="AB43" s="363" t="str">
        <f ca="1">IFERROR(XIRR($C38:AB38,$C$33:AB$33),"NaN")</f>
        <v>NaN</v>
      </c>
      <c r="AC43" s="363" t="str">
        <f ca="1">IFERROR(XIRR($C38:AC38,$C$33:AC$33),"NaN")</f>
        <v>NaN</v>
      </c>
      <c r="AD43" s="363" t="str">
        <f ca="1">IFERROR(XIRR($C38:AD38,$C$33:AD$33),"NaN")</f>
        <v>NaN</v>
      </c>
      <c r="AE43" s="363" t="str">
        <f ca="1">IFERROR(XIRR($C38:AE38,$C$33:AE$33),"NaN")</f>
        <v>NaN</v>
      </c>
      <c r="AF43" s="363" t="str">
        <f ca="1">IFERROR(XIRR($C38:AF38,$C$33:AF$33),"NaN")</f>
        <v>NaN</v>
      </c>
      <c r="AG43" s="363" t="str">
        <f ca="1">IFERROR(XIRR($C38:AG38,$C$33:AG$33),"NaN")</f>
        <v>NaN</v>
      </c>
      <c r="AH43" s="363" t="str">
        <f ca="1">IFERROR(XIRR($C38:AH38,$C$33:AH$33),"NaN")</f>
        <v>NaN</v>
      </c>
      <c r="AI43" s="363" t="str">
        <f ca="1">IFERROR(XIRR($C38:AI38,$C$33:AI$33),"NaN")</f>
        <v>NaN</v>
      </c>
      <c r="AJ43" s="363" t="str">
        <f ca="1">IFERROR(XIRR($C38:AJ38,$C$33:AJ$33),"NaN")</f>
        <v>NaN</v>
      </c>
      <c r="AK43" s="363" t="str">
        <f ca="1">IFERROR(XIRR($C38:AK38,$C$33:AK$33),"NaN")</f>
        <v>NaN</v>
      </c>
      <c r="AL43" s="363" t="str">
        <f ca="1">IFERROR(XIRR($C38:AL38,$C$33:AL$33),"NaN")</f>
        <v>NaN</v>
      </c>
      <c r="AM43" s="363" t="str">
        <f ca="1">IFERROR(XIRR($C38:AM38,$C$33:AM$33),"NaN")</f>
        <v>NaN</v>
      </c>
      <c r="AN43" s="363" t="str">
        <f ca="1">IFERROR(XIRR($C38:AN38,$C$33:AN$33),"NaN")</f>
        <v>NaN</v>
      </c>
      <c r="AO43" s="363" t="str">
        <f ca="1">IFERROR(XIRR($C38:AO38,$C$33:AO$33),"NaN")</f>
        <v>NaN</v>
      </c>
      <c r="AP43" s="363" t="str">
        <f ca="1">IFERROR(XIRR($C38:AP38,$C$33:AP$33),"NaN")</f>
        <v>NaN</v>
      </c>
      <c r="AQ43" s="363" t="str">
        <f ca="1">IFERROR(XIRR($C38:AQ38,$C$33:AQ$33),"NaN")</f>
        <v>NaN</v>
      </c>
      <c r="AR43" s="363" t="str">
        <f ca="1">IFERROR(XIRR($C38:AR38,$C$33:AR$33),"NaN")</f>
        <v>NaN</v>
      </c>
      <c r="AS43" s="363" t="str">
        <f ca="1">IFERROR(XIRR($C38:AS38,$C$33:AS$33),"NaN")</f>
        <v>NaN</v>
      </c>
      <c r="AT43" s="363" t="str">
        <f ca="1">IFERROR(XIRR($C38:AT38,$C$33:AT$33),"NaN")</f>
        <v>NaN</v>
      </c>
      <c r="AU43" s="363" t="str">
        <f ca="1">IFERROR(XIRR($C38:AU38,$C$33:AU$33),"NaN")</f>
        <v>NaN</v>
      </c>
      <c r="AV43" s="363" t="str">
        <f ca="1">IFERROR(XIRR($C38:AV38,$C$33:AV$33),"NaN")</f>
        <v>NaN</v>
      </c>
      <c r="AW43" s="363" t="str">
        <f ca="1">IFERROR(XIRR($C38:AW38,$C$33:AW$33),"NaN")</f>
        <v>NaN</v>
      </c>
      <c r="AX43" s="363" t="str">
        <f ca="1">IFERROR(XIRR($C38:AX38,$C$33:AX$33),"NaN")</f>
        <v>NaN</v>
      </c>
      <c r="AY43" s="363" t="str">
        <f ca="1">IFERROR(XIRR($C38:AY38,$C$33:AY$33),"NaN")</f>
        <v>NaN</v>
      </c>
      <c r="AZ43" s="363" t="str">
        <f ca="1">IFERROR(XIRR($C38:AZ38,$C$33:AZ$33),"NaN")</f>
        <v>NaN</v>
      </c>
      <c r="BA43" s="363" t="str">
        <f ca="1">IFERROR(XIRR($C38:BA38,$C$33:BA$33),"NaN")</f>
        <v>NaN</v>
      </c>
      <c r="BB43" s="363" t="str">
        <f ca="1">IFERROR(XIRR($C38:BB38,$C$33:BB$33),"NaN")</f>
        <v>NaN</v>
      </c>
      <c r="BC43" s="363" t="str">
        <f ca="1">IFERROR(XIRR($C38:BC38,$C$33:BC$33),"NaN")</f>
        <v>NaN</v>
      </c>
      <c r="BD43" s="363" t="str">
        <f ca="1">IFERROR(XIRR($C38:BD38,$C$33:BD$33),"NaN")</f>
        <v>NaN</v>
      </c>
      <c r="BE43" s="363" t="str">
        <f ca="1">IFERROR(XIRR($C38:BE38,$C$33:BE$33),"NaN")</f>
        <v>NaN</v>
      </c>
      <c r="BF43" s="363" t="str">
        <f ca="1">IFERROR(XIRR($C38:BF38,$C$33:BF$33),"NaN")</f>
        <v>NaN</v>
      </c>
      <c r="BG43" s="363" t="str">
        <f ca="1">IFERROR(XIRR($C38:BG38,$C$33:BG$33),"NaN")</f>
        <v>NaN</v>
      </c>
      <c r="BH43" s="363" t="str">
        <f ca="1">IFERROR(XIRR($C38:BH38,$C$33:BH$33),"NaN")</f>
        <v>NaN</v>
      </c>
      <c r="BI43" s="363" t="str">
        <f ca="1">IFERROR(XIRR($C38:BI38,$C$33:BI$33),"NaN")</f>
        <v>NaN</v>
      </c>
      <c r="BJ43" s="363" t="str">
        <f ca="1">IFERROR(XIRR($C38:BJ38,$C$33:BJ$33),"NaN")</f>
        <v>NaN</v>
      </c>
      <c r="BK43" s="363" t="str">
        <f ca="1">IFERROR(XIRR($C38:BK38,$C$33:BK$33),"NaN")</f>
        <v>NaN</v>
      </c>
      <c r="BL43" s="363" t="str">
        <f ca="1">IFERROR(XIRR($C38:BL38,$C$33:BL$33),"NaN")</f>
        <v>NaN</v>
      </c>
      <c r="BM43" s="363" t="str">
        <f ca="1">IFERROR(XIRR($C38:BM38,$C$33:BM$33),"NaN")</f>
        <v>NaN</v>
      </c>
      <c r="BN43" s="363" t="str">
        <f ca="1">IFERROR(XIRR($C38:BN38,$C$33:BN$33),"NaN")</f>
        <v>NaN</v>
      </c>
      <c r="BO43" s="363" t="str">
        <f ca="1">IFERROR(XIRR($C38:BO38,$C$33:BO$33),"NaN")</f>
        <v>NaN</v>
      </c>
      <c r="BP43" s="363" t="str">
        <f ca="1">IFERROR(XIRR($C38:BP38,$C$33:BP$33),"NaN")</f>
        <v>NaN</v>
      </c>
      <c r="BQ43" s="363" t="str">
        <f ca="1">IFERROR(XIRR($C38:BQ38,$C$33:BQ$33),"NaN")</f>
        <v>NaN</v>
      </c>
      <c r="BR43" s="363" t="str">
        <f ca="1">IFERROR(XIRR($C38:BR38,$C$33:BR$33),"NaN")</f>
        <v>NaN</v>
      </c>
      <c r="BS43" s="363" t="str">
        <f ca="1">IFERROR(XIRR($C38:BS38,$C$33:BS$33),"NaN")</f>
        <v>NaN</v>
      </c>
      <c r="BT43" s="363" t="str">
        <f ca="1">IFERROR(XIRR($C38:BT38,$C$33:BT$33),"NaN")</f>
        <v>NaN</v>
      </c>
      <c r="BU43" s="363" t="str">
        <f ca="1">IFERROR(XIRR($C38:BU38,$C$33:BU$33),"NaN")</f>
        <v>NaN</v>
      </c>
      <c r="BV43" s="363" t="str">
        <f ca="1">IFERROR(XIRR($C38:BV38,$C$33:BV$33),"NaN")</f>
        <v>NaN</v>
      </c>
      <c r="BW43" s="363" t="str">
        <f ca="1">IFERROR(XIRR($C38:BW38,$C$33:BW$33),"NaN")</f>
        <v>NaN</v>
      </c>
      <c r="BX43" s="363" t="str">
        <f ca="1">IFERROR(XIRR($C38:BX38,$C$33:BX$33),"NaN")</f>
        <v>NaN</v>
      </c>
      <c r="BY43" s="363" t="str">
        <f ca="1">IFERROR(XIRR($C38:BY38,$C$33:BY$33),"NaN")</f>
        <v>NaN</v>
      </c>
      <c r="BZ43" s="363" t="str">
        <f ca="1">IFERROR(XIRR($C38:BZ38,$C$33:BZ$33),"NaN")</f>
        <v>NaN</v>
      </c>
      <c r="CA43" s="363" t="str">
        <f ca="1">IFERROR(XIRR($C38:CA38,$C$33:CA$33),"NaN")</f>
        <v>NaN</v>
      </c>
      <c r="CB43" s="363" t="str">
        <f ca="1">IFERROR(XIRR($C38:CB38,$C$33:CB$33),"NaN")</f>
        <v>NaN</v>
      </c>
      <c r="CC43" s="363" t="str">
        <f ca="1">IFERROR(XIRR($C38:CC38,$C$33:CC$33),"NaN")</f>
        <v>NaN</v>
      </c>
      <c r="CD43" s="363" t="str">
        <f ca="1">IFERROR(XIRR($C38:CD38,$C$33:CD$33),"NaN")</f>
        <v>NaN</v>
      </c>
      <c r="CE43" s="363" t="str">
        <f ca="1">IFERROR(XIRR($C38:CE38,$C$33:CE$33),"NaN")</f>
        <v>NaN</v>
      </c>
      <c r="CF43" s="363" t="str">
        <f ca="1">IFERROR(XIRR($C38:CF38,$C$33:CF$33),"NaN")</f>
        <v>NaN</v>
      </c>
      <c r="CG43" s="363" t="str">
        <f ca="1">IFERROR(XIRR($C38:CG38,$C$33:CG$33),"NaN")</f>
        <v>NaN</v>
      </c>
      <c r="CH43" s="363" t="str">
        <f ca="1">IFERROR(XIRR($C38:CH38,$C$33:CH$33),"NaN")</f>
        <v>NaN</v>
      </c>
      <c r="CI43" s="363" t="str">
        <f ca="1">IFERROR(XIRR($C38:CI38,$C$33:CI$33),"NaN")</f>
        <v>NaN</v>
      </c>
      <c r="CJ43" s="363" t="str">
        <f ca="1">IFERROR(XIRR($C38:CJ38,$C$33:CJ$33),"NaN")</f>
        <v>NaN</v>
      </c>
      <c r="CK43" s="363" t="str">
        <f ca="1">IFERROR(XIRR($C38:CK38,$C$33:CK$33),"NaN")</f>
        <v>NaN</v>
      </c>
      <c r="CL43" s="363" t="str">
        <f ca="1">IFERROR(XIRR($C38:CL38,$C$33:CL$33),"NaN")</f>
        <v>NaN</v>
      </c>
      <c r="CM43" s="363" t="str">
        <f ca="1">IFERROR(XIRR($C38:CM38,$C$33:CM$33),"NaN")</f>
        <v>NaN</v>
      </c>
      <c r="CN43" s="363" t="str">
        <f ca="1">IFERROR(XIRR($C38:CN38,$C$33:CN$33),"NaN")</f>
        <v>NaN</v>
      </c>
      <c r="CO43" s="363" t="str">
        <f ca="1">IFERROR(XIRR($C38:CO38,$C$33:CO$33),"NaN")</f>
        <v>NaN</v>
      </c>
      <c r="CP43" s="363" t="str">
        <f ca="1">IFERROR(XIRR($C38:CP38,$C$33:CP$33),"NaN")</f>
        <v>NaN</v>
      </c>
      <c r="CQ43" s="363" t="str">
        <f ca="1">IFERROR(XIRR($C38:CQ38,$C$33:CQ$33),"NaN")</f>
        <v>NaN</v>
      </c>
      <c r="CR43" s="363" t="str">
        <f ca="1">IFERROR(XIRR($C38:CR38,$C$33:CR$33),"NaN")</f>
        <v>NaN</v>
      </c>
      <c r="CS43" s="363" t="str">
        <f ca="1">IFERROR(XIRR($C38:CS38,$C$33:CS$33),"NaN")</f>
        <v>NaN</v>
      </c>
      <c r="CT43" s="363" t="str">
        <f ca="1">IFERROR(XIRR($C38:CT38,$C$33:CT$33),"NaN")</f>
        <v>NaN</v>
      </c>
      <c r="CU43" s="363" t="str">
        <f ca="1">IFERROR(XIRR($C38:CU38,$C$33:CU$33),"NaN")</f>
        <v>NaN</v>
      </c>
      <c r="CV43" s="363" t="str">
        <f ca="1">IFERROR(XIRR($C38:CV38,$C$33:CV$33),"NaN")</f>
        <v>NaN</v>
      </c>
      <c r="CW43" s="363" t="str">
        <f ca="1">IFERROR(XIRR($C38:CW38,$C$33:CW$33),"NaN")</f>
        <v>NaN</v>
      </c>
      <c r="CX43" s="363" t="str">
        <f ca="1">IFERROR(XIRR($C38:CX38,$C$33:CX$33),"NaN")</f>
        <v>NaN</v>
      </c>
      <c r="CY43" s="363" t="str">
        <f ca="1">IFERROR(XIRR($C38:CY38,$C$33:CY$33),"NaN")</f>
        <v>NaN</v>
      </c>
      <c r="CZ43" s="363" t="str">
        <f ca="1">IFERROR(XIRR($C38:CZ38,$C$33:CZ$33),"NaN")</f>
        <v>NaN</v>
      </c>
      <c r="DA43" s="363" t="str">
        <f ca="1">IFERROR(XIRR($C38:DA38,$C$33:DA$33),"NaN")</f>
        <v>NaN</v>
      </c>
      <c r="DB43" s="363" t="str">
        <f ca="1">IFERROR(XIRR($C38:DB38,$C$33:DB$33),"NaN")</f>
        <v>NaN</v>
      </c>
      <c r="DC43" s="363" t="str">
        <f ca="1">IFERROR(XIRR($C38:DC38,$C$33:DC$33),"NaN")</f>
        <v>NaN</v>
      </c>
      <c r="DD43" s="363" t="str">
        <f ca="1">IFERROR(XIRR($C38:DD38,$C$33:DD$33),"NaN")</f>
        <v>NaN</v>
      </c>
      <c r="DE43" s="363" t="str">
        <f ca="1">IFERROR(XIRR($C38:DE38,$C$33:DE$33),"NaN")</f>
        <v>NaN</v>
      </c>
      <c r="DF43" s="363" t="str">
        <f ca="1">IFERROR(XIRR($C38:DF38,$C$33:DF$33),"NaN")</f>
        <v>NaN</v>
      </c>
      <c r="DG43" s="363" t="str">
        <f ca="1">IFERROR(XIRR($C38:DG38,$C$33:DG$33),"NaN")</f>
        <v>NaN</v>
      </c>
      <c r="DH43" s="363" t="str">
        <f ca="1">IFERROR(XIRR($C38:DH38,$C$33:DH$33),"NaN")</f>
        <v>NaN</v>
      </c>
      <c r="DI43" s="363" t="str">
        <f ca="1">IFERROR(XIRR($C38:DI38,$C$33:DI$33),"NaN")</f>
        <v>NaN</v>
      </c>
      <c r="DJ43" s="363" t="str">
        <f ca="1">IFERROR(XIRR($C38:DJ38,$C$33:DJ$33),"NaN")</f>
        <v>NaN</v>
      </c>
      <c r="DK43" s="363" t="str">
        <f ca="1">IFERROR(XIRR($C38:DK38,$C$33:DK$33),"NaN")</f>
        <v>NaN</v>
      </c>
      <c r="DL43" s="363" t="str">
        <f ca="1">IFERROR(XIRR($C38:DL38,$C$33:DL$33),"NaN")</f>
        <v>NaN</v>
      </c>
      <c r="DM43" s="363" t="str">
        <f ca="1">IFERROR(XIRR($C38:DM38,$C$33:DM$33),"NaN")</f>
        <v>NaN</v>
      </c>
      <c r="DN43" s="363" t="str">
        <f ca="1">IFERROR(XIRR($C38:DN38,$C$33:DN$33),"NaN")</f>
        <v>NaN</v>
      </c>
      <c r="DO43" s="363" t="str">
        <f ca="1">IFERROR(XIRR($C38:DO38,$C$33:DO$33),"NaN")</f>
        <v>NaN</v>
      </c>
      <c r="DP43" s="363" t="str">
        <f ca="1">IFERROR(XIRR($C38:DP38,$C$33:DP$33),"NaN")</f>
        <v>NaN</v>
      </c>
      <c r="DQ43" s="363" t="str">
        <f ca="1">IFERROR(XIRR($C38:DQ38,$C$33:DQ$33),"NaN")</f>
        <v>NaN</v>
      </c>
      <c r="DR43" s="363" t="str">
        <f ca="1">IFERROR(XIRR($C38:DR38,$C$33:DR$33),"NaN")</f>
        <v>NaN</v>
      </c>
      <c r="DS43" s="363" t="str">
        <f ca="1">IFERROR(XIRR($C38:DS38,$C$33:DS$33),"NaN")</f>
        <v>NaN</v>
      </c>
      <c r="DT43" s="363" t="str">
        <f ca="1">IFERROR(XIRR($C38:DT38,$C$33:DT$33),"NaN")</f>
        <v>NaN</v>
      </c>
      <c r="DU43" s="363" t="str">
        <f ca="1">IFERROR(XIRR($C38:DU38,$C$33:DU$33),"NaN")</f>
        <v>NaN</v>
      </c>
      <c r="DV43" s="363" t="str">
        <f ca="1">IFERROR(XIRR($C38:DV38,$C$33:DV$33),"NaN")</f>
        <v>NaN</v>
      </c>
      <c r="DW43" s="363" t="str">
        <f ca="1">IFERROR(XIRR($C38:DW38,$C$33:DW$33),"NaN")</f>
        <v>NaN</v>
      </c>
      <c r="DX43" s="363" t="str">
        <f ca="1">IFERROR(XIRR($C38:DX38,$C$33:DX$33),"NaN")</f>
        <v>NaN</v>
      </c>
      <c r="DY43" s="363" t="str">
        <f ca="1">IFERROR(XIRR($C38:DY38,$C$33:DY$33),"NaN")</f>
        <v>NaN</v>
      </c>
      <c r="DZ43" s="363" t="str">
        <f ca="1">IFERROR(XIRR($C38:DZ38,$C$33:DZ$33),"NaN")</f>
        <v>NaN</v>
      </c>
      <c r="EA43" s="363" t="str">
        <f ca="1">IFERROR(XIRR($C38:EA38,$C$33:EA$33),"NaN")</f>
        <v>NaN</v>
      </c>
      <c r="EB43" s="363" t="str">
        <f ca="1">IFERROR(XIRR($C38:EB38,$C$33:EB$33),"NaN")</f>
        <v>NaN</v>
      </c>
      <c r="EC43" s="363" t="str">
        <f ca="1">IFERROR(XIRR($C38:EC38,$C$33:EC$33),"NaN")</f>
        <v>NaN</v>
      </c>
      <c r="ED43" s="363" t="str">
        <f ca="1">IFERROR(XIRR($C38:ED38,$C$33:ED$33),"NaN")</f>
        <v>NaN</v>
      </c>
      <c r="EE43" s="363" t="str">
        <f ca="1">IFERROR(XIRR($C38:EE38,$C$33:EE$33),"NaN")</f>
        <v>NaN</v>
      </c>
      <c r="EF43" s="363" t="str">
        <f ca="1">IFERROR(XIRR($C38:EF38,$C$33:EF$33),"NaN")</f>
        <v>NaN</v>
      </c>
      <c r="EG43" s="363" t="str">
        <f ca="1">IFERROR(XIRR($C38:EG38,$C$33:EG$33),"NaN")</f>
        <v>NaN</v>
      </c>
      <c r="EH43" s="363" t="str">
        <f ca="1">IFERROR(XIRR($C38:EH38,$C$33:EH$33),"NaN")</f>
        <v>NaN</v>
      </c>
      <c r="EI43" s="363" t="str">
        <f ca="1">IFERROR(XIRR($C38:EI38,$C$33:EI$33),"NaN")</f>
        <v>NaN</v>
      </c>
      <c r="EJ43" s="363" t="str">
        <f ca="1">IFERROR(XIRR($C38:EJ38,$C$33:EJ$33),"NaN")</f>
        <v>NaN</v>
      </c>
      <c r="EK43" s="363" t="str">
        <f ca="1">IFERROR(XIRR($C38:EK38,$C$33:EK$33),"NaN")</f>
        <v>NaN</v>
      </c>
      <c r="EL43" s="363" t="str">
        <f ca="1">IFERROR(XIRR($C38:EL38,$C$33:EL$33),"NaN")</f>
        <v>NaN</v>
      </c>
      <c r="EM43" s="363" t="str">
        <f ca="1">IFERROR(XIRR($C38:EM38,$C$33:EM$33),"NaN")</f>
        <v>NaN</v>
      </c>
      <c r="EN43" s="363" t="str">
        <f ca="1">IFERROR(XIRR($C38:EN38,$C$33:EN$33),"NaN")</f>
        <v>NaN</v>
      </c>
      <c r="EO43" s="363" t="str">
        <f ca="1">IFERROR(XIRR($C38:EO38,$C$33:EO$33),"NaN")</f>
        <v>NaN</v>
      </c>
      <c r="EP43" s="363" t="str">
        <f ca="1">IFERROR(XIRR($C38:EP38,$C$33:EP$33),"NaN")</f>
        <v>NaN</v>
      </c>
      <c r="EQ43" s="363" t="str">
        <f ca="1">IFERROR(XIRR($C38:EQ38,$C$33:EQ$33),"NaN")</f>
        <v>NaN</v>
      </c>
      <c r="ER43" s="363" t="str">
        <f ca="1">IFERROR(XIRR($C38:ER38,$C$33:ER$33),"NaN")</f>
        <v>NaN</v>
      </c>
      <c r="ES43" s="363" t="str">
        <f ca="1">IFERROR(XIRR($C38:ES38,$C$33:ES$33),"NaN")</f>
        <v>NaN</v>
      </c>
      <c r="ET43" s="363" t="str">
        <f ca="1">IFERROR(XIRR($C38:ET38,$C$33:ET$33),"NaN")</f>
        <v>NaN</v>
      </c>
      <c r="EU43" s="363" t="str">
        <f ca="1">IFERROR(XIRR($C38:EU38,$C$33:EU$33),"NaN")</f>
        <v>NaN</v>
      </c>
      <c r="EV43" s="363" t="str">
        <f ca="1">IFERROR(XIRR($C38:EV38,$C$33:EV$33),"NaN")</f>
        <v>NaN</v>
      </c>
      <c r="EW43" s="363" t="str">
        <f ca="1">IFERROR(XIRR($C38:EW38,$C$33:EW$33),"NaN")</f>
        <v>NaN</v>
      </c>
      <c r="EX43" s="363" t="str">
        <f ca="1">IFERROR(XIRR($C38:EX38,$C$33:EX$33),"NaN")</f>
        <v>NaN</v>
      </c>
      <c r="EY43" s="363" t="str">
        <f ca="1">IFERROR(XIRR($C38:EY38,$C$33:EY$33),"NaN")</f>
        <v>NaN</v>
      </c>
      <c r="EZ43" s="363" t="str">
        <f ca="1">IFERROR(XIRR($C38:EZ38,$C$33:EZ$33),"NaN")</f>
        <v>NaN</v>
      </c>
      <c r="FA43" s="363" t="str">
        <f ca="1">IFERROR(XIRR($C38:FA38,$C$33:FA$33),"NaN")</f>
        <v>NaN</v>
      </c>
      <c r="FB43" s="363" t="str">
        <f ca="1">IFERROR(XIRR($C38:FB38,$C$33:FB$33),"NaN")</f>
        <v>NaN</v>
      </c>
      <c r="FC43" s="363" t="str">
        <f ca="1">IFERROR(XIRR($C38:FC38,$C$33:FC$33),"NaN")</f>
        <v>NaN</v>
      </c>
      <c r="FD43" s="363" t="str">
        <f ca="1">IFERROR(XIRR($C38:FD38,$C$33:FD$33),"NaN")</f>
        <v>NaN</v>
      </c>
      <c r="FE43" s="363" t="str">
        <f ca="1">IFERROR(XIRR($C38:FE38,$C$33:FE$33),"NaN")</f>
        <v>NaN</v>
      </c>
      <c r="FF43" s="363" t="str">
        <f ca="1">IFERROR(XIRR($C38:FF38,$C$33:FF$33),"NaN")</f>
        <v>NaN</v>
      </c>
      <c r="FG43" s="363" t="str">
        <f ca="1">IFERROR(XIRR($C38:FG38,$C$33:FG$33),"NaN")</f>
        <v>NaN</v>
      </c>
      <c r="FH43" s="363" t="str">
        <f ca="1">IFERROR(XIRR($C38:FH38,$C$33:FH$33),"NaN")</f>
        <v>NaN</v>
      </c>
      <c r="FI43" s="363" t="str">
        <f ca="1">IFERROR(XIRR($C38:FI38,$C$33:FI$33),"NaN")</f>
        <v>NaN</v>
      </c>
      <c r="FJ43" s="363" t="str">
        <f ca="1">IFERROR(XIRR($C38:FJ38,$C$33:FJ$33),"NaN")</f>
        <v>NaN</v>
      </c>
      <c r="FK43" s="363" t="str">
        <f ca="1">IFERROR(XIRR($C38:FK38,$C$33:FK$33),"NaN")</f>
        <v>NaN</v>
      </c>
      <c r="FL43" s="363" t="str">
        <f ca="1">IFERROR(XIRR($C38:FL38,$C$33:FL$33),"NaN")</f>
        <v>NaN</v>
      </c>
      <c r="FM43" s="363" t="str">
        <f ca="1">IFERROR(XIRR($C38:FM38,$C$33:FM$33),"NaN")</f>
        <v>NaN</v>
      </c>
      <c r="FN43" s="363" t="str">
        <f ca="1">IFERROR(XIRR($C38:FN38,$C$33:FN$33),"NaN")</f>
        <v>NaN</v>
      </c>
      <c r="FO43" s="363" t="str">
        <f ca="1">IFERROR(XIRR($C38:FO38,$C$33:FO$33),"NaN")</f>
        <v>NaN</v>
      </c>
      <c r="FP43" s="363" t="str">
        <f ca="1">IFERROR(XIRR($C38:FP38,$C$33:FP$33),"NaN")</f>
        <v>NaN</v>
      </c>
      <c r="FQ43" s="363" t="str">
        <f ca="1">IFERROR(XIRR($C38:FQ38,$C$33:FQ$33),"NaN")</f>
        <v>NaN</v>
      </c>
      <c r="FR43" s="363" t="str">
        <f ca="1">IFERROR(XIRR($C38:FR38,$C$33:FR$33),"NaN")</f>
        <v>NaN</v>
      </c>
      <c r="FS43" s="363" t="str">
        <f ca="1">IFERROR(XIRR($C38:FS38,$C$33:FS$33),"NaN")</f>
        <v>NaN</v>
      </c>
      <c r="FT43" s="363" t="str">
        <f ca="1">IFERROR(XIRR($C38:FT38,$C$33:FT$33),"NaN")</f>
        <v>NaN</v>
      </c>
      <c r="FU43" s="363" t="str">
        <f ca="1">IFERROR(XIRR($C38:FU38,$C$33:FU$33),"NaN")</f>
        <v>NaN</v>
      </c>
      <c r="FV43" s="363" t="str">
        <f ca="1">IFERROR(XIRR($C38:FV38,$C$33:FV$33),"NaN")</f>
        <v>NaN</v>
      </c>
      <c r="FW43" s="363" t="str">
        <f ca="1">IFERROR(XIRR($C38:FW38,$C$33:FW$33),"NaN")</f>
        <v>NaN</v>
      </c>
      <c r="FX43" s="363" t="str">
        <f ca="1">IFERROR(XIRR($C38:FX38,$C$33:FX$33),"NaN")</f>
        <v>NaN</v>
      </c>
      <c r="FY43" s="363" t="str">
        <f ca="1">IFERROR(XIRR($C38:FY38,$C$33:FY$33),"NaN")</f>
        <v>NaN</v>
      </c>
      <c r="FZ43" s="363" t="str">
        <f ca="1">IFERROR(XIRR($C38:FZ38,$C$33:FZ$33),"NaN")</f>
        <v>NaN</v>
      </c>
      <c r="GA43" s="364" t="str">
        <f ca="1">IFERROR(XIRR($C38:GA38,$C$33:GA$33),"NaN")</f>
        <v>NaN</v>
      </c>
    </row>
    <row r="44" spans="1:183" x14ac:dyDescent="0.15">
      <c r="A44" s="348" t="s">
        <v>603</v>
      </c>
      <c r="C44" s="365" t="str">
        <f ca="1">GA44</f>
        <v>NaN</v>
      </c>
      <c r="D44" s="366" t="str">
        <f ca="1">IFERROR(XIRR($C41:D41,$C$33:D$33),"NaN")</f>
        <v>NaN</v>
      </c>
      <c r="E44" s="366" t="str">
        <f ca="1">IFERROR(XIRR($C41:E41,$C$33:E$33),"NaN")</f>
        <v>NaN</v>
      </c>
      <c r="F44" s="366" t="str">
        <f ca="1">IFERROR(XIRR($C41:F41,$C$33:F$33),"NaN")</f>
        <v>NaN</v>
      </c>
      <c r="G44" s="366" t="str">
        <f ca="1">IFERROR(XIRR($C41:G41,$C$33:G$33),"NaN")</f>
        <v>NaN</v>
      </c>
      <c r="H44" s="366" t="str">
        <f ca="1">IFERROR(XIRR($C41:H41,$C$33:H$33),"NaN")</f>
        <v>NaN</v>
      </c>
      <c r="I44" s="366" t="str">
        <f ca="1">IFERROR(XIRR($C41:I41,$C$33:I$33),"NaN")</f>
        <v>NaN</v>
      </c>
      <c r="J44" s="366" t="str">
        <f ca="1">IFERROR(XIRR($C41:J41,$C$33:J$33),"NaN")</f>
        <v>NaN</v>
      </c>
      <c r="K44" s="366" t="str">
        <f ca="1">IFERROR(XIRR($C41:K41,$C$33:K$33),"NaN")</f>
        <v>NaN</v>
      </c>
      <c r="L44" s="366" t="str">
        <f ca="1">IFERROR(XIRR($C41:L41,$C$33:L$33),"NaN")</f>
        <v>NaN</v>
      </c>
      <c r="M44" s="366" t="str">
        <f ca="1">IFERROR(XIRR($C41:M41,$C$33:M$33),"NaN")</f>
        <v>NaN</v>
      </c>
      <c r="N44" s="366" t="str">
        <f ca="1">IFERROR(XIRR($C41:N41,$C$33:N$33),"NaN")</f>
        <v>NaN</v>
      </c>
      <c r="O44" s="366" t="str">
        <f ca="1">IFERROR(XIRR($C41:O41,$C$33:O$33),"NaN")</f>
        <v>NaN</v>
      </c>
      <c r="P44" s="366" t="str">
        <f ca="1">IFERROR(XIRR($C41:P41,$C$33:P$33),"NaN")</f>
        <v>NaN</v>
      </c>
      <c r="Q44" s="366" t="str">
        <f ca="1">IFERROR(XIRR($C41:Q41,$C$33:Q$33),"NaN")</f>
        <v>NaN</v>
      </c>
      <c r="R44" s="366" t="str">
        <f ca="1">IFERROR(XIRR($C41:R41,$C$33:R$33),"NaN")</f>
        <v>NaN</v>
      </c>
      <c r="S44" s="366" t="str">
        <f ca="1">IFERROR(XIRR($C41:S41,$C$33:S$33),"NaN")</f>
        <v>NaN</v>
      </c>
      <c r="T44" s="366" t="str">
        <f ca="1">IFERROR(XIRR($C41:T41,$C$33:T$33),"NaN")</f>
        <v>NaN</v>
      </c>
      <c r="U44" s="366" t="str">
        <f ca="1">IFERROR(XIRR($C41:U41,$C$33:U$33),"NaN")</f>
        <v>NaN</v>
      </c>
      <c r="V44" s="366" t="str">
        <f ca="1">IFERROR(XIRR($C41:V41,$C$33:V$33),"NaN")</f>
        <v>NaN</v>
      </c>
      <c r="W44" s="366" t="str">
        <f ca="1">IFERROR(XIRR($C41:W41,$C$33:W$33),"NaN")</f>
        <v>NaN</v>
      </c>
      <c r="X44" s="366" t="str">
        <f ca="1">IFERROR(XIRR($C41:X41,$C$33:X$33),"NaN")</f>
        <v>NaN</v>
      </c>
      <c r="Y44" s="366" t="str">
        <f ca="1">IFERROR(XIRR($C41:Y41,$C$33:Y$33),"NaN")</f>
        <v>NaN</v>
      </c>
      <c r="Z44" s="366" t="str">
        <f ca="1">IFERROR(XIRR($C41:Z41,$C$33:Z$33),"NaN")</f>
        <v>NaN</v>
      </c>
      <c r="AA44" s="366" t="str">
        <f ca="1">IFERROR(XIRR($C41:AA41,$C$33:AA$33),"NaN")</f>
        <v>NaN</v>
      </c>
      <c r="AB44" s="366" t="str">
        <f ca="1">IFERROR(XIRR($C41:AB41,$C$33:AB$33),"NaN")</f>
        <v>NaN</v>
      </c>
      <c r="AC44" s="366" t="str">
        <f ca="1">IFERROR(XIRR($C41:AC41,$C$33:AC$33),"NaN")</f>
        <v>NaN</v>
      </c>
      <c r="AD44" s="366" t="str">
        <f ca="1">IFERROR(XIRR($C41:AD41,$C$33:AD$33),"NaN")</f>
        <v>NaN</v>
      </c>
      <c r="AE44" s="366" t="str">
        <f ca="1">IFERROR(XIRR($C41:AE41,$C$33:AE$33),"NaN")</f>
        <v>NaN</v>
      </c>
      <c r="AF44" s="366" t="str">
        <f ca="1">IFERROR(XIRR($C41:AF41,$C$33:AF$33),"NaN")</f>
        <v>NaN</v>
      </c>
      <c r="AG44" s="366" t="str">
        <f ca="1">IFERROR(XIRR($C41:AG41,$C$33:AG$33),"NaN")</f>
        <v>NaN</v>
      </c>
      <c r="AH44" s="366" t="str">
        <f ca="1">IFERROR(XIRR($C41:AH41,$C$33:AH$33),"NaN")</f>
        <v>NaN</v>
      </c>
      <c r="AI44" s="366" t="str">
        <f ca="1">IFERROR(XIRR($C41:AI41,$C$33:AI$33),"NaN")</f>
        <v>NaN</v>
      </c>
      <c r="AJ44" s="366" t="str">
        <f ca="1">IFERROR(XIRR($C41:AJ41,$C$33:AJ$33),"NaN")</f>
        <v>NaN</v>
      </c>
      <c r="AK44" s="366" t="str">
        <f ca="1">IFERROR(XIRR($C41:AK41,$C$33:AK$33),"NaN")</f>
        <v>NaN</v>
      </c>
      <c r="AL44" s="366" t="str">
        <f ca="1">IFERROR(XIRR($C41:AL41,$C$33:AL$33),"NaN")</f>
        <v>NaN</v>
      </c>
      <c r="AM44" s="366" t="str">
        <f ca="1">IFERROR(XIRR($C41:AM41,$C$33:AM$33),"NaN")</f>
        <v>NaN</v>
      </c>
      <c r="AN44" s="366" t="str">
        <f ca="1">IFERROR(XIRR($C41:AN41,$C$33:AN$33),"NaN")</f>
        <v>NaN</v>
      </c>
      <c r="AO44" s="366" t="str">
        <f ca="1">IFERROR(XIRR($C41:AO41,$C$33:AO$33),"NaN")</f>
        <v>NaN</v>
      </c>
      <c r="AP44" s="366" t="str">
        <f ca="1">IFERROR(XIRR($C41:AP41,$C$33:AP$33),"NaN")</f>
        <v>NaN</v>
      </c>
      <c r="AQ44" s="366" t="str">
        <f ca="1">IFERROR(XIRR($C41:AQ41,$C$33:AQ$33),"NaN")</f>
        <v>NaN</v>
      </c>
      <c r="AR44" s="366" t="str">
        <f ca="1">IFERROR(XIRR($C41:AR41,$C$33:AR$33),"NaN")</f>
        <v>NaN</v>
      </c>
      <c r="AS44" s="366" t="str">
        <f ca="1">IFERROR(XIRR($C41:AS41,$C$33:AS$33),"NaN")</f>
        <v>NaN</v>
      </c>
      <c r="AT44" s="366" t="str">
        <f ca="1">IFERROR(XIRR($C41:AT41,$C$33:AT$33),"NaN")</f>
        <v>NaN</v>
      </c>
      <c r="AU44" s="366" t="str">
        <f ca="1">IFERROR(XIRR($C41:AU41,$C$33:AU$33),"NaN")</f>
        <v>NaN</v>
      </c>
      <c r="AV44" s="366" t="str">
        <f ca="1">IFERROR(XIRR($C41:AV41,$C$33:AV$33),"NaN")</f>
        <v>NaN</v>
      </c>
      <c r="AW44" s="366" t="str">
        <f ca="1">IFERROR(XIRR($C41:AW41,$C$33:AW$33),"NaN")</f>
        <v>NaN</v>
      </c>
      <c r="AX44" s="366" t="str">
        <f ca="1">IFERROR(XIRR($C41:AX41,$C$33:AX$33),"NaN")</f>
        <v>NaN</v>
      </c>
      <c r="AY44" s="366" t="str">
        <f ca="1">IFERROR(XIRR($C41:AY41,$C$33:AY$33),"NaN")</f>
        <v>NaN</v>
      </c>
      <c r="AZ44" s="366" t="str">
        <f ca="1">IFERROR(XIRR($C41:AZ41,$C$33:AZ$33),"NaN")</f>
        <v>NaN</v>
      </c>
      <c r="BA44" s="366" t="str">
        <f ca="1">IFERROR(XIRR($C41:BA41,$C$33:BA$33),"NaN")</f>
        <v>NaN</v>
      </c>
      <c r="BB44" s="366" t="str">
        <f ca="1">IFERROR(XIRR($C41:BB41,$C$33:BB$33),"NaN")</f>
        <v>NaN</v>
      </c>
      <c r="BC44" s="366" t="str">
        <f ca="1">IFERROR(XIRR($C41:BC41,$C$33:BC$33),"NaN")</f>
        <v>NaN</v>
      </c>
      <c r="BD44" s="366" t="str">
        <f ca="1">IFERROR(XIRR($C41:BD41,$C$33:BD$33),"NaN")</f>
        <v>NaN</v>
      </c>
      <c r="BE44" s="366" t="str">
        <f ca="1">IFERROR(XIRR($C41:BE41,$C$33:BE$33),"NaN")</f>
        <v>NaN</v>
      </c>
      <c r="BF44" s="366" t="str">
        <f ca="1">IFERROR(XIRR($C41:BF41,$C$33:BF$33),"NaN")</f>
        <v>NaN</v>
      </c>
      <c r="BG44" s="366" t="str">
        <f ca="1">IFERROR(XIRR($C41:BG41,$C$33:BG$33),"NaN")</f>
        <v>NaN</v>
      </c>
      <c r="BH44" s="366" t="str">
        <f ca="1">IFERROR(XIRR($C41:BH41,$C$33:BH$33),"NaN")</f>
        <v>NaN</v>
      </c>
      <c r="BI44" s="366" t="str">
        <f ca="1">IFERROR(XIRR($C41:BI41,$C$33:BI$33),"NaN")</f>
        <v>NaN</v>
      </c>
      <c r="BJ44" s="366" t="str">
        <f ca="1">IFERROR(XIRR($C41:BJ41,$C$33:BJ$33),"NaN")</f>
        <v>NaN</v>
      </c>
      <c r="BK44" s="366" t="str">
        <f ca="1">IFERROR(XIRR($C41:BK41,$C$33:BK$33),"NaN")</f>
        <v>NaN</v>
      </c>
      <c r="BL44" s="366" t="str">
        <f ca="1">IFERROR(XIRR($C41:BL41,$C$33:BL$33),"NaN")</f>
        <v>NaN</v>
      </c>
      <c r="BM44" s="366" t="str">
        <f ca="1">IFERROR(XIRR($C41:BM41,$C$33:BM$33),"NaN")</f>
        <v>NaN</v>
      </c>
      <c r="BN44" s="366" t="str">
        <f ca="1">IFERROR(XIRR($C41:BN41,$C$33:BN$33),"NaN")</f>
        <v>NaN</v>
      </c>
      <c r="BO44" s="366" t="str">
        <f ca="1">IFERROR(XIRR($C41:BO41,$C$33:BO$33),"NaN")</f>
        <v>NaN</v>
      </c>
      <c r="BP44" s="366" t="str">
        <f ca="1">IFERROR(XIRR($C41:BP41,$C$33:BP$33),"NaN")</f>
        <v>NaN</v>
      </c>
      <c r="BQ44" s="366" t="str">
        <f ca="1">IFERROR(XIRR($C41:BQ41,$C$33:BQ$33),"NaN")</f>
        <v>NaN</v>
      </c>
      <c r="BR44" s="366" t="str">
        <f ca="1">IFERROR(XIRR($C41:BR41,$C$33:BR$33),"NaN")</f>
        <v>NaN</v>
      </c>
      <c r="BS44" s="366" t="str">
        <f ca="1">IFERROR(XIRR($C41:BS41,$C$33:BS$33),"NaN")</f>
        <v>NaN</v>
      </c>
      <c r="BT44" s="366" t="str">
        <f ca="1">IFERROR(XIRR($C41:BT41,$C$33:BT$33),"NaN")</f>
        <v>NaN</v>
      </c>
      <c r="BU44" s="366" t="str">
        <f ca="1">IFERROR(XIRR($C41:BU41,$C$33:BU$33),"NaN")</f>
        <v>NaN</v>
      </c>
      <c r="BV44" s="366" t="str">
        <f ca="1">IFERROR(XIRR($C41:BV41,$C$33:BV$33),"NaN")</f>
        <v>NaN</v>
      </c>
      <c r="BW44" s="366" t="str">
        <f ca="1">IFERROR(XIRR($C41:BW41,$C$33:BW$33),"NaN")</f>
        <v>NaN</v>
      </c>
      <c r="BX44" s="366" t="str">
        <f ca="1">IFERROR(XIRR($C41:BX41,$C$33:BX$33),"NaN")</f>
        <v>NaN</v>
      </c>
      <c r="BY44" s="366" t="str">
        <f ca="1">IFERROR(XIRR($C41:BY41,$C$33:BY$33),"NaN")</f>
        <v>NaN</v>
      </c>
      <c r="BZ44" s="366" t="str">
        <f ca="1">IFERROR(XIRR($C41:BZ41,$C$33:BZ$33),"NaN")</f>
        <v>NaN</v>
      </c>
      <c r="CA44" s="366" t="str">
        <f ca="1">IFERROR(XIRR($C41:CA41,$C$33:CA$33),"NaN")</f>
        <v>NaN</v>
      </c>
      <c r="CB44" s="366" t="str">
        <f ca="1">IFERROR(XIRR($C41:CB41,$C$33:CB$33),"NaN")</f>
        <v>NaN</v>
      </c>
      <c r="CC44" s="366" t="str">
        <f ca="1">IFERROR(XIRR($C41:CC41,$C$33:CC$33),"NaN")</f>
        <v>NaN</v>
      </c>
      <c r="CD44" s="366" t="str">
        <f ca="1">IFERROR(XIRR($C41:CD41,$C$33:CD$33),"NaN")</f>
        <v>NaN</v>
      </c>
      <c r="CE44" s="366" t="str">
        <f ca="1">IFERROR(XIRR($C41:CE41,$C$33:CE$33),"NaN")</f>
        <v>NaN</v>
      </c>
      <c r="CF44" s="366" t="str">
        <f ca="1">IFERROR(XIRR($C41:CF41,$C$33:CF$33),"NaN")</f>
        <v>NaN</v>
      </c>
      <c r="CG44" s="366" t="str">
        <f ca="1">IFERROR(XIRR($C41:CG41,$C$33:CG$33),"NaN")</f>
        <v>NaN</v>
      </c>
      <c r="CH44" s="366" t="str">
        <f ca="1">IFERROR(XIRR($C41:CH41,$C$33:CH$33),"NaN")</f>
        <v>NaN</v>
      </c>
      <c r="CI44" s="366" t="str">
        <f ca="1">IFERROR(XIRR($C41:CI41,$C$33:CI$33),"NaN")</f>
        <v>NaN</v>
      </c>
      <c r="CJ44" s="366" t="str">
        <f ca="1">IFERROR(XIRR($C41:CJ41,$C$33:CJ$33),"NaN")</f>
        <v>NaN</v>
      </c>
      <c r="CK44" s="366" t="str">
        <f ca="1">IFERROR(XIRR($C41:CK41,$C$33:CK$33),"NaN")</f>
        <v>NaN</v>
      </c>
      <c r="CL44" s="366" t="str">
        <f ca="1">IFERROR(XIRR($C41:CL41,$C$33:CL$33),"NaN")</f>
        <v>NaN</v>
      </c>
      <c r="CM44" s="366" t="str">
        <f ca="1">IFERROR(XIRR($C41:CM41,$C$33:CM$33),"NaN")</f>
        <v>NaN</v>
      </c>
      <c r="CN44" s="366" t="str">
        <f ca="1">IFERROR(XIRR($C41:CN41,$C$33:CN$33),"NaN")</f>
        <v>NaN</v>
      </c>
      <c r="CO44" s="366" t="str">
        <f ca="1">IFERROR(XIRR($C41:CO41,$C$33:CO$33),"NaN")</f>
        <v>NaN</v>
      </c>
      <c r="CP44" s="366" t="str">
        <f ca="1">IFERROR(XIRR($C41:CP41,$C$33:CP$33),"NaN")</f>
        <v>NaN</v>
      </c>
      <c r="CQ44" s="366" t="str">
        <f ca="1">IFERROR(XIRR($C41:CQ41,$C$33:CQ$33),"NaN")</f>
        <v>NaN</v>
      </c>
      <c r="CR44" s="366" t="str">
        <f ca="1">IFERROR(XIRR($C41:CR41,$C$33:CR$33),"NaN")</f>
        <v>NaN</v>
      </c>
      <c r="CS44" s="366" t="str">
        <f ca="1">IFERROR(XIRR($C41:CS41,$C$33:CS$33),"NaN")</f>
        <v>NaN</v>
      </c>
      <c r="CT44" s="366" t="str">
        <f ca="1">IFERROR(XIRR($C41:CT41,$C$33:CT$33),"NaN")</f>
        <v>NaN</v>
      </c>
      <c r="CU44" s="366" t="str">
        <f ca="1">IFERROR(XIRR($C41:CU41,$C$33:CU$33),"NaN")</f>
        <v>NaN</v>
      </c>
      <c r="CV44" s="366" t="str">
        <f ca="1">IFERROR(XIRR($C41:CV41,$C$33:CV$33),"NaN")</f>
        <v>NaN</v>
      </c>
      <c r="CW44" s="366" t="str">
        <f ca="1">IFERROR(XIRR($C41:CW41,$C$33:CW$33),"NaN")</f>
        <v>NaN</v>
      </c>
      <c r="CX44" s="366" t="str">
        <f ca="1">IFERROR(XIRR($C41:CX41,$C$33:CX$33),"NaN")</f>
        <v>NaN</v>
      </c>
      <c r="CY44" s="366" t="str">
        <f ca="1">IFERROR(XIRR($C41:CY41,$C$33:CY$33),"NaN")</f>
        <v>NaN</v>
      </c>
      <c r="CZ44" s="366" t="str">
        <f ca="1">IFERROR(XIRR($C41:CZ41,$C$33:CZ$33),"NaN")</f>
        <v>NaN</v>
      </c>
      <c r="DA44" s="366" t="str">
        <f ca="1">IFERROR(XIRR($C41:DA41,$C$33:DA$33),"NaN")</f>
        <v>NaN</v>
      </c>
      <c r="DB44" s="366" t="str">
        <f ca="1">IFERROR(XIRR($C41:DB41,$C$33:DB$33),"NaN")</f>
        <v>NaN</v>
      </c>
      <c r="DC44" s="366" t="str">
        <f ca="1">IFERROR(XIRR($C41:DC41,$C$33:DC$33),"NaN")</f>
        <v>NaN</v>
      </c>
      <c r="DD44" s="366" t="str">
        <f ca="1">IFERROR(XIRR($C41:DD41,$C$33:DD$33),"NaN")</f>
        <v>NaN</v>
      </c>
      <c r="DE44" s="366" t="str">
        <f ca="1">IFERROR(XIRR($C41:DE41,$C$33:DE$33),"NaN")</f>
        <v>NaN</v>
      </c>
      <c r="DF44" s="366" t="str">
        <f ca="1">IFERROR(XIRR($C41:DF41,$C$33:DF$33),"NaN")</f>
        <v>NaN</v>
      </c>
      <c r="DG44" s="366" t="str">
        <f ca="1">IFERROR(XIRR($C41:DG41,$C$33:DG$33),"NaN")</f>
        <v>NaN</v>
      </c>
      <c r="DH44" s="366" t="str">
        <f ca="1">IFERROR(XIRR($C41:DH41,$C$33:DH$33),"NaN")</f>
        <v>NaN</v>
      </c>
      <c r="DI44" s="366" t="str">
        <f ca="1">IFERROR(XIRR($C41:DI41,$C$33:DI$33),"NaN")</f>
        <v>NaN</v>
      </c>
      <c r="DJ44" s="366" t="str">
        <f ca="1">IFERROR(XIRR($C41:DJ41,$C$33:DJ$33),"NaN")</f>
        <v>NaN</v>
      </c>
      <c r="DK44" s="366" t="str">
        <f ca="1">IFERROR(XIRR($C41:DK41,$C$33:DK$33),"NaN")</f>
        <v>NaN</v>
      </c>
      <c r="DL44" s="366" t="str">
        <f ca="1">IFERROR(XIRR($C41:DL41,$C$33:DL$33),"NaN")</f>
        <v>NaN</v>
      </c>
      <c r="DM44" s="366" t="str">
        <f ca="1">IFERROR(XIRR($C41:DM41,$C$33:DM$33),"NaN")</f>
        <v>NaN</v>
      </c>
      <c r="DN44" s="366" t="str">
        <f ca="1">IFERROR(XIRR($C41:DN41,$C$33:DN$33),"NaN")</f>
        <v>NaN</v>
      </c>
      <c r="DO44" s="366" t="str">
        <f ca="1">IFERROR(XIRR($C41:DO41,$C$33:DO$33),"NaN")</f>
        <v>NaN</v>
      </c>
      <c r="DP44" s="366" t="str">
        <f ca="1">IFERROR(XIRR($C41:DP41,$C$33:DP$33),"NaN")</f>
        <v>NaN</v>
      </c>
      <c r="DQ44" s="366" t="str">
        <f ca="1">IFERROR(XIRR($C41:DQ41,$C$33:DQ$33),"NaN")</f>
        <v>NaN</v>
      </c>
      <c r="DR44" s="366" t="str">
        <f ca="1">IFERROR(XIRR($C41:DR41,$C$33:DR$33),"NaN")</f>
        <v>NaN</v>
      </c>
      <c r="DS44" s="366" t="str">
        <f ca="1">IFERROR(XIRR($C41:DS41,$C$33:DS$33),"NaN")</f>
        <v>NaN</v>
      </c>
      <c r="DT44" s="366" t="str">
        <f ca="1">IFERROR(XIRR($C41:DT41,$C$33:DT$33),"NaN")</f>
        <v>NaN</v>
      </c>
      <c r="DU44" s="366" t="str">
        <f ca="1">IFERROR(XIRR($C41:DU41,$C$33:DU$33),"NaN")</f>
        <v>NaN</v>
      </c>
      <c r="DV44" s="366" t="str">
        <f ca="1">IFERROR(XIRR($C41:DV41,$C$33:DV$33),"NaN")</f>
        <v>NaN</v>
      </c>
      <c r="DW44" s="366" t="str">
        <f ca="1">IFERROR(XIRR($C41:DW41,$C$33:DW$33),"NaN")</f>
        <v>NaN</v>
      </c>
      <c r="DX44" s="366" t="str">
        <f ca="1">IFERROR(XIRR($C41:DX41,$C$33:DX$33),"NaN")</f>
        <v>NaN</v>
      </c>
      <c r="DY44" s="366" t="str">
        <f ca="1">IFERROR(XIRR($C41:DY41,$C$33:DY$33),"NaN")</f>
        <v>NaN</v>
      </c>
      <c r="DZ44" s="366" t="str">
        <f ca="1">IFERROR(XIRR($C41:DZ41,$C$33:DZ$33),"NaN")</f>
        <v>NaN</v>
      </c>
      <c r="EA44" s="366" t="str">
        <f ca="1">IFERROR(XIRR($C41:EA41,$C$33:EA$33),"NaN")</f>
        <v>NaN</v>
      </c>
      <c r="EB44" s="366" t="str">
        <f ca="1">IFERROR(XIRR($C41:EB41,$C$33:EB$33),"NaN")</f>
        <v>NaN</v>
      </c>
      <c r="EC44" s="366" t="str">
        <f ca="1">IFERROR(XIRR($C41:EC41,$C$33:EC$33),"NaN")</f>
        <v>NaN</v>
      </c>
      <c r="ED44" s="366" t="str">
        <f ca="1">IFERROR(XIRR($C41:ED41,$C$33:ED$33),"NaN")</f>
        <v>NaN</v>
      </c>
      <c r="EE44" s="366" t="str">
        <f ca="1">IFERROR(XIRR($C41:EE41,$C$33:EE$33),"NaN")</f>
        <v>NaN</v>
      </c>
      <c r="EF44" s="366" t="str">
        <f ca="1">IFERROR(XIRR($C41:EF41,$C$33:EF$33),"NaN")</f>
        <v>NaN</v>
      </c>
      <c r="EG44" s="366" t="str">
        <f ca="1">IFERROR(XIRR($C41:EG41,$C$33:EG$33),"NaN")</f>
        <v>NaN</v>
      </c>
      <c r="EH44" s="366" t="str">
        <f ca="1">IFERROR(XIRR($C41:EH41,$C$33:EH$33),"NaN")</f>
        <v>NaN</v>
      </c>
      <c r="EI44" s="366" t="str">
        <f ca="1">IFERROR(XIRR($C41:EI41,$C$33:EI$33),"NaN")</f>
        <v>NaN</v>
      </c>
      <c r="EJ44" s="366" t="str">
        <f ca="1">IFERROR(XIRR($C41:EJ41,$C$33:EJ$33),"NaN")</f>
        <v>NaN</v>
      </c>
      <c r="EK44" s="366" t="str">
        <f ca="1">IFERROR(XIRR($C41:EK41,$C$33:EK$33),"NaN")</f>
        <v>NaN</v>
      </c>
      <c r="EL44" s="366" t="str">
        <f ca="1">IFERROR(XIRR($C41:EL41,$C$33:EL$33),"NaN")</f>
        <v>NaN</v>
      </c>
      <c r="EM44" s="366" t="str">
        <f ca="1">IFERROR(XIRR($C41:EM41,$C$33:EM$33),"NaN")</f>
        <v>NaN</v>
      </c>
      <c r="EN44" s="366" t="str">
        <f ca="1">IFERROR(XIRR($C41:EN41,$C$33:EN$33),"NaN")</f>
        <v>NaN</v>
      </c>
      <c r="EO44" s="366" t="str">
        <f ca="1">IFERROR(XIRR($C41:EO41,$C$33:EO$33),"NaN")</f>
        <v>NaN</v>
      </c>
      <c r="EP44" s="366" t="str">
        <f ca="1">IFERROR(XIRR($C41:EP41,$C$33:EP$33),"NaN")</f>
        <v>NaN</v>
      </c>
      <c r="EQ44" s="366" t="str">
        <f ca="1">IFERROR(XIRR($C41:EQ41,$C$33:EQ$33),"NaN")</f>
        <v>NaN</v>
      </c>
      <c r="ER44" s="366" t="str">
        <f ca="1">IFERROR(XIRR($C41:ER41,$C$33:ER$33),"NaN")</f>
        <v>NaN</v>
      </c>
      <c r="ES44" s="366" t="str">
        <f ca="1">IFERROR(XIRR($C41:ES41,$C$33:ES$33),"NaN")</f>
        <v>NaN</v>
      </c>
      <c r="ET44" s="366" t="str">
        <f ca="1">IFERROR(XIRR($C41:ET41,$C$33:ET$33),"NaN")</f>
        <v>NaN</v>
      </c>
      <c r="EU44" s="366" t="str">
        <f ca="1">IFERROR(XIRR($C41:EU41,$C$33:EU$33),"NaN")</f>
        <v>NaN</v>
      </c>
      <c r="EV44" s="366" t="str">
        <f ca="1">IFERROR(XIRR($C41:EV41,$C$33:EV$33),"NaN")</f>
        <v>NaN</v>
      </c>
      <c r="EW44" s="366" t="str">
        <f ca="1">IFERROR(XIRR($C41:EW41,$C$33:EW$33),"NaN")</f>
        <v>NaN</v>
      </c>
      <c r="EX44" s="366" t="str">
        <f ca="1">IFERROR(XIRR($C41:EX41,$C$33:EX$33),"NaN")</f>
        <v>NaN</v>
      </c>
      <c r="EY44" s="366" t="str">
        <f ca="1">IFERROR(XIRR($C41:EY41,$C$33:EY$33),"NaN")</f>
        <v>NaN</v>
      </c>
      <c r="EZ44" s="366" t="str">
        <f ca="1">IFERROR(XIRR($C41:EZ41,$C$33:EZ$33),"NaN")</f>
        <v>NaN</v>
      </c>
      <c r="FA44" s="366" t="str">
        <f ca="1">IFERROR(XIRR($C41:FA41,$C$33:FA$33),"NaN")</f>
        <v>NaN</v>
      </c>
      <c r="FB44" s="366" t="str">
        <f ca="1">IFERROR(XIRR($C41:FB41,$C$33:FB$33),"NaN")</f>
        <v>NaN</v>
      </c>
      <c r="FC44" s="366" t="str">
        <f ca="1">IFERROR(XIRR($C41:FC41,$C$33:FC$33),"NaN")</f>
        <v>NaN</v>
      </c>
      <c r="FD44" s="366" t="str">
        <f ca="1">IFERROR(XIRR($C41:FD41,$C$33:FD$33),"NaN")</f>
        <v>NaN</v>
      </c>
      <c r="FE44" s="366" t="str">
        <f ca="1">IFERROR(XIRR($C41:FE41,$C$33:FE$33),"NaN")</f>
        <v>NaN</v>
      </c>
      <c r="FF44" s="366" t="str">
        <f ca="1">IFERROR(XIRR($C41:FF41,$C$33:FF$33),"NaN")</f>
        <v>NaN</v>
      </c>
      <c r="FG44" s="366" t="str">
        <f ca="1">IFERROR(XIRR($C41:FG41,$C$33:FG$33),"NaN")</f>
        <v>NaN</v>
      </c>
      <c r="FH44" s="366" t="str">
        <f ca="1">IFERROR(XIRR($C41:FH41,$C$33:FH$33),"NaN")</f>
        <v>NaN</v>
      </c>
      <c r="FI44" s="366" t="str">
        <f ca="1">IFERROR(XIRR($C41:FI41,$C$33:FI$33),"NaN")</f>
        <v>NaN</v>
      </c>
      <c r="FJ44" s="366" t="str">
        <f ca="1">IFERROR(XIRR($C41:FJ41,$C$33:FJ$33),"NaN")</f>
        <v>NaN</v>
      </c>
      <c r="FK44" s="366" t="str">
        <f ca="1">IFERROR(XIRR($C41:FK41,$C$33:FK$33),"NaN")</f>
        <v>NaN</v>
      </c>
      <c r="FL44" s="366" t="str">
        <f ca="1">IFERROR(XIRR($C41:FL41,$C$33:FL$33),"NaN")</f>
        <v>NaN</v>
      </c>
      <c r="FM44" s="366" t="str">
        <f ca="1">IFERROR(XIRR($C41:FM41,$C$33:FM$33),"NaN")</f>
        <v>NaN</v>
      </c>
      <c r="FN44" s="366" t="str">
        <f ca="1">IFERROR(XIRR($C41:FN41,$C$33:FN$33),"NaN")</f>
        <v>NaN</v>
      </c>
      <c r="FO44" s="366" t="str">
        <f ca="1">IFERROR(XIRR($C41:FO41,$C$33:FO$33),"NaN")</f>
        <v>NaN</v>
      </c>
      <c r="FP44" s="366" t="str">
        <f ca="1">IFERROR(XIRR($C41:FP41,$C$33:FP$33),"NaN")</f>
        <v>NaN</v>
      </c>
      <c r="FQ44" s="366" t="str">
        <f ca="1">IFERROR(XIRR($C41:FQ41,$C$33:FQ$33),"NaN")</f>
        <v>NaN</v>
      </c>
      <c r="FR44" s="366" t="str">
        <f ca="1">IFERROR(XIRR($C41:FR41,$C$33:FR$33),"NaN")</f>
        <v>NaN</v>
      </c>
      <c r="FS44" s="366" t="str">
        <f ca="1">IFERROR(XIRR($C41:FS41,$C$33:FS$33),"NaN")</f>
        <v>NaN</v>
      </c>
      <c r="FT44" s="366" t="str">
        <f ca="1">IFERROR(XIRR($C41:FT41,$C$33:FT$33),"NaN")</f>
        <v>NaN</v>
      </c>
      <c r="FU44" s="366" t="str">
        <f ca="1">IFERROR(XIRR($C41:FU41,$C$33:FU$33),"NaN")</f>
        <v>NaN</v>
      </c>
      <c r="FV44" s="366" t="str">
        <f ca="1">IFERROR(XIRR($C41:FV41,$C$33:FV$33),"NaN")</f>
        <v>NaN</v>
      </c>
      <c r="FW44" s="366" t="str">
        <f ca="1">IFERROR(XIRR($C41:FW41,$C$33:FW$33),"NaN")</f>
        <v>NaN</v>
      </c>
      <c r="FX44" s="366" t="str">
        <f ca="1">IFERROR(XIRR($C41:FX41,$C$33:FX$33),"NaN")</f>
        <v>NaN</v>
      </c>
      <c r="FY44" s="366" t="str">
        <f ca="1">IFERROR(XIRR($C41:FY41,$C$33:FY$33),"NaN")</f>
        <v>NaN</v>
      </c>
      <c r="FZ44" s="366" t="str">
        <f ca="1">IFERROR(XIRR($C41:FZ41,$C$33:FZ$33),"NaN")</f>
        <v>NaN</v>
      </c>
      <c r="GA44" s="367" t="str">
        <f ca="1">IFERROR(XIRR($C41:GA41,$C$33:GA$33),"NaN")</f>
        <v>NaN</v>
      </c>
    </row>
    <row r="47" spans="1:183" x14ac:dyDescent="0.15">
      <c r="A47" s="78" t="s">
        <v>412</v>
      </c>
      <c r="BK47" s="313"/>
      <c r="BL47" s="313" t="e">
        <f ca="1">-XNPV(EqInv_ReqIRR,$C38:BK38,$C33:BK33)*FV(EqInv_ReqIRR,(BL33-$C33)/365,0,-1)+(-XNPV($GA$44,$C41:BK41,$C33:BK33)*FV($GA$44,(BL33-$C33)/365,0,-1))</f>
        <v>#VALUE!</v>
      </c>
      <c r="BM47" s="313" t="e">
        <f ca="1">-XNPV(EqInv_ReqIRR,$C38:BL38,$C33:BL33)*FV(EqInv_ReqIRR,(BM33-$C33)/365,0,-1)+(-XNPV($GA$44,$C41:BL41,$C33:BL33)*FV($GA$44,(BM33-$C33)/365,0,-1))</f>
        <v>#VALUE!</v>
      </c>
      <c r="BN47" s="313" t="e">
        <f ca="1">-XNPV(EqInv_ReqIRR,$C38:BM38,$C33:BM33)*FV(EqInv_ReqIRR,(BN33-$C33)/365,0,-1)+(-XNPV($GA$44,$C41:BM41,$C33:BM33)*FV($GA$44,(BN33-$C33)/365,0,-1))</f>
        <v>#VALUE!</v>
      </c>
      <c r="BO47" s="313" t="e">
        <f ca="1">-XNPV(EqInv_ReqIRR,$C38:BN38,$C33:BN33)*FV(EqInv_ReqIRR,(BO33-$C33)/365,0,-1)+(-XNPV($GA$44,$C41:BN41,$C33:BN33)*FV($GA$44,(BO33-$C33)/365,0,-1))</f>
        <v>#VALUE!</v>
      </c>
      <c r="BP47" s="313" t="e">
        <f ca="1">-XNPV(EqInv_ReqIRR,$C38:BO38,$C33:BO33)*FV(EqInv_ReqIRR,(BP33-$C33)/365,0,-1)+(-XNPV($GA$44,$C41:BO41,$C33:BO33)*FV($GA$44,(BP33-$C33)/365,0,-1))</f>
        <v>#VALUE!</v>
      </c>
      <c r="BQ47" s="313" t="e">
        <f ca="1">-XNPV(EqInv_ReqIRR,$C38:BP38,$C33:BP33)*FV(EqInv_ReqIRR,(BQ33-$C33)/365,0,-1)+(-XNPV($GA$44,$C41:BP41,$C33:BP33)*FV($GA$44,(BQ33-$C33)/365,0,-1))</f>
        <v>#VALUE!</v>
      </c>
      <c r="BR47" s="313" t="e">
        <f ca="1">-XNPV(EqInv_ReqIRR,$C38:BQ38,$C33:BQ33)*FV(EqInv_ReqIRR,(BR33-$C33)/365,0,-1)+(-XNPV($GA$44,$C41:BQ41,$C33:BQ33)*FV($GA$44,(BR33-$C33)/365,0,-1))</f>
        <v>#VALUE!</v>
      </c>
      <c r="BS47" s="313" t="e">
        <f ca="1">-XNPV(EqInv_ReqIRR,$C38:BR38,$C33:BR33)*FV(EqInv_ReqIRR,(BS33-$C33)/365,0,-1)+(-XNPV($GA$44,$C41:BR41,$C33:BR33)*FV($GA$44,(BS33-$C33)/365,0,-1))</f>
        <v>#VALUE!</v>
      </c>
      <c r="BT47" s="313" t="e">
        <f ca="1">-XNPV(EqInv_ReqIRR,$C38:BS38,$C33:BS33)*FV(EqInv_ReqIRR,(BT33-$C33)/365,0,-1)+(-XNPV($GA$44,$C41:BS41,$C33:BS33)*FV($GA$44,(BT33-$C33)/365,0,-1))</f>
        <v>#VALUE!</v>
      </c>
      <c r="BU47" s="313" t="e">
        <f ca="1">-XNPV(EqInv_ReqIRR,$C38:BT38,$C33:BT33)*FV(EqInv_ReqIRR,(BU33-$C33)/365,0,-1)+(-XNPV($GA$44,$C41:BT41,$C33:BT33)*FV($GA$44,(BU33-$C33)/365,0,-1))</f>
        <v>#VALUE!</v>
      </c>
      <c r="BV47" s="313" t="e">
        <f ca="1">-XNPV(EqInv_ReqIRR,$C38:BU38,$C33:BU33)*FV(EqInv_ReqIRR,(BV33-$C33)/365,0,-1)+(-XNPV($GA$44,$C41:BU41,$C33:BU33)*FV($GA$44,(BV33-$C33)/365,0,-1))</f>
        <v>#VALUE!</v>
      </c>
      <c r="BW47" s="313" t="e">
        <f ca="1">-XNPV(EqInv_ReqIRR,$C38:BV38,$C33:BV33)*FV(EqInv_ReqIRR,(BW33-$C33)/365,0,-1)+(-XNPV($GA$44,$C41:BV41,$C33:BV33)*FV($GA$44,(BW33-$C33)/365,0,-1))</f>
        <v>#VALUE!</v>
      </c>
      <c r="BX47" s="313" t="e">
        <f ca="1">-XNPV(EqInv_ReqIRR,$C38:BW38,$C33:BW33)*FV(EqInv_ReqIRR,(BX33-$C33)/365,0,-1)+(-XNPV($GA$44,$C41:BW41,$C33:BW33)*FV($GA$44,(BX33-$C33)/365,0,-1))</f>
        <v>#VALUE!</v>
      </c>
      <c r="BY47" s="313" t="e">
        <f ca="1">-XNPV(EqInv_ReqIRR,$C38:BX38,$C33:BX33)*FV(EqInv_ReqIRR,(BY33-$C33)/365,0,-1)+(-XNPV($GA$44,$C41:BX41,$C33:BX33)*FV($GA$44,(BY33-$C33)/365,0,-1))</f>
        <v>#VALUE!</v>
      </c>
      <c r="BZ47" s="313" t="e">
        <f ca="1">-XNPV(EqInv_ReqIRR,$C38:BY38,$C33:BY33)*FV(EqInv_ReqIRR,(BZ33-$C33)/365,0,-1)+(-XNPV($GA$44,$C41:BY41,$C33:BY33)*FV($GA$44,(BZ33-$C33)/365,0,-1))</f>
        <v>#VALUE!</v>
      </c>
      <c r="CA47" s="313" t="e">
        <f ca="1">-XNPV(EqInv_ReqIRR,$C38:BZ38,$C33:BZ33)*FV(EqInv_ReqIRR,(CA33-$C33)/365,0,-1)+(-XNPV($GA$44,$C41:BZ41,$C33:BZ33)*FV($GA$44,(CA33-$C33)/365,0,-1))</f>
        <v>#VALUE!</v>
      </c>
      <c r="CB47" s="313" t="e">
        <f ca="1">-XNPV(EqInv_ReqIRR,$C38:CA38,$C33:CA33)*FV(EqInv_ReqIRR,(CB33-$C33)/365,0,-1)+(-XNPV($GA$44,$C41:CA41,$C33:CA33)*FV($GA$44,(CB33-$C33)/365,0,-1))</f>
        <v>#VALUE!</v>
      </c>
      <c r="CC47" s="313" t="e">
        <f ca="1">-XNPV(EqInv_ReqIRR,$C38:CB38,$C33:CB33)*FV(EqInv_ReqIRR,(CC33-$C33)/365,0,-1)+(-XNPV($GA$44,$C41:CB41,$C33:CB33)*FV($GA$44,(CC33-$C33)/365,0,-1))</f>
        <v>#VALUE!</v>
      </c>
      <c r="CD47" s="313" t="e">
        <f ca="1">-XNPV(EqInv_ReqIRR,$C38:CC38,$C33:CC33)*FV(EqInv_ReqIRR,(CD33-$C33)/365,0,-1)+(-XNPV($GA$44,$C41:CC41,$C33:CC33)*FV($GA$44,(CD33-$C33)/365,0,-1))</f>
        <v>#VALUE!</v>
      </c>
      <c r="CE47" s="313" t="e">
        <f ca="1">-XNPV(EqInv_ReqIRR,$C38:CD38,$C33:CD33)*FV(EqInv_ReqIRR,(CE33-$C33)/365,0,-1)+(-XNPV($GA$44,$C41:CD41,$C33:CD33)*FV($GA$44,(CE33-$C33)/365,0,-1))</f>
        <v>#VALUE!</v>
      </c>
      <c r="CF47" s="313" t="e">
        <f ca="1">-XNPV(EqInv_ReqIRR,$C38:CE38,$C33:CE33)*FV(EqInv_ReqIRR,(CF33-$C33)/365,0,-1)+(-XNPV($GA$44,$C41:CE41,$C33:CE33)*FV($GA$44,(CF33-$C33)/365,0,-1))</f>
        <v>#VALUE!</v>
      </c>
      <c r="CG47" s="313" t="e">
        <f ca="1">-XNPV(EqInv_ReqIRR,$C38:CF38,$C33:CF33)*FV(EqInv_ReqIRR,(CG33-$C33)/365,0,-1)+(-XNPV($GA$44,$C41:CF41,$C33:CF33)*FV($GA$44,(CG33-$C33)/365,0,-1))</f>
        <v>#VALUE!</v>
      </c>
      <c r="CH47" s="313" t="e">
        <f ca="1">-XNPV(EqInv_ReqIRR,$C38:CG38,$C33:CG33)*FV(EqInv_ReqIRR,(CH33-$C33)/365,0,-1)+(-XNPV($GA$44,$C41:CG41,$C33:CG33)*FV($GA$44,(CH33-$C33)/365,0,-1))</f>
        <v>#VALUE!</v>
      </c>
      <c r="CI47" s="313" t="e">
        <f ca="1">-XNPV(EqInv_ReqIRR,$C38:CH38,$C33:CH33)*FV(EqInv_ReqIRR,(CI33-$C33)/365,0,-1)+(-XNPV($GA$44,$C41:CH41,$C33:CH33)*FV($GA$44,(CI33-$C33)/365,0,-1))</f>
        <v>#VALUE!</v>
      </c>
      <c r="CJ47" s="313" t="e">
        <f ca="1">-XNPV(EqInv_ReqIRR,$C38:CI38,$C33:CI33)*FV(EqInv_ReqIRR,(CJ33-$C33)/365,0,-1)+(-XNPV($GA$44,$C41:CI41,$C33:CI33)*FV($GA$44,(CJ33-$C33)/365,0,-1))</f>
        <v>#VALUE!</v>
      </c>
      <c r="CK47" s="313" t="e">
        <f ca="1">-XNPV(EqInv_ReqIRR,$C38:CJ38,$C33:CJ33)*FV(EqInv_ReqIRR,(CK33-$C33)/365,0,-1)+(-XNPV($GA$44,$C41:CJ41,$C33:CJ33)*FV($GA$44,(CK33-$C33)/365,0,-1))</f>
        <v>#VALUE!</v>
      </c>
      <c r="CL47" s="313" t="e">
        <f ca="1">-XNPV(EqInv_ReqIRR,$C38:CK38,$C33:CK33)*FV(EqInv_ReqIRR,(CL33-$C33)/365,0,-1)+(-XNPV($GA$44,$C41:CK41,$C33:CK33)*FV($GA$44,(CL33-$C33)/365,0,-1))</f>
        <v>#VALUE!</v>
      </c>
      <c r="CM47" s="313" t="e">
        <f ca="1">-XNPV(EqInv_ReqIRR,$C38:CL38,$C33:CL33)*FV(EqInv_ReqIRR,(CM33-$C33)/365,0,-1)+(-XNPV($GA$44,$C41:CL41,$C33:CL33)*FV($GA$44,(CM33-$C33)/365,0,-1))</f>
        <v>#VALUE!</v>
      </c>
      <c r="CN47" s="313" t="e">
        <f ca="1">-XNPV(EqInv_ReqIRR,$C38:CM38,$C33:CM33)*FV(EqInv_ReqIRR,(CN33-$C33)/365,0,-1)+(-XNPV($GA$44,$C41:CM41,$C33:CM33)*FV($GA$44,(CN33-$C33)/365,0,-1))</f>
        <v>#VALUE!</v>
      </c>
      <c r="CO47" s="313" t="e">
        <f ca="1">-XNPV(EqInv_ReqIRR,$C38:CN38,$C33:CN33)*FV(EqInv_ReqIRR,(CO33-$C33)/365,0,-1)+(-XNPV($GA$44,$C41:CN41,$C33:CN33)*FV($GA$44,(CO33-$C33)/365,0,-1))</f>
        <v>#VALUE!</v>
      </c>
      <c r="CP47" s="313" t="e">
        <f ca="1">-XNPV(EqInv_ReqIRR,$C38:CO38,$C33:CO33)*FV(EqInv_ReqIRR,(CP33-$C33)/365,0,-1)+(-XNPV($GA$44,$C41:CO41,$C33:CO33)*FV($GA$44,(CP33-$C33)/365,0,-1))</f>
        <v>#VALUE!</v>
      </c>
      <c r="CQ47" s="313" t="e">
        <f ca="1">-XNPV(EqInv_ReqIRR,$C38:CP38,$C33:CP33)*FV(EqInv_ReqIRR,(CQ33-$C33)/365,0,-1)+(-XNPV($GA$44,$C41:CP41,$C33:CP33)*FV($GA$44,(CQ33-$C33)/365,0,-1))</f>
        <v>#VALUE!</v>
      </c>
      <c r="CR47" s="313" t="e">
        <f ca="1">-XNPV(EqInv_ReqIRR,$C38:CQ38,$C33:CQ33)*FV(EqInv_ReqIRR,(CR33-$C33)/365,0,-1)+(-XNPV($GA$44,$C41:CQ41,$C33:CQ33)*FV($GA$44,(CR33-$C33)/365,0,-1))</f>
        <v>#VALUE!</v>
      </c>
      <c r="CS47" s="313" t="e">
        <f ca="1">-XNPV(EqInv_ReqIRR,$C38:CR38,$C33:CR33)*FV(EqInv_ReqIRR,(CS33-$C33)/365,0,-1)+(-XNPV($GA$44,$C41:CR41,$C33:CR33)*FV($GA$44,(CS33-$C33)/365,0,-1))</f>
        <v>#VALUE!</v>
      </c>
      <c r="CT47" s="313" t="e">
        <f ca="1">-XNPV(EqInv_ReqIRR,$C38:CS38,$C33:CS33)*FV(EqInv_ReqIRR,(CT33-$C33)/365,0,-1)+(-XNPV($GA$44,$C41:CS41,$C33:CS33)*FV($GA$44,(CT33-$C33)/365,0,-1))</f>
        <v>#VALUE!</v>
      </c>
      <c r="CU47" s="313" t="e">
        <f ca="1">-XNPV(EqInv_ReqIRR,$C38:CT38,$C33:CT33)*FV(EqInv_ReqIRR,(CU33-$C33)/365,0,-1)+(-XNPV($GA$44,$C41:CT41,$C33:CT33)*FV($GA$44,(CU33-$C33)/365,0,-1))</f>
        <v>#VALUE!</v>
      </c>
      <c r="CV47" s="313" t="e">
        <f ca="1">-XNPV(EqInv_ReqIRR,$C38:CU38,$C33:CU33)*FV(EqInv_ReqIRR,(CV33-$C33)/365,0,-1)+(-XNPV($GA$44,$C41:CU41,$C33:CU33)*FV($GA$44,(CV33-$C33)/365,0,-1))</f>
        <v>#VALUE!</v>
      </c>
      <c r="CW47" s="313" t="e">
        <f ca="1">-XNPV(EqInv_ReqIRR,$C38:CV38,$C33:CV33)*FV(EqInv_ReqIRR,(CW33-$C33)/365,0,-1)+(-XNPV($GA$44,$C41:CV41,$C33:CV33)*FV($GA$44,(CW33-$C33)/365,0,-1))</f>
        <v>#VALUE!</v>
      </c>
      <c r="CX47" s="313" t="e">
        <f ca="1">-XNPV(EqInv_ReqIRR,$C38:CW38,$C33:CW33)*FV(EqInv_ReqIRR,(CX33-$C33)/365,0,-1)+(-XNPV($GA$44,$C41:CW41,$C33:CW33)*FV($GA$44,(CX33-$C33)/365,0,-1))</f>
        <v>#VALUE!</v>
      </c>
      <c r="CY47" s="313" t="e">
        <f ca="1">-XNPV(EqInv_ReqIRR,$C38:CX38,$C33:CX33)*FV(EqInv_ReqIRR,(CY33-$C33)/365,0,-1)+(-XNPV($GA$44,$C41:CX41,$C33:CX33)*FV($GA$44,(CY33-$C33)/365,0,-1))</f>
        <v>#VALUE!</v>
      </c>
      <c r="CZ47" s="313" t="e">
        <f ca="1">-XNPV(EqInv_ReqIRR,$C38:CY38,$C33:CY33)*FV(EqInv_ReqIRR,(CZ33-$C33)/365,0,-1)+(-XNPV($GA$44,$C41:CY41,$C33:CY33)*FV($GA$44,(CZ33-$C33)/365,0,-1))</f>
        <v>#VALUE!</v>
      </c>
      <c r="DA47" s="313" t="e">
        <f ca="1">-XNPV(EqInv_ReqIRR,$C38:CZ38,$C33:CZ33)*FV(EqInv_ReqIRR,(DA33-$C33)/365,0,-1)+(-XNPV($GA$44,$C41:CZ41,$C33:CZ33)*FV($GA$44,(DA33-$C33)/365,0,-1))</f>
        <v>#VALUE!</v>
      </c>
      <c r="DB47" s="313" t="e">
        <f ca="1">-XNPV(EqInv_ReqIRR,$C38:DA38,$C33:DA33)*FV(EqInv_ReqIRR,(DB33-$C33)/365,0,-1)+(-XNPV($GA$44,$C41:DA41,$C33:DA33)*FV($GA$44,(DB33-$C33)/365,0,-1))</f>
        <v>#VALUE!</v>
      </c>
      <c r="DC47" s="313" t="e">
        <f ca="1">-XNPV(EqInv_ReqIRR,$C38:DB38,$C33:DB33)*FV(EqInv_ReqIRR,(DC33-$C33)/365,0,-1)+(-XNPV($GA$44,$C41:DB41,$C33:DB33)*FV($GA$44,(DC33-$C33)/365,0,-1))</f>
        <v>#VALUE!</v>
      </c>
      <c r="DD47" s="313" t="e">
        <f ca="1">-XNPV(EqInv_ReqIRR,$C38:DC38,$C33:DC33)*FV(EqInv_ReqIRR,(DD33-$C33)/365,0,-1)+(-XNPV($GA$44,$C41:DC41,$C33:DC33)*FV($GA$44,(DD33-$C33)/365,0,-1))</f>
        <v>#VALUE!</v>
      </c>
      <c r="DE47" s="313" t="e">
        <f ca="1">-XNPV(EqInv_ReqIRR,$C38:DD38,$C33:DD33)*FV(EqInv_ReqIRR,(DE33-$C33)/365,0,-1)+(-XNPV($GA$44,$C41:DD41,$C33:DD33)*FV($GA$44,(DE33-$C33)/365,0,-1))</f>
        <v>#VALUE!</v>
      </c>
      <c r="DF47" s="313" t="e">
        <f ca="1">-XNPV(EqInv_ReqIRR,$C38:DE38,$C33:DE33)*FV(EqInv_ReqIRR,(DF33-$C33)/365,0,-1)+(-XNPV($GA$44,$C41:DE41,$C33:DE33)*FV($GA$44,(DF33-$C33)/365,0,-1))</f>
        <v>#VALUE!</v>
      </c>
      <c r="DG47" s="313" t="e">
        <f ca="1">-XNPV(EqInv_ReqIRR,$C38:DF38,$C33:DF33)*FV(EqInv_ReqIRR,(DG33-$C33)/365,0,-1)+(-XNPV($GA$44,$C41:DF41,$C33:DF33)*FV($GA$44,(DG33-$C33)/365,0,-1))</f>
        <v>#VALUE!</v>
      </c>
      <c r="DH47" s="313" t="e">
        <f ca="1">-XNPV(EqInv_ReqIRR,$C38:DG38,$C33:DG33)*FV(EqInv_ReqIRR,(DH33-$C33)/365,0,-1)+(-XNPV($GA$44,$C41:DG41,$C33:DG33)*FV($GA$44,(DH33-$C33)/365,0,-1))</f>
        <v>#VALUE!</v>
      </c>
      <c r="DI47" s="313" t="e">
        <f ca="1">-XNPV(EqInv_ReqIRR,$C38:DH38,$C33:DH33)*FV(EqInv_ReqIRR,(DI33-$C33)/365,0,-1)+(-XNPV($GA$44,$C41:DH41,$C33:DH33)*FV($GA$44,(DI33-$C33)/365,0,-1))</f>
        <v>#VALUE!</v>
      </c>
      <c r="DJ47" s="313" t="e">
        <f ca="1">-XNPV(EqInv_ReqIRR,$C38:DI38,$C33:DI33)*FV(EqInv_ReqIRR,(DJ33-$C33)/365,0,-1)+(-XNPV($GA$44,$C41:DI41,$C33:DI33)*FV($GA$44,(DJ33-$C33)/365,0,-1))</f>
        <v>#VALUE!</v>
      </c>
      <c r="DK47" s="313" t="e">
        <f ca="1">-XNPV(EqInv_ReqIRR,$C38:DJ38,$C33:DJ33)*FV(EqInv_ReqIRR,(DK33-$C33)/365,0,-1)+(-XNPV($GA$44,$C41:DJ41,$C33:DJ33)*FV($GA$44,(DK33-$C33)/365,0,-1))</f>
        <v>#VALUE!</v>
      </c>
      <c r="DL47" s="313" t="e">
        <f ca="1">-XNPV(EqInv_ReqIRR,$C38:DK38,$C33:DK33)*FV(EqInv_ReqIRR,(DL33-$C33)/365,0,-1)+(-XNPV($GA$44,$C41:DK41,$C33:DK33)*FV($GA$44,(DL33-$C33)/365,0,-1))</f>
        <v>#VALUE!</v>
      </c>
      <c r="DM47" s="313" t="e">
        <f ca="1">-XNPV(EqInv_ReqIRR,$C38:DL38,$C33:DL33)*FV(EqInv_ReqIRR,(DM33-$C33)/365,0,-1)+(-XNPV($GA$44,$C41:DL41,$C33:DL33)*FV($GA$44,(DM33-$C33)/365,0,-1))</f>
        <v>#VALUE!</v>
      </c>
      <c r="DN47" s="313" t="e">
        <f ca="1">-XNPV(EqInv_ReqIRR,$C38:DM38,$C33:DM33)*FV(EqInv_ReqIRR,(DN33-$C33)/365,0,-1)+(-XNPV($GA$44,$C41:DM41,$C33:DM33)*FV($GA$44,(DN33-$C33)/365,0,-1))</f>
        <v>#VALUE!</v>
      </c>
      <c r="DO47" s="313" t="e">
        <f ca="1">-XNPV(EqInv_ReqIRR,$C38:DN38,$C33:DN33)*FV(EqInv_ReqIRR,(DO33-$C33)/365,0,-1)+(-XNPV($GA$44,$C41:DN41,$C33:DN33)*FV($GA$44,(DO33-$C33)/365,0,-1))</f>
        <v>#VALUE!</v>
      </c>
      <c r="DP47" s="313" t="e">
        <f ca="1">-XNPV(EqInv_ReqIRR,$C38:DO38,$C33:DO33)*FV(EqInv_ReqIRR,(DP33-$C33)/365,0,-1)+(-XNPV($GA$44,$C41:DO41,$C33:DO33)*FV($GA$44,(DP33-$C33)/365,0,-1))</f>
        <v>#VALUE!</v>
      </c>
      <c r="DQ47" s="313" t="e">
        <f ca="1">-XNPV(EqInv_ReqIRR,$C38:DP38,$C33:DP33)*FV(EqInv_ReqIRR,(DQ33-$C33)/365,0,-1)+(-XNPV($GA$44,$C41:DP41,$C33:DP33)*FV($GA$44,(DQ33-$C33)/365,0,-1))</f>
        <v>#VALUE!</v>
      </c>
      <c r="DR47" s="313" t="e">
        <f ca="1">-XNPV(EqInv_ReqIRR,$C38:DQ38,$C33:DQ33)*FV(EqInv_ReqIRR,(DR33-$C33)/365,0,-1)+(-XNPV($GA$44,$C41:DQ41,$C33:DQ33)*FV($GA$44,(DR33-$C33)/365,0,-1))</f>
        <v>#VALUE!</v>
      </c>
      <c r="DS47" s="313" t="e">
        <f ca="1">-XNPV(EqInv_ReqIRR,$C38:DR38,$C33:DR33)*FV(EqInv_ReqIRR,(DS33-$C33)/365,0,-1)+(-XNPV($GA$44,$C41:DR41,$C33:DR33)*FV($GA$44,(DS33-$C33)/365,0,-1))</f>
        <v>#VALUE!</v>
      </c>
      <c r="DT47" s="313" t="e">
        <f ca="1">-XNPV(EqInv_ReqIRR,$C38:DS38,$C33:DS33)*FV(EqInv_ReqIRR,(DT33-$C33)/365,0,-1)+(-XNPV($GA$44,$C41:DS41,$C33:DS33)*FV($GA$44,(DT33-$C33)/365,0,-1))</f>
        <v>#VALUE!</v>
      </c>
      <c r="DU47" s="313" t="e">
        <f ca="1">-XNPV(EqInv_ReqIRR,$C38:DT38,$C33:DT33)*FV(EqInv_ReqIRR,(DU33-$C33)/365,0,-1)+(-XNPV($GA$44,$C41:DT41,$C33:DT33)*FV($GA$44,(DU33-$C33)/365,0,-1))</f>
        <v>#VALUE!</v>
      </c>
      <c r="DV47" s="313" t="e">
        <f ca="1">-XNPV(EqInv_ReqIRR,$C38:DU38,$C33:DU33)*FV(EqInv_ReqIRR,(DV33-$C33)/365,0,-1)+(-XNPV($GA$44,$C41:DU41,$C33:DU33)*FV($GA$44,(DV33-$C33)/365,0,-1))</f>
        <v>#VALUE!</v>
      </c>
      <c r="DW47" s="313" t="e">
        <f ca="1">-XNPV(EqInv_ReqIRR,$C38:DV38,$C33:DV33)*FV(EqInv_ReqIRR,(DW33-$C33)/365,0,-1)+(-XNPV($GA$44,$C41:DV41,$C33:DV33)*FV($GA$44,(DW33-$C33)/365,0,-1))</f>
        <v>#VALUE!</v>
      </c>
      <c r="DX47" s="313" t="e">
        <f ca="1">-XNPV(EqInv_ReqIRR,$C38:DW38,$C33:DW33)*FV(EqInv_ReqIRR,(DX33-$C33)/365,0,-1)+(-XNPV($GA$44,$C41:DW41,$C33:DW33)*FV($GA$44,(DX33-$C33)/365,0,-1))</f>
        <v>#VALUE!</v>
      </c>
      <c r="DY47" s="313" t="e">
        <f ca="1">-XNPV(EqInv_ReqIRR,$C38:DX38,$C33:DX33)*FV(EqInv_ReqIRR,(DY33-$C33)/365,0,-1)+(-XNPV($GA$44,$C41:DX41,$C33:DX33)*FV($GA$44,(DY33-$C33)/365,0,-1))</f>
        <v>#VALUE!</v>
      </c>
      <c r="DZ47" s="313" t="e">
        <f ca="1">-XNPV(EqInv_ReqIRR,$C38:DY38,$C33:DY33)*FV(EqInv_ReqIRR,(DZ33-$C33)/365,0,-1)+(-XNPV($GA$44,$C41:DY41,$C33:DY33)*FV($GA$44,(DZ33-$C33)/365,0,-1))</f>
        <v>#VALUE!</v>
      </c>
      <c r="EA47" s="313" t="e">
        <f ca="1">-XNPV(EqInv_ReqIRR,$C38:DZ38,$C33:DZ33)*FV(EqInv_ReqIRR,(EA33-$C33)/365,0,-1)+(-XNPV($GA$44,$C41:DZ41,$C33:DZ33)*FV($GA$44,(EA33-$C33)/365,0,-1))</f>
        <v>#VALUE!</v>
      </c>
      <c r="EB47" s="313" t="e">
        <f ca="1">-XNPV(EqInv_ReqIRR,$C38:EA38,$C33:EA33)*FV(EqInv_ReqIRR,(EB33-$C33)/365,0,-1)+(-XNPV($GA$44,$C41:EA41,$C33:EA33)*FV($GA$44,(EB33-$C33)/365,0,-1))</f>
        <v>#VALUE!</v>
      </c>
      <c r="EC47" s="313" t="e">
        <f ca="1">-XNPV(EqInv_ReqIRR,$C38:EB38,$C33:EB33)*FV(EqInv_ReqIRR,(EC33-$C33)/365,0,-1)+(-XNPV($GA$44,$C41:EB41,$C33:EB33)*FV($GA$44,(EC33-$C33)/365,0,-1))</f>
        <v>#VALUE!</v>
      </c>
      <c r="ED47" s="313" t="e">
        <f ca="1">-XNPV(EqInv_ReqIRR,$C38:EC38,$C33:EC33)*FV(EqInv_ReqIRR,(ED33-$C33)/365,0,-1)+(-XNPV($GA$44,$C41:EC41,$C33:EC33)*FV($GA$44,(ED33-$C33)/365,0,-1))</f>
        <v>#VALUE!</v>
      </c>
      <c r="EE47" s="313" t="e">
        <f ca="1">-XNPV(EqInv_ReqIRR,$C38:ED38,$C33:ED33)*FV(EqInv_ReqIRR,(EE33-$C33)/365,0,-1)+(-XNPV($GA$44,$C41:ED41,$C33:ED33)*FV($GA$44,(EE33-$C33)/365,0,-1))</f>
        <v>#VALUE!</v>
      </c>
      <c r="EF47" s="313" t="e">
        <f ca="1">-XNPV(EqInv_ReqIRR,$C38:EE38,$C33:EE33)*FV(EqInv_ReqIRR,(EF33-$C33)/365,0,-1)+(-XNPV($GA$44,$C41:EE41,$C33:EE33)*FV($GA$44,(EF33-$C33)/365,0,-1))</f>
        <v>#VALUE!</v>
      </c>
      <c r="EG47" s="313" t="e">
        <f ca="1">-XNPV(EqInv_ReqIRR,$C38:EF38,$C33:EF33)*FV(EqInv_ReqIRR,(EG33-$C33)/365,0,-1)+(-XNPV($GA$44,$C41:EF41,$C33:EF33)*FV($GA$44,(EG33-$C33)/365,0,-1))</f>
        <v>#VALUE!</v>
      </c>
      <c r="EH47" s="313" t="e">
        <f ca="1">-XNPV(EqInv_ReqIRR,$C38:EG38,$C33:EG33)*FV(EqInv_ReqIRR,(EH33-$C33)/365,0,-1)+(-XNPV($GA$44,$C41:EG41,$C33:EG33)*FV($GA$44,(EH33-$C33)/365,0,-1))</f>
        <v>#VALUE!</v>
      </c>
      <c r="EI47" s="313" t="e">
        <f ca="1">-XNPV(EqInv_ReqIRR,$C38:EH38,$C33:EH33)*FV(EqInv_ReqIRR,(EI33-$C33)/365,0,-1)+(-XNPV($GA$44,$C41:EH41,$C33:EH33)*FV($GA$44,(EI33-$C33)/365,0,-1))</f>
        <v>#VALUE!</v>
      </c>
      <c r="EJ47" s="313" t="e">
        <f ca="1">-XNPV(EqInv_ReqIRR,$C38:EI38,$C33:EI33)*FV(EqInv_ReqIRR,(EJ33-$C33)/365,0,-1)+(-XNPV($GA$44,$C41:EI41,$C33:EI33)*FV($GA$44,(EJ33-$C33)/365,0,-1))</f>
        <v>#VALUE!</v>
      </c>
      <c r="EK47" s="313" t="e">
        <f ca="1">-XNPV(EqInv_ReqIRR,$C38:EJ38,$C33:EJ33)*FV(EqInv_ReqIRR,(EK33-$C33)/365,0,-1)+(-XNPV($GA$44,$C41:EJ41,$C33:EJ33)*FV($GA$44,(EK33-$C33)/365,0,-1))</f>
        <v>#VALUE!</v>
      </c>
      <c r="EL47" s="313" t="e">
        <f ca="1">-XNPV(EqInv_ReqIRR,$C38:EK38,$C33:EK33)*FV(EqInv_ReqIRR,(EL33-$C33)/365,0,-1)+(-XNPV($GA$44,$C41:EK41,$C33:EK33)*FV($GA$44,(EL33-$C33)/365,0,-1))</f>
        <v>#VALUE!</v>
      </c>
      <c r="EM47" s="313" t="e">
        <f ca="1">-XNPV(EqInv_ReqIRR,$C38:EL38,$C33:EL33)*FV(EqInv_ReqIRR,(EM33-$C33)/365,0,-1)+(-XNPV($GA$44,$C41:EL41,$C33:EL33)*FV($GA$44,(EM33-$C33)/365,0,-1))</f>
        <v>#VALUE!</v>
      </c>
      <c r="EN47" s="313" t="e">
        <f ca="1">-XNPV(EqInv_ReqIRR,$C38:EM38,$C33:EM33)*FV(EqInv_ReqIRR,(EN33-$C33)/365,0,-1)+(-XNPV($GA$44,$C41:EM41,$C33:EM33)*FV($GA$44,(EN33-$C33)/365,0,-1))</f>
        <v>#VALUE!</v>
      </c>
      <c r="EO47" s="313" t="e">
        <f ca="1">-XNPV(EqInv_ReqIRR,$C38:EN38,$C33:EN33)*FV(EqInv_ReqIRR,(EO33-$C33)/365,0,-1)+(-XNPV($GA$44,$C41:EN41,$C33:EN33)*FV($GA$44,(EO33-$C33)/365,0,-1))</f>
        <v>#VALUE!</v>
      </c>
      <c r="EP47" s="313" t="e">
        <f ca="1">-XNPV(EqInv_ReqIRR,$C38:EO38,$C33:EO33)*FV(EqInv_ReqIRR,(EP33-$C33)/365,0,-1)+(-XNPV($GA$44,$C41:EO41,$C33:EO33)*FV($GA$44,(EP33-$C33)/365,0,-1))</f>
        <v>#VALUE!</v>
      </c>
      <c r="EQ47" s="313" t="e">
        <f ca="1">-XNPV(EqInv_ReqIRR,$C38:EP38,$C33:EP33)*FV(EqInv_ReqIRR,(EQ33-$C33)/365,0,-1)+(-XNPV($GA$44,$C41:EP41,$C33:EP33)*FV($GA$44,(EQ33-$C33)/365,0,-1))</f>
        <v>#VALUE!</v>
      </c>
      <c r="ER47" s="313" t="e">
        <f ca="1">-XNPV(EqInv_ReqIRR,$C38:EQ38,$C33:EQ33)*FV(EqInv_ReqIRR,(ER33-$C33)/365,0,-1)+(-XNPV($GA$44,$C41:EQ41,$C33:EQ33)*FV($GA$44,(ER33-$C33)/365,0,-1))</f>
        <v>#VALUE!</v>
      </c>
      <c r="ES47" s="313" t="e">
        <f ca="1">-XNPV(EqInv_ReqIRR,$C38:ER38,$C33:ER33)*FV(EqInv_ReqIRR,(ES33-$C33)/365,0,-1)+(-XNPV($GA$44,$C41:ER41,$C33:ER33)*FV($GA$44,(ES33-$C33)/365,0,-1))</f>
        <v>#VALUE!</v>
      </c>
      <c r="ET47" s="313" t="e">
        <f ca="1">-XNPV(EqInv_ReqIRR,$C38:ES38,$C33:ES33)*FV(EqInv_ReqIRR,(ET33-$C33)/365,0,-1)+(-XNPV($GA$44,$C41:ES41,$C33:ES33)*FV($GA$44,(ET33-$C33)/365,0,-1))</f>
        <v>#VALUE!</v>
      </c>
      <c r="EU47" s="313" t="e">
        <f ca="1">-XNPV(EqInv_ReqIRR,$C38:ET38,$C33:ET33)*FV(EqInv_ReqIRR,(EU33-$C33)/365,0,-1)+(-XNPV($GA$44,$C41:ET41,$C33:ET33)*FV($GA$44,(EU33-$C33)/365,0,-1))</f>
        <v>#VALUE!</v>
      </c>
      <c r="EV47" s="313" t="e">
        <f ca="1">-XNPV(EqInv_ReqIRR,$C38:EU38,$C33:EU33)*FV(EqInv_ReqIRR,(EV33-$C33)/365,0,-1)+(-XNPV($GA$44,$C41:EU41,$C33:EU33)*FV($GA$44,(EV33-$C33)/365,0,-1))</f>
        <v>#VALUE!</v>
      </c>
      <c r="EW47" s="313" t="e">
        <f ca="1">-XNPV(EqInv_ReqIRR,$C38:EV38,$C33:EV33)*FV(EqInv_ReqIRR,(EW33-$C33)/365,0,-1)+(-XNPV($GA$44,$C41:EV41,$C33:EV33)*FV($GA$44,(EW33-$C33)/365,0,-1))</f>
        <v>#VALUE!</v>
      </c>
      <c r="EX47" s="313" t="e">
        <f ca="1">-XNPV(EqInv_ReqIRR,$C38:EW38,$C33:EW33)*FV(EqInv_ReqIRR,(EX33-$C33)/365,0,-1)+(-XNPV($GA$44,$C41:EW41,$C33:EW33)*FV($GA$44,(EX33-$C33)/365,0,-1))</f>
        <v>#VALUE!</v>
      </c>
      <c r="EY47" s="313" t="e">
        <f ca="1">-XNPV(EqInv_ReqIRR,$C38:EX38,$C33:EX33)*FV(EqInv_ReqIRR,(EY33-$C33)/365,0,-1)+(-XNPV($GA$44,$C41:EX41,$C33:EX33)*FV($GA$44,(EY33-$C33)/365,0,-1))</f>
        <v>#VALUE!</v>
      </c>
      <c r="EZ47" s="313" t="e">
        <f ca="1">-XNPV(EqInv_ReqIRR,$C38:EY38,$C33:EY33)*FV(EqInv_ReqIRR,(EZ33-$C33)/365,0,-1)+(-XNPV($GA$44,$C41:EY41,$C33:EY33)*FV($GA$44,(EZ33-$C33)/365,0,-1))</f>
        <v>#VALUE!</v>
      </c>
      <c r="FA47" s="313" t="e">
        <f ca="1">-XNPV(EqInv_ReqIRR,$C38:EZ38,$C33:EZ33)*FV(EqInv_ReqIRR,(FA33-$C33)/365,0,-1)+(-XNPV($GA$44,$C41:EZ41,$C33:EZ33)*FV($GA$44,(FA33-$C33)/365,0,-1))</f>
        <v>#VALUE!</v>
      </c>
      <c r="FB47" s="313" t="e">
        <f ca="1">-XNPV(EqInv_ReqIRR,$C38:FA38,$C33:FA33)*FV(EqInv_ReqIRR,(FB33-$C33)/365,0,-1)+(-XNPV($GA$44,$C41:FA41,$C33:FA33)*FV($GA$44,(FB33-$C33)/365,0,-1))</f>
        <v>#VALUE!</v>
      </c>
      <c r="FC47" s="313" t="e">
        <f ca="1">-XNPV(EqInv_ReqIRR,$C38:FB38,$C33:FB33)*FV(EqInv_ReqIRR,(FC33-$C33)/365,0,-1)+(-XNPV($GA$44,$C41:FB41,$C33:FB33)*FV($GA$44,(FC33-$C33)/365,0,-1))</f>
        <v>#VALUE!</v>
      </c>
      <c r="FD47" s="313" t="e">
        <f ca="1">-XNPV(EqInv_ReqIRR,$C38:FC38,$C33:FC33)*FV(EqInv_ReqIRR,(FD33-$C33)/365,0,-1)+(-XNPV($GA$44,$C41:FC41,$C33:FC33)*FV($GA$44,(FD33-$C33)/365,0,-1))</f>
        <v>#VALUE!</v>
      </c>
      <c r="FE47" s="313" t="e">
        <f ca="1">-XNPV(EqInv_ReqIRR,$C38:FD38,$C33:FD33)*FV(EqInv_ReqIRR,(FE33-$C33)/365,0,-1)+(-XNPV($GA$44,$C41:FD41,$C33:FD33)*FV($GA$44,(FE33-$C33)/365,0,-1))</f>
        <v>#VALUE!</v>
      </c>
      <c r="FF47" s="313" t="e">
        <f ca="1">-XNPV(EqInv_ReqIRR,$C38:FE38,$C33:FE33)*FV(EqInv_ReqIRR,(FF33-$C33)/365,0,-1)+(-XNPV($GA$44,$C41:FE41,$C33:FE33)*FV($GA$44,(FF33-$C33)/365,0,-1))</f>
        <v>#VALUE!</v>
      </c>
      <c r="FG47" s="313" t="e">
        <f ca="1">-XNPV(EqInv_ReqIRR,$C38:FF38,$C33:FF33)*FV(EqInv_ReqIRR,(FG33-$C33)/365,0,-1)+(-XNPV($GA$44,$C41:FF41,$C33:FF33)*FV($GA$44,(FG33-$C33)/365,0,-1))</f>
        <v>#VALUE!</v>
      </c>
      <c r="FH47" s="313" t="e">
        <f ca="1">-XNPV(EqInv_ReqIRR,$C38:FG38,$C33:FG33)*FV(EqInv_ReqIRR,(FH33-$C33)/365,0,-1)+(-XNPV($GA$44,$C41:FG41,$C33:FG33)*FV($GA$44,(FH33-$C33)/365,0,-1))</f>
        <v>#VALUE!</v>
      </c>
      <c r="FI47" s="313" t="e">
        <f ca="1">-XNPV(EqInv_ReqIRR,$C38:FH38,$C33:FH33)*FV(EqInv_ReqIRR,(FI33-$C33)/365,0,-1)+(-XNPV($GA$44,$C41:FH41,$C33:FH33)*FV($GA$44,(FI33-$C33)/365,0,-1))</f>
        <v>#VALUE!</v>
      </c>
      <c r="FJ47" s="313" t="e">
        <f ca="1">-XNPV(EqInv_ReqIRR,$C38:FI38,$C33:FI33)*FV(EqInv_ReqIRR,(FJ33-$C33)/365,0,-1)+(-XNPV($GA$44,$C41:FI41,$C33:FI33)*FV($GA$44,(FJ33-$C33)/365,0,-1))</f>
        <v>#VALUE!</v>
      </c>
      <c r="FK47" s="313" t="e">
        <f ca="1">-XNPV(EqInv_ReqIRR,$C38:FJ38,$C33:FJ33)*FV(EqInv_ReqIRR,(FK33-$C33)/365,0,-1)+(-XNPV($GA$44,$C41:FJ41,$C33:FJ33)*FV($GA$44,(FK33-$C33)/365,0,-1))</f>
        <v>#VALUE!</v>
      </c>
      <c r="FL47" s="313" t="e">
        <f ca="1">-XNPV(EqInv_ReqIRR,$C38:FK38,$C33:FK33)*FV(EqInv_ReqIRR,(FL33-$C33)/365,0,-1)+(-XNPV($GA$44,$C41:FK41,$C33:FK33)*FV($GA$44,(FL33-$C33)/365,0,-1))</f>
        <v>#VALUE!</v>
      </c>
      <c r="FM47" s="313" t="e">
        <f ca="1">-XNPV(EqInv_ReqIRR,$C38:FL38,$C33:FL33)*FV(EqInv_ReqIRR,(FM33-$C33)/365,0,-1)+(-XNPV($GA$44,$C41:FL41,$C33:FL33)*FV($GA$44,(FM33-$C33)/365,0,-1))</f>
        <v>#VALUE!</v>
      </c>
      <c r="FN47" s="313" t="e">
        <f ca="1">-XNPV(EqInv_ReqIRR,$C38:FM38,$C33:FM33)*FV(EqInv_ReqIRR,(FN33-$C33)/365,0,-1)+(-XNPV($GA$44,$C41:FM41,$C33:FM33)*FV($GA$44,(FN33-$C33)/365,0,-1))</f>
        <v>#VALUE!</v>
      </c>
      <c r="FO47" s="313" t="e">
        <f ca="1">-XNPV(EqInv_ReqIRR,$C38:FN38,$C33:FN33)*FV(EqInv_ReqIRR,(FO33-$C33)/365,0,-1)+(-XNPV($GA$44,$C41:FN41,$C33:FN33)*FV($GA$44,(FO33-$C33)/365,0,-1))</f>
        <v>#VALUE!</v>
      </c>
      <c r="FP47" s="313" t="e">
        <f ca="1">-XNPV(EqInv_ReqIRR,$C38:FO38,$C33:FO33)*FV(EqInv_ReqIRR,(FP33-$C33)/365,0,-1)+(-XNPV($GA$44,$C41:FO41,$C33:FO33)*FV($GA$44,(FP33-$C33)/365,0,-1))</f>
        <v>#VALUE!</v>
      </c>
      <c r="FQ47" s="313" t="e">
        <f ca="1">-XNPV(EqInv_ReqIRR,$C38:FP38,$C33:FP33)*FV(EqInv_ReqIRR,(FQ33-$C33)/365,0,-1)+(-XNPV($GA$44,$C41:FP41,$C33:FP33)*FV($GA$44,(FQ33-$C33)/365,0,-1))</f>
        <v>#VALUE!</v>
      </c>
      <c r="FR47" s="313" t="e">
        <f ca="1">-XNPV(EqInv_ReqIRR,$C38:FQ38,$C33:FQ33)*FV(EqInv_ReqIRR,(FR33-$C33)/365,0,-1)+(-XNPV($GA$44,$C41:FQ41,$C33:FQ33)*FV($GA$44,(FR33-$C33)/365,0,-1))</f>
        <v>#VALUE!</v>
      </c>
      <c r="FS47" s="313" t="e">
        <f ca="1">-XNPV(EqInv_ReqIRR,$C38:FR38,$C33:FR33)*FV(EqInv_ReqIRR,(FS33-$C33)/365,0,-1)+(-XNPV($GA$44,$C41:FR41,$C33:FR33)*FV($GA$44,(FS33-$C33)/365,0,-1))</f>
        <v>#VALUE!</v>
      </c>
      <c r="FT47" s="313" t="e">
        <f ca="1">-XNPV(EqInv_ReqIRR,$C38:FS38,$C33:FS33)*FV(EqInv_ReqIRR,(FT33-$C33)/365,0,-1)+(-XNPV($GA$44,$C41:FS41,$C33:FS33)*FV($GA$44,(FT33-$C33)/365,0,-1))</f>
        <v>#VALUE!</v>
      </c>
      <c r="FU47" s="313" t="e">
        <f ca="1">-XNPV(EqInv_ReqIRR,$C38:FT38,$C33:FT33)*FV(EqInv_ReqIRR,(FU33-$C33)/365,0,-1)+(-XNPV($GA$44,$C41:FT41,$C33:FT33)*FV($GA$44,(FU33-$C33)/365,0,-1))</f>
        <v>#VALUE!</v>
      </c>
      <c r="FV47" s="313" t="e">
        <f ca="1">-XNPV(EqInv_ReqIRR,$C38:FU38,$C33:FU33)*FV(EqInv_ReqIRR,(FV33-$C33)/365,0,-1)+(-XNPV($GA$44,$C41:FU41,$C33:FU33)*FV($GA$44,(FV33-$C33)/365,0,-1))</f>
        <v>#VALUE!</v>
      </c>
      <c r="FW47" s="313" t="e">
        <f ca="1">-XNPV(EqInv_ReqIRR,$C38:FV38,$C33:FV33)*FV(EqInv_ReqIRR,(FW33-$C33)/365,0,-1)+(-XNPV($GA$44,$C41:FV41,$C33:FV33)*FV($GA$44,(FW33-$C33)/365,0,-1))</f>
        <v>#VALUE!</v>
      </c>
      <c r="FX47" s="313" t="e">
        <f ca="1">-XNPV(EqInv_ReqIRR,$C38:FW38,$C33:FW33)*FV(EqInv_ReqIRR,(FX33-$C33)/365,0,-1)+(-XNPV($GA$44,$C41:FW41,$C33:FW33)*FV($GA$44,(FX33-$C33)/365,0,-1))</f>
        <v>#VALUE!</v>
      </c>
      <c r="FY47" s="313" t="e">
        <f ca="1">-XNPV(EqInv_ReqIRR,$C38:FX38,$C33:FX33)*FV(EqInv_ReqIRR,(FY33-$C33)/365,0,-1)+(-XNPV($GA$44,$C41:FX41,$C33:FX33)*FV($GA$44,(FY33-$C33)/365,0,-1))</f>
        <v>#VALUE!</v>
      </c>
      <c r="FZ47" s="313" t="e">
        <f ca="1">-XNPV(EqInv_ReqIRR,$C38:FY38,$C33:FY33)*FV(EqInv_ReqIRR,(FZ33-$C33)/365,0,-1)+(-XNPV($GA$44,$C41:FY41,$C33:FY33)*FV($GA$44,(FZ33-$C33)/365,0,-1))</f>
        <v>#VALUE!</v>
      </c>
      <c r="GA47" s="313" t="e">
        <f ca="1">-XNPV(EqInv_ReqIRR,$C38:FZ38,$C33:FZ33)*FV(EqInv_ReqIRR,(GA33-$C33)/365,0,-1)+(-XNPV($GA$44,$C41:FZ41,$C33:FZ33)*FV($GA$44,(GA33-$C33)/365,0,-1))</f>
        <v>#VALUE!</v>
      </c>
    </row>
    <row r="48" spans="1:183" x14ac:dyDescent="0.15">
      <c r="A48" s="78" t="s">
        <v>413</v>
      </c>
      <c r="BK48" s="368"/>
      <c r="BL48" s="368" t="e">
        <f t="shared" ref="BL48:DW48" ca="1" si="23">BL47/$C$2</f>
        <v>#VALUE!</v>
      </c>
      <c r="BM48" s="368" t="e">
        <f t="shared" ca="1" si="23"/>
        <v>#VALUE!</v>
      </c>
      <c r="BN48" s="368" t="e">
        <f t="shared" ca="1" si="23"/>
        <v>#VALUE!</v>
      </c>
      <c r="BO48" s="368" t="e">
        <f t="shared" ca="1" si="23"/>
        <v>#VALUE!</v>
      </c>
      <c r="BP48" s="368" t="e">
        <f t="shared" ca="1" si="23"/>
        <v>#VALUE!</v>
      </c>
      <c r="BQ48" s="368" t="e">
        <f t="shared" ca="1" si="23"/>
        <v>#VALUE!</v>
      </c>
      <c r="BR48" s="368" t="e">
        <f t="shared" ca="1" si="23"/>
        <v>#VALUE!</v>
      </c>
      <c r="BS48" s="368" t="e">
        <f t="shared" ca="1" si="23"/>
        <v>#VALUE!</v>
      </c>
      <c r="BT48" s="368" t="e">
        <f t="shared" ca="1" si="23"/>
        <v>#VALUE!</v>
      </c>
      <c r="BU48" s="368" t="e">
        <f t="shared" ca="1" si="23"/>
        <v>#VALUE!</v>
      </c>
      <c r="BV48" s="368" t="e">
        <f t="shared" ca="1" si="23"/>
        <v>#VALUE!</v>
      </c>
      <c r="BW48" s="368" t="e">
        <f t="shared" ca="1" si="23"/>
        <v>#VALUE!</v>
      </c>
      <c r="BX48" s="368" t="e">
        <f t="shared" ca="1" si="23"/>
        <v>#VALUE!</v>
      </c>
      <c r="BY48" s="368" t="e">
        <f t="shared" ca="1" si="23"/>
        <v>#VALUE!</v>
      </c>
      <c r="BZ48" s="368" t="e">
        <f t="shared" ca="1" si="23"/>
        <v>#VALUE!</v>
      </c>
      <c r="CA48" s="368" t="e">
        <f t="shared" ca="1" si="23"/>
        <v>#VALUE!</v>
      </c>
      <c r="CB48" s="368" t="e">
        <f t="shared" ca="1" si="23"/>
        <v>#VALUE!</v>
      </c>
      <c r="CC48" s="368" t="e">
        <f t="shared" ca="1" si="23"/>
        <v>#VALUE!</v>
      </c>
      <c r="CD48" s="368" t="e">
        <f t="shared" ca="1" si="23"/>
        <v>#VALUE!</v>
      </c>
      <c r="CE48" s="368" t="e">
        <f t="shared" ca="1" si="23"/>
        <v>#VALUE!</v>
      </c>
      <c r="CF48" s="368" t="e">
        <f t="shared" ca="1" si="23"/>
        <v>#VALUE!</v>
      </c>
      <c r="CG48" s="368" t="e">
        <f t="shared" ca="1" si="23"/>
        <v>#VALUE!</v>
      </c>
      <c r="CH48" s="368" t="e">
        <f t="shared" ca="1" si="23"/>
        <v>#VALUE!</v>
      </c>
      <c r="CI48" s="368" t="e">
        <f t="shared" ca="1" si="23"/>
        <v>#VALUE!</v>
      </c>
      <c r="CJ48" s="368" t="e">
        <f t="shared" ca="1" si="23"/>
        <v>#VALUE!</v>
      </c>
      <c r="CK48" s="368" t="e">
        <f t="shared" ca="1" si="23"/>
        <v>#VALUE!</v>
      </c>
      <c r="CL48" s="368" t="e">
        <f t="shared" ca="1" si="23"/>
        <v>#VALUE!</v>
      </c>
      <c r="CM48" s="368" t="e">
        <f t="shared" ca="1" si="23"/>
        <v>#VALUE!</v>
      </c>
      <c r="CN48" s="368" t="e">
        <f t="shared" ca="1" si="23"/>
        <v>#VALUE!</v>
      </c>
      <c r="CO48" s="368" t="e">
        <f t="shared" ca="1" si="23"/>
        <v>#VALUE!</v>
      </c>
      <c r="CP48" s="368" t="e">
        <f t="shared" ca="1" si="23"/>
        <v>#VALUE!</v>
      </c>
      <c r="CQ48" s="368" t="e">
        <f t="shared" ca="1" si="23"/>
        <v>#VALUE!</v>
      </c>
      <c r="CR48" s="368" t="e">
        <f t="shared" ca="1" si="23"/>
        <v>#VALUE!</v>
      </c>
      <c r="CS48" s="368" t="e">
        <f t="shared" ca="1" si="23"/>
        <v>#VALUE!</v>
      </c>
      <c r="CT48" s="368" t="e">
        <f t="shared" ca="1" si="23"/>
        <v>#VALUE!</v>
      </c>
      <c r="CU48" s="368" t="e">
        <f t="shared" ca="1" si="23"/>
        <v>#VALUE!</v>
      </c>
      <c r="CV48" s="368" t="e">
        <f t="shared" ca="1" si="23"/>
        <v>#VALUE!</v>
      </c>
      <c r="CW48" s="368" t="e">
        <f t="shared" ca="1" si="23"/>
        <v>#VALUE!</v>
      </c>
      <c r="CX48" s="368" t="e">
        <f t="shared" ca="1" si="23"/>
        <v>#VALUE!</v>
      </c>
      <c r="CY48" s="368" t="e">
        <f t="shared" ca="1" si="23"/>
        <v>#VALUE!</v>
      </c>
      <c r="CZ48" s="368" t="e">
        <f t="shared" ca="1" si="23"/>
        <v>#VALUE!</v>
      </c>
      <c r="DA48" s="368" t="e">
        <f t="shared" ca="1" si="23"/>
        <v>#VALUE!</v>
      </c>
      <c r="DB48" s="368" t="e">
        <f t="shared" ca="1" si="23"/>
        <v>#VALUE!</v>
      </c>
      <c r="DC48" s="368" t="e">
        <f t="shared" ca="1" si="23"/>
        <v>#VALUE!</v>
      </c>
      <c r="DD48" s="368" t="e">
        <f t="shared" ca="1" si="23"/>
        <v>#VALUE!</v>
      </c>
      <c r="DE48" s="368" t="e">
        <f t="shared" ca="1" si="23"/>
        <v>#VALUE!</v>
      </c>
      <c r="DF48" s="368" t="e">
        <f t="shared" ca="1" si="23"/>
        <v>#VALUE!</v>
      </c>
      <c r="DG48" s="368" t="e">
        <f t="shared" ca="1" si="23"/>
        <v>#VALUE!</v>
      </c>
      <c r="DH48" s="368" t="e">
        <f t="shared" ca="1" si="23"/>
        <v>#VALUE!</v>
      </c>
      <c r="DI48" s="368" t="e">
        <f t="shared" ca="1" si="23"/>
        <v>#VALUE!</v>
      </c>
      <c r="DJ48" s="368" t="e">
        <f t="shared" ca="1" si="23"/>
        <v>#VALUE!</v>
      </c>
      <c r="DK48" s="368" t="e">
        <f t="shared" ca="1" si="23"/>
        <v>#VALUE!</v>
      </c>
      <c r="DL48" s="368" t="e">
        <f t="shared" ca="1" si="23"/>
        <v>#VALUE!</v>
      </c>
      <c r="DM48" s="368" t="e">
        <f t="shared" ca="1" si="23"/>
        <v>#VALUE!</v>
      </c>
      <c r="DN48" s="368" t="e">
        <f t="shared" ca="1" si="23"/>
        <v>#VALUE!</v>
      </c>
      <c r="DO48" s="368" t="e">
        <f t="shared" ca="1" si="23"/>
        <v>#VALUE!</v>
      </c>
      <c r="DP48" s="368" t="e">
        <f t="shared" ca="1" si="23"/>
        <v>#VALUE!</v>
      </c>
      <c r="DQ48" s="368" t="e">
        <f t="shared" ca="1" si="23"/>
        <v>#VALUE!</v>
      </c>
      <c r="DR48" s="368" t="e">
        <f t="shared" ca="1" si="23"/>
        <v>#VALUE!</v>
      </c>
      <c r="DS48" s="368" t="e">
        <f t="shared" ca="1" si="23"/>
        <v>#VALUE!</v>
      </c>
      <c r="DT48" s="368" t="e">
        <f t="shared" ca="1" si="23"/>
        <v>#VALUE!</v>
      </c>
      <c r="DU48" s="368" t="e">
        <f t="shared" ca="1" si="23"/>
        <v>#VALUE!</v>
      </c>
      <c r="DV48" s="368" t="e">
        <f t="shared" ca="1" si="23"/>
        <v>#VALUE!</v>
      </c>
      <c r="DW48" s="368" t="e">
        <f t="shared" ca="1" si="23"/>
        <v>#VALUE!</v>
      </c>
      <c r="DX48" s="368" t="e">
        <f t="shared" ref="DX48:GA48" ca="1" si="24">DX47/$C$2</f>
        <v>#VALUE!</v>
      </c>
      <c r="DY48" s="368" t="e">
        <f t="shared" ca="1" si="24"/>
        <v>#VALUE!</v>
      </c>
      <c r="DZ48" s="368" t="e">
        <f t="shared" ca="1" si="24"/>
        <v>#VALUE!</v>
      </c>
      <c r="EA48" s="368" t="e">
        <f t="shared" ca="1" si="24"/>
        <v>#VALUE!</v>
      </c>
      <c r="EB48" s="368" t="e">
        <f t="shared" ca="1" si="24"/>
        <v>#VALUE!</v>
      </c>
      <c r="EC48" s="368" t="e">
        <f t="shared" ca="1" si="24"/>
        <v>#VALUE!</v>
      </c>
      <c r="ED48" s="368" t="e">
        <f t="shared" ca="1" si="24"/>
        <v>#VALUE!</v>
      </c>
      <c r="EE48" s="368" t="e">
        <f t="shared" ca="1" si="24"/>
        <v>#VALUE!</v>
      </c>
      <c r="EF48" s="368" t="e">
        <f t="shared" ca="1" si="24"/>
        <v>#VALUE!</v>
      </c>
      <c r="EG48" s="368" t="e">
        <f t="shared" ca="1" si="24"/>
        <v>#VALUE!</v>
      </c>
      <c r="EH48" s="368" t="e">
        <f t="shared" ca="1" si="24"/>
        <v>#VALUE!</v>
      </c>
      <c r="EI48" s="368" t="e">
        <f t="shared" ca="1" si="24"/>
        <v>#VALUE!</v>
      </c>
      <c r="EJ48" s="368" t="e">
        <f t="shared" ca="1" si="24"/>
        <v>#VALUE!</v>
      </c>
      <c r="EK48" s="368" t="e">
        <f t="shared" ca="1" si="24"/>
        <v>#VALUE!</v>
      </c>
      <c r="EL48" s="368" t="e">
        <f t="shared" ca="1" si="24"/>
        <v>#VALUE!</v>
      </c>
      <c r="EM48" s="368" t="e">
        <f t="shared" ca="1" si="24"/>
        <v>#VALUE!</v>
      </c>
      <c r="EN48" s="368" t="e">
        <f t="shared" ca="1" si="24"/>
        <v>#VALUE!</v>
      </c>
      <c r="EO48" s="368" t="e">
        <f t="shared" ca="1" si="24"/>
        <v>#VALUE!</v>
      </c>
      <c r="EP48" s="368" t="e">
        <f t="shared" ca="1" si="24"/>
        <v>#VALUE!</v>
      </c>
      <c r="EQ48" s="368" t="e">
        <f t="shared" ca="1" si="24"/>
        <v>#VALUE!</v>
      </c>
      <c r="ER48" s="368" t="e">
        <f t="shared" ca="1" si="24"/>
        <v>#VALUE!</v>
      </c>
      <c r="ES48" s="368" t="e">
        <f t="shared" ca="1" si="24"/>
        <v>#VALUE!</v>
      </c>
      <c r="ET48" s="368" t="e">
        <f t="shared" ca="1" si="24"/>
        <v>#VALUE!</v>
      </c>
      <c r="EU48" s="368" t="e">
        <f t="shared" ca="1" si="24"/>
        <v>#VALUE!</v>
      </c>
      <c r="EV48" s="368" t="e">
        <f t="shared" ca="1" si="24"/>
        <v>#VALUE!</v>
      </c>
      <c r="EW48" s="368" t="e">
        <f t="shared" ca="1" si="24"/>
        <v>#VALUE!</v>
      </c>
      <c r="EX48" s="368" t="e">
        <f t="shared" ca="1" si="24"/>
        <v>#VALUE!</v>
      </c>
      <c r="EY48" s="368" t="e">
        <f t="shared" ca="1" si="24"/>
        <v>#VALUE!</v>
      </c>
      <c r="EZ48" s="368" t="e">
        <f t="shared" ca="1" si="24"/>
        <v>#VALUE!</v>
      </c>
      <c r="FA48" s="368" t="e">
        <f t="shared" ca="1" si="24"/>
        <v>#VALUE!</v>
      </c>
      <c r="FB48" s="368" t="e">
        <f t="shared" ca="1" si="24"/>
        <v>#VALUE!</v>
      </c>
      <c r="FC48" s="368" t="e">
        <f t="shared" ca="1" si="24"/>
        <v>#VALUE!</v>
      </c>
      <c r="FD48" s="368" t="e">
        <f t="shared" ca="1" si="24"/>
        <v>#VALUE!</v>
      </c>
      <c r="FE48" s="368" t="e">
        <f t="shared" ca="1" si="24"/>
        <v>#VALUE!</v>
      </c>
      <c r="FF48" s="368" t="e">
        <f t="shared" ca="1" si="24"/>
        <v>#VALUE!</v>
      </c>
      <c r="FG48" s="368" t="e">
        <f t="shared" ca="1" si="24"/>
        <v>#VALUE!</v>
      </c>
      <c r="FH48" s="368" t="e">
        <f t="shared" ca="1" si="24"/>
        <v>#VALUE!</v>
      </c>
      <c r="FI48" s="368" t="e">
        <f t="shared" ca="1" si="24"/>
        <v>#VALUE!</v>
      </c>
      <c r="FJ48" s="368" t="e">
        <f t="shared" ca="1" si="24"/>
        <v>#VALUE!</v>
      </c>
      <c r="FK48" s="368" t="e">
        <f t="shared" ca="1" si="24"/>
        <v>#VALUE!</v>
      </c>
      <c r="FL48" s="368" t="e">
        <f t="shared" ca="1" si="24"/>
        <v>#VALUE!</v>
      </c>
      <c r="FM48" s="368" t="e">
        <f t="shared" ca="1" si="24"/>
        <v>#VALUE!</v>
      </c>
      <c r="FN48" s="368" t="e">
        <f t="shared" ca="1" si="24"/>
        <v>#VALUE!</v>
      </c>
      <c r="FO48" s="368" t="e">
        <f t="shared" ca="1" si="24"/>
        <v>#VALUE!</v>
      </c>
      <c r="FP48" s="368" t="e">
        <f t="shared" ca="1" si="24"/>
        <v>#VALUE!</v>
      </c>
      <c r="FQ48" s="368" t="e">
        <f t="shared" ca="1" si="24"/>
        <v>#VALUE!</v>
      </c>
      <c r="FR48" s="368" t="e">
        <f t="shared" ca="1" si="24"/>
        <v>#VALUE!</v>
      </c>
      <c r="FS48" s="368" t="e">
        <f t="shared" ca="1" si="24"/>
        <v>#VALUE!</v>
      </c>
      <c r="FT48" s="368" t="e">
        <f t="shared" ca="1" si="24"/>
        <v>#VALUE!</v>
      </c>
      <c r="FU48" s="368" t="e">
        <f t="shared" ca="1" si="24"/>
        <v>#VALUE!</v>
      </c>
      <c r="FV48" s="368" t="e">
        <f t="shared" ca="1" si="24"/>
        <v>#VALUE!</v>
      </c>
      <c r="FW48" s="368" t="e">
        <f t="shared" ca="1" si="24"/>
        <v>#VALUE!</v>
      </c>
      <c r="FX48" s="368" t="e">
        <f t="shared" ca="1" si="24"/>
        <v>#VALUE!</v>
      </c>
      <c r="FY48" s="368" t="e">
        <f t="shared" ca="1" si="24"/>
        <v>#VALUE!</v>
      </c>
      <c r="FZ48" s="368" t="e">
        <f t="shared" ca="1" si="24"/>
        <v>#VALUE!</v>
      </c>
      <c r="GA48" s="368" t="e">
        <f t="shared" ca="1" si="24"/>
        <v>#VALUE!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landscape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C20"/>
  <sheetViews>
    <sheetView zoomScaleNormal="100" zoomScalePageLayoutView="150" workbookViewId="0">
      <pane xSplit="1" ySplit="4" topLeftCell="B5" activePane="bottomRight" state="frozen"/>
      <selection sqref="A1:O10"/>
      <selection pane="topRight" sqref="A1:O10"/>
      <selection pane="bottomLeft" sqref="A1:O10"/>
      <selection pane="bottomRight" activeCell="B5" sqref="B5"/>
    </sheetView>
  </sheetViews>
  <sheetFormatPr defaultColWidth="11.42578125" defaultRowHeight="10.5" x14ac:dyDescent="0.15"/>
  <cols>
    <col min="1" max="1" width="8.42578125" style="42" bestFit="1" customWidth="1"/>
    <col min="2" max="2" width="5.28515625" style="42" bestFit="1" customWidth="1"/>
    <col min="3" max="3" width="9.85546875" style="43" bestFit="1" customWidth="1"/>
    <col min="4" max="4" width="10.42578125" style="43" bestFit="1" customWidth="1"/>
    <col min="5" max="7" width="10.42578125" style="79" customWidth="1"/>
    <col min="8" max="9" width="9" style="79" bestFit="1" customWidth="1"/>
    <col min="10" max="10" width="10" style="42" bestFit="1" customWidth="1"/>
    <col min="11" max="11" width="2.7109375" style="42" customWidth="1"/>
    <col min="12" max="12" width="11.7109375" style="45" customWidth="1"/>
    <col min="13" max="13" width="8" style="45" customWidth="1"/>
    <col min="14" max="14" width="9.85546875" style="45" bestFit="1" customWidth="1"/>
    <col min="15" max="15" width="9.85546875" style="81" bestFit="1" customWidth="1"/>
    <col min="16" max="16" width="2.7109375" style="45" customWidth="1"/>
    <col min="17" max="17" width="10.42578125" style="81" bestFit="1" customWidth="1"/>
    <col min="18" max="20" width="10.42578125" style="81" customWidth="1"/>
    <col min="21" max="21" width="8.42578125" style="81" customWidth="1"/>
    <col min="22" max="22" width="9" style="81" bestFit="1" customWidth="1"/>
    <col min="23" max="23" width="9.28515625" style="45" bestFit="1" customWidth="1"/>
    <col min="24" max="24" width="2.7109375" style="81" customWidth="1"/>
    <col min="25" max="25" width="10.7109375" style="42" customWidth="1"/>
    <col min="26" max="26" width="7.5703125" style="78" bestFit="1" customWidth="1"/>
    <col min="27" max="27" width="9.85546875" style="78" bestFit="1" customWidth="1"/>
    <col min="28" max="28" width="2.7109375" style="42" customWidth="1"/>
    <col min="29" max="29" width="12.5703125" style="78" customWidth="1"/>
    <col min="30" max="31" width="9.140625" style="42" bestFit="1" customWidth="1"/>
    <col min="32" max="32" width="2.7109375" style="78" customWidth="1"/>
    <col min="33" max="33" width="10.140625" style="78" bestFit="1" customWidth="1"/>
    <col min="34" max="34" width="13.42578125" style="78" bestFit="1" customWidth="1"/>
    <col min="35" max="35" width="4.7109375" style="44" customWidth="1"/>
    <col min="36" max="37" width="11.42578125" style="80"/>
    <col min="38" max="38" width="2.7109375" style="80" customWidth="1"/>
    <col min="39" max="39" width="9.85546875" style="80" bestFit="1" customWidth="1"/>
    <col min="40" max="40" width="12" style="80" customWidth="1"/>
    <col min="41" max="41" width="10.7109375" style="44" bestFit="1" customWidth="1"/>
    <col min="42" max="42" width="11.28515625" style="44" bestFit="1" customWidth="1"/>
    <col min="43" max="43" width="11" style="80" bestFit="1" customWidth="1"/>
    <col min="44" max="44" width="10.85546875" style="44" customWidth="1"/>
    <col min="45" max="45" width="10.85546875" style="80" customWidth="1"/>
    <col min="46" max="46" width="10.7109375" style="44" bestFit="1" customWidth="1"/>
    <col min="47" max="47" width="11.28515625" style="44" bestFit="1" customWidth="1"/>
    <col min="48" max="48" width="11" style="80" bestFit="1" customWidth="1"/>
    <col min="49" max="49" width="10.85546875" style="44" customWidth="1"/>
    <col min="50" max="50" width="3" style="44" bestFit="1" customWidth="1"/>
    <col min="51" max="51" width="2.7109375" style="80" customWidth="1"/>
    <col min="52" max="52" width="9" style="44" bestFit="1" customWidth="1"/>
    <col min="53" max="16384" width="11.42578125" style="44"/>
  </cols>
  <sheetData>
    <row r="1" spans="1:55" s="80" customFormat="1" ht="13.5" customHeight="1" thickBot="1" x14ac:dyDescent="0.2">
      <c r="A1" s="78"/>
      <c r="B1" s="78"/>
      <c r="C1" s="79"/>
      <c r="D1" s="572" t="s">
        <v>40</v>
      </c>
      <c r="E1" s="573"/>
      <c r="F1" s="573"/>
      <c r="G1" s="573"/>
      <c r="H1" s="573"/>
      <c r="I1" s="573"/>
      <c r="J1" s="574"/>
      <c r="K1" s="78"/>
      <c r="L1" s="575" t="s">
        <v>281</v>
      </c>
      <c r="M1" s="576"/>
      <c r="N1" s="576"/>
      <c r="O1" s="577"/>
      <c r="P1" s="81"/>
      <c r="Q1" s="572" t="s">
        <v>41</v>
      </c>
      <c r="R1" s="573"/>
      <c r="S1" s="573"/>
      <c r="T1" s="573"/>
      <c r="U1" s="573"/>
      <c r="V1" s="573"/>
      <c r="W1" s="574"/>
      <c r="X1" s="81"/>
      <c r="Y1" s="575" t="s">
        <v>587</v>
      </c>
      <c r="Z1" s="576"/>
      <c r="AA1" s="577"/>
      <c r="AB1" s="78"/>
      <c r="AC1" s="575" t="s">
        <v>586</v>
      </c>
      <c r="AD1" s="576"/>
      <c r="AE1" s="577"/>
      <c r="AF1" s="50"/>
      <c r="AG1" s="578" t="s">
        <v>620</v>
      </c>
      <c r="AH1" s="579"/>
      <c r="AJ1" s="282" t="str">
        <f>"Tarifa "&amp;CFE_Limite</f>
        <v>Tarifa 1</v>
      </c>
      <c r="AK1" s="282" t="s">
        <v>69</v>
      </c>
      <c r="AL1" s="231"/>
      <c r="AN1" s="470" t="str">
        <f>"Tarifa "&amp;CFE_Limite&amp;" - TEMPORADA DE VERANO"</f>
        <v>Tarifa 1 - TEMPORADA DE VERANO</v>
      </c>
      <c r="AO1" s="472"/>
      <c r="AP1" s="472"/>
      <c r="AQ1" s="472"/>
      <c r="AR1" s="471"/>
      <c r="AS1" s="470" t="str">
        <f>"Tarifa "&amp;CFE_Limite&amp;" - TEMPORADA FUERA DE VERANO"</f>
        <v>Tarifa 1 - TEMPORADA FUERA DE VERANO</v>
      </c>
      <c r="AT1" s="472"/>
      <c r="AU1" s="472"/>
      <c r="AV1" s="472"/>
      <c r="AW1" s="471"/>
      <c r="AX1" s="80">
        <f>MATCH(AN1,CFE_History_Tarifa1!$B$1:$B$98,0)</f>
        <v>2</v>
      </c>
      <c r="AZ1" s="470" t="s">
        <v>69</v>
      </c>
      <c r="BA1" s="472"/>
      <c r="BB1" s="472"/>
      <c r="BC1" s="471"/>
    </row>
    <row r="2" spans="1:55" s="40" customFormat="1" ht="31.5" customHeight="1" thickTop="1" x14ac:dyDescent="0.15">
      <c r="A2" s="235"/>
      <c r="B2" s="235"/>
      <c r="C2" s="225" t="s">
        <v>188</v>
      </c>
      <c r="D2" s="224" t="s">
        <v>274</v>
      </c>
      <c r="E2" s="223" t="s">
        <v>275</v>
      </c>
      <c r="F2" s="223" t="s">
        <v>276</v>
      </c>
      <c r="G2" s="223" t="s">
        <v>280</v>
      </c>
      <c r="H2" s="223" t="s">
        <v>277</v>
      </c>
      <c r="I2" s="223" t="s">
        <v>278</v>
      </c>
      <c r="J2" s="222" t="s">
        <v>19</v>
      </c>
      <c r="K2" s="235"/>
      <c r="L2" s="172" t="s">
        <v>282</v>
      </c>
      <c r="M2" s="173" t="s">
        <v>279</v>
      </c>
      <c r="N2" s="173" t="s">
        <v>189</v>
      </c>
      <c r="O2" s="174" t="s">
        <v>243</v>
      </c>
      <c r="P2" s="235"/>
      <c r="Q2" s="224" t="s">
        <v>274</v>
      </c>
      <c r="R2" s="223" t="s">
        <v>275</v>
      </c>
      <c r="S2" s="223" t="s">
        <v>276</v>
      </c>
      <c r="T2" s="223" t="s">
        <v>280</v>
      </c>
      <c r="U2" s="223" t="s">
        <v>277</v>
      </c>
      <c r="V2" s="223" t="s">
        <v>278</v>
      </c>
      <c r="W2" s="222" t="s">
        <v>19</v>
      </c>
      <c r="X2" s="235"/>
      <c r="Y2" s="172" t="s">
        <v>583</v>
      </c>
      <c r="Z2" s="173" t="s">
        <v>584</v>
      </c>
      <c r="AA2" s="174" t="s">
        <v>582</v>
      </c>
      <c r="AB2" s="235"/>
      <c r="AC2" s="172" t="s">
        <v>585</v>
      </c>
      <c r="AD2" s="173" t="s">
        <v>283</v>
      </c>
      <c r="AE2" s="174" t="s">
        <v>284</v>
      </c>
      <c r="AF2" s="190"/>
      <c r="AG2" s="190" t="str">
        <f>W2&amp;" (Year 1)"</f>
        <v>CFE Bill (Year 1)</v>
      </c>
      <c r="AH2" s="191" t="str">
        <f>AC2&amp;" (Year 1)"</f>
        <v>CFE + MySOL Bill (Year 1)</v>
      </c>
      <c r="AI2" s="80"/>
      <c r="AJ2" s="570" t="s">
        <v>388</v>
      </c>
      <c r="AK2" s="570"/>
      <c r="AL2" s="231"/>
      <c r="AM2" s="569" t="s">
        <v>387</v>
      </c>
      <c r="AN2" s="268" t="s">
        <v>386</v>
      </c>
      <c r="AO2" s="268" t="s">
        <v>369</v>
      </c>
      <c r="AP2" s="269" t="s">
        <v>370</v>
      </c>
      <c r="AQ2" s="269" t="s">
        <v>371</v>
      </c>
      <c r="AR2" s="270" t="s">
        <v>347</v>
      </c>
      <c r="AS2" s="297" t="s">
        <v>386</v>
      </c>
      <c r="AT2" s="298" t="s">
        <v>369</v>
      </c>
      <c r="AU2" s="269" t="s">
        <v>370</v>
      </c>
      <c r="AV2" s="269" t="s">
        <v>371</v>
      </c>
      <c r="AW2" s="270" t="s">
        <v>347</v>
      </c>
      <c r="AX2" s="80">
        <f>MATCH(AS1,CFE_History_Tarifa1!$B$1:$B$98,0)</f>
        <v>9</v>
      </c>
      <c r="AY2" s="80"/>
      <c r="AZ2" s="297" t="s">
        <v>386</v>
      </c>
      <c r="BA2" s="298" t="s">
        <v>369</v>
      </c>
      <c r="BB2" s="269" t="s">
        <v>370</v>
      </c>
      <c r="BC2" s="270" t="s">
        <v>347</v>
      </c>
    </row>
    <row r="3" spans="1:55" s="234" customFormat="1" ht="21" x14ac:dyDescent="0.15">
      <c r="A3" s="235"/>
      <c r="B3" s="195"/>
      <c r="C3" s="194"/>
      <c r="D3" s="193"/>
      <c r="E3" s="192"/>
      <c r="F3" s="192"/>
      <c r="G3" s="192"/>
      <c r="H3" s="192"/>
      <c r="I3" s="192"/>
      <c r="J3" s="191" t="s">
        <v>162</v>
      </c>
      <c r="K3" s="195"/>
      <c r="L3" s="190"/>
      <c r="M3" s="189"/>
      <c r="N3" s="189"/>
      <c r="O3" s="191"/>
      <c r="P3" s="195"/>
      <c r="Q3" s="193"/>
      <c r="R3" s="192"/>
      <c r="S3" s="192"/>
      <c r="T3" s="192"/>
      <c r="U3" s="192"/>
      <c r="V3" s="192"/>
      <c r="W3" s="191" t="s">
        <v>162</v>
      </c>
      <c r="X3" s="195"/>
      <c r="Y3" s="190"/>
      <c r="Z3" s="189"/>
      <c r="AA3" s="191"/>
      <c r="AB3" s="195"/>
      <c r="AC3" s="190" t="s">
        <v>588</v>
      </c>
      <c r="AD3" s="189" t="s">
        <v>201</v>
      </c>
      <c r="AE3" s="191" t="s">
        <v>217</v>
      </c>
      <c r="AF3" s="190"/>
      <c r="AG3" s="432" t="str">
        <f>W3&amp;" (Año 1)"</f>
        <v>Recibo CFE (Año 1)</v>
      </c>
      <c r="AH3" s="433" t="str">
        <f>AC3&amp;" (Año 1)"</f>
        <v>Recibo CFE + MySOL (Año 1)</v>
      </c>
      <c r="AJ3" s="571"/>
      <c r="AK3" s="571"/>
      <c r="AL3" s="231"/>
      <c r="AM3" s="569"/>
      <c r="AN3" s="292" t="s">
        <v>384</v>
      </c>
      <c r="AO3" s="271">
        <f>INDEX(CFE_History_Tarifa1!$A$1:$DR$98,$AX$1+2,1)</f>
        <v>75</v>
      </c>
      <c r="AP3" s="272">
        <f>INDEX(CFE_History_Tarifa1!$A$1:$DR$98,$AX$1+3,1)</f>
        <v>65</v>
      </c>
      <c r="AQ3" s="272">
        <f>INDEX(CFE_History_Tarifa1!$A$1:$DR$98,$AX$1+4,1)</f>
        <v>0</v>
      </c>
      <c r="AR3" s="273">
        <f>INDEX(CFE_History_Tarifa1!$A$1:$DR$98,$AX$1+5,1)</f>
        <v>0</v>
      </c>
      <c r="AS3" s="299"/>
      <c r="AT3" s="300">
        <f>INDEX(CFE_History_Tarifa1!$A$1:$DR$98,$AX$2+2,1)</f>
        <v>75</v>
      </c>
      <c r="AU3" s="272">
        <f>INDEX(CFE_History_Tarifa1!$A$1:$DR$98,$AX$2+3,1)</f>
        <v>65</v>
      </c>
      <c r="AV3" s="272">
        <f>INDEX(CFE_History_Tarifa1!$A$1:$DR$98,$AX$2+4,1)</f>
        <v>0</v>
      </c>
      <c r="AW3" s="273">
        <f>INDEX(CFE_History_Tarifa1!$A$1:$DR$98,$AX$2+5,1)</f>
        <v>0</v>
      </c>
      <c r="AX3" s="80">
        <f>MATCH(CFE_RatePeriod,CFE_History_Tarifa1!$A$1:$DR$1,0)</f>
        <v>6</v>
      </c>
      <c r="AY3" s="80"/>
      <c r="AZ3" s="299" t="s">
        <v>384</v>
      </c>
      <c r="BA3" s="300">
        <f>INDEX(CFE_History_Tarifa2!$A$1:$DR$9,5,1)</f>
        <v>50</v>
      </c>
      <c r="BB3" s="272">
        <f>INDEX(CFE_History_Tarifa2!$A$1:$DR$9,6,1)</f>
        <v>50</v>
      </c>
      <c r="BC3" s="273">
        <f>INDEX(CFE_History_Tarifa2!$A$1:$DR$9,7,1)</f>
        <v>0</v>
      </c>
    </row>
    <row r="4" spans="1:55" s="41" customFormat="1" x14ac:dyDescent="0.15">
      <c r="A4" s="236"/>
      <c r="B4" s="236" t="s">
        <v>21</v>
      </c>
      <c r="C4" s="221" t="s">
        <v>191</v>
      </c>
      <c r="D4" s="220" t="s">
        <v>192</v>
      </c>
      <c r="E4" s="219" t="s">
        <v>167</v>
      </c>
      <c r="F4" s="219" t="s">
        <v>167</v>
      </c>
      <c r="G4" s="219" t="s">
        <v>167</v>
      </c>
      <c r="H4" s="219" t="s">
        <v>167</v>
      </c>
      <c r="I4" s="219" t="s">
        <v>167</v>
      </c>
      <c r="J4" s="177" t="s">
        <v>167</v>
      </c>
      <c r="K4" s="236"/>
      <c r="L4" s="175" t="s">
        <v>191</v>
      </c>
      <c r="M4" s="176" t="s">
        <v>20</v>
      </c>
      <c r="N4" s="176" t="s">
        <v>20</v>
      </c>
      <c r="O4" s="177" t="s">
        <v>191</v>
      </c>
      <c r="P4" s="236"/>
      <c r="Q4" s="220" t="s">
        <v>192</v>
      </c>
      <c r="R4" s="219" t="s">
        <v>167</v>
      </c>
      <c r="S4" s="219" t="s">
        <v>167</v>
      </c>
      <c r="T4" s="219" t="s">
        <v>167</v>
      </c>
      <c r="U4" s="219" t="s">
        <v>167</v>
      </c>
      <c r="V4" s="219" t="s">
        <v>167</v>
      </c>
      <c r="W4" s="177" t="s">
        <v>167</v>
      </c>
      <c r="X4" s="236"/>
      <c r="Y4" s="175" t="s">
        <v>167</v>
      </c>
      <c r="Z4" s="176" t="s">
        <v>167</v>
      </c>
      <c r="AA4" s="177" t="s">
        <v>167</v>
      </c>
      <c r="AB4" s="236"/>
      <c r="AC4" s="175" t="s">
        <v>167</v>
      </c>
      <c r="AD4" s="176"/>
      <c r="AE4" s="177"/>
      <c r="AF4" s="430"/>
      <c r="AG4" s="429"/>
      <c r="AH4" s="431"/>
      <c r="AL4" s="231"/>
      <c r="AN4" s="293" t="s">
        <v>385</v>
      </c>
      <c r="AO4" s="274">
        <f>INDEX(CFE_History_Tarifa1!$A$1:$DR$98,$AX$1+2,$AX$3)</f>
        <v>0.79300000000000004</v>
      </c>
      <c r="AP4" s="275">
        <f>INDEX(CFE_History_Tarifa1!$A$1:$DR$98,$AX$1+3,$AX$3)</f>
        <v>0.95599999999999996</v>
      </c>
      <c r="AQ4" s="275">
        <f>INDEX(CFE_History_Tarifa1!$A$1:$DR$98,$AX$1+4,$AX$3)</f>
        <v>0</v>
      </c>
      <c r="AR4" s="276">
        <f>INDEX(CFE_History_Tarifa1!$A$1:$DR$98,$AX$1+5,$AX$3)</f>
        <v>2.802</v>
      </c>
      <c r="AS4" s="301"/>
      <c r="AT4" s="302">
        <f>INDEX(CFE_History_Tarifa1!$A$1:$DR$98,$AX$2+2,$AX$3)</f>
        <v>0.79300000000000004</v>
      </c>
      <c r="AU4" s="275">
        <f>INDEX(CFE_History_Tarifa1!$A$1:$DR$98,$AX$2+3,$AX$3)</f>
        <v>0.95599999999999996</v>
      </c>
      <c r="AV4" s="275">
        <f>INDEX(CFE_History_Tarifa1!$A$1:$DR$98,$AX$2+4,$AX$3)</f>
        <v>0</v>
      </c>
      <c r="AW4" s="276">
        <f>INDEX(CFE_History_Tarifa1!$A$1:$DR$98,$AX$2+5,$AX$3)</f>
        <v>2.802</v>
      </c>
      <c r="AX4" s="80">
        <f>MATCH(CFE_RatePeriod,CFE_History_Tarifa2!$A$3:$DR$3,0)</f>
        <v>6</v>
      </c>
      <c r="AY4" s="80"/>
      <c r="AZ4" s="301" t="s">
        <v>385</v>
      </c>
      <c r="BA4" s="302">
        <f>INDEX(CFE_History_Tarifa2!$A$1:$DR$9,5,$AX$4)</f>
        <v>2.7829999999999999</v>
      </c>
      <c r="BB4" s="275">
        <f>INDEX(CFE_History_Tarifa2!$A$1:$DR$9,6,$AX$4)</f>
        <v>3.3559999999999999</v>
      </c>
      <c r="BC4" s="276">
        <f>INDEX(CFE_History_Tarifa2!$A$1:$DR$9,7,$AX$4)</f>
        <v>3.6989999999999998</v>
      </c>
    </row>
    <row r="5" spans="1:55" x14ac:dyDescent="0.15">
      <c r="A5" s="241">
        <f>DATE(2016,1,1)</f>
        <v>42370</v>
      </c>
      <c r="B5" s="242">
        <v>0</v>
      </c>
      <c r="C5" s="168"/>
      <c r="D5" s="169"/>
      <c r="E5" s="169"/>
      <c r="F5" s="169"/>
      <c r="G5" s="169"/>
      <c r="H5" s="169"/>
      <c r="I5" s="169"/>
      <c r="J5" s="184"/>
      <c r="K5" s="171"/>
      <c r="L5" s="236"/>
      <c r="M5" s="238"/>
      <c r="N5" s="243"/>
      <c r="O5" s="243"/>
      <c r="P5" s="236"/>
      <c r="Q5" s="169"/>
      <c r="R5" s="169"/>
      <c r="S5" s="169"/>
      <c r="T5" s="169"/>
      <c r="U5" s="169"/>
      <c r="V5" s="169"/>
      <c r="W5" s="170"/>
      <c r="X5" s="236"/>
      <c r="Y5" s="239"/>
      <c r="Z5" s="239"/>
      <c r="AA5" s="239"/>
      <c r="AB5" s="236"/>
      <c r="AC5" s="239"/>
      <c r="AD5" s="168"/>
      <c r="AE5" s="168"/>
      <c r="AF5" s="168"/>
      <c r="AG5" s="168"/>
      <c r="AH5" s="168"/>
      <c r="AL5" s="231"/>
      <c r="AT5" s="80"/>
      <c r="AU5" s="80"/>
      <c r="AW5" s="80"/>
      <c r="BA5" s="80"/>
      <c r="BB5" s="80"/>
      <c r="BC5" s="80"/>
    </row>
    <row r="6" spans="1:55" x14ac:dyDescent="0.15">
      <c r="A6" s="241">
        <f>DATE(YEAR(A5)+1,1,1)</f>
        <v>42736</v>
      </c>
      <c r="B6" s="242">
        <v>1</v>
      </c>
      <c r="C6" s="237">
        <f t="shared" ref="C6:C20" si="0">CustUsage_kWhPerYear</f>
        <v>10000</v>
      </c>
      <c r="D6" s="167">
        <f>CFE_RatePreTaxes</f>
        <v>4.66</v>
      </c>
      <c r="E6" s="218">
        <f>C6*D6</f>
        <v>46600</v>
      </c>
      <c r="F6" s="218">
        <f t="shared" ref="F6:F20" si="1">((CFE_CargoFijo)*((1+CFE_YrIncreasePct)^($B6-1))*12)</f>
        <v>1199.4000000000001</v>
      </c>
      <c r="G6" s="218">
        <f>E6+F6</f>
        <v>47799.4</v>
      </c>
      <c r="H6" s="218">
        <f t="shared" ref="H6:H20" si="2">G6*DAP</f>
        <v>4779.9400000000005</v>
      </c>
      <c r="I6" s="218">
        <f t="shared" ref="I6:I20" si="3">G6*IVA</f>
        <v>7647.9040000000005</v>
      </c>
      <c r="J6" s="217">
        <f t="shared" ref="J6:J20" si="4">SUM(G6:I6)</f>
        <v>60227.244000000006</v>
      </c>
      <c r="K6" s="239"/>
      <c r="L6" s="178">
        <f t="shared" ref="L6:L20" si="5">Sys_kWhPerYear*M6</f>
        <v>0</v>
      </c>
      <c r="M6" s="216">
        <v>1</v>
      </c>
      <c r="N6" s="216">
        <f t="shared" ref="N6:N20" si="6">L6/C6</f>
        <v>0</v>
      </c>
      <c r="O6" s="179">
        <f>MAX(0,C6-L6)</f>
        <v>10000</v>
      </c>
      <c r="P6" s="236"/>
      <c r="Q6" s="167">
        <f>IF(O6=0,"NaN",IF(OR(CFE_RateCategory="DAC",CFE_RateCategory="Tarifa1"),D6,AZ6))</f>
        <v>4.66</v>
      </c>
      <c r="R6" s="218">
        <f>IF(O6=0,0,O6*Q6)</f>
        <v>46600</v>
      </c>
      <c r="S6" s="218">
        <f>F6</f>
        <v>1199.4000000000001</v>
      </c>
      <c r="T6" s="218">
        <f>R6+S6</f>
        <v>47799.4</v>
      </c>
      <c r="U6" s="218">
        <f t="shared" ref="U6:U20" si="7">T6*DAP</f>
        <v>4779.9400000000005</v>
      </c>
      <c r="V6" s="218">
        <f t="shared" ref="V6:V20" si="8">T6*IVA</f>
        <v>7647.9040000000005</v>
      </c>
      <c r="W6" s="217">
        <f t="shared" ref="W6:W20" si="9">SUM(T6:V6)</f>
        <v>60227.244000000006</v>
      </c>
      <c r="X6" s="236"/>
      <c r="Y6" s="215">
        <f>Sys_kWhPerYear*MySol_TotalRate</f>
        <v>0</v>
      </c>
      <c r="Z6" s="214">
        <f t="shared" ref="Z6:Z20" si="10">Y6*IVA</f>
        <v>0</v>
      </c>
      <c r="AA6" s="213">
        <f>SUM(Y6:Z6)</f>
        <v>0</v>
      </c>
      <c r="AB6" s="236"/>
      <c r="AC6" s="215">
        <f>AA6+W6</f>
        <v>60227.244000000006</v>
      </c>
      <c r="AD6" s="214">
        <f t="shared" ref="AD6:AD20" si="11">J6-AC6</f>
        <v>0</v>
      </c>
      <c r="AE6" s="212">
        <f t="shared" ref="AE6:AE20" si="12">AD6/J6</f>
        <v>0</v>
      </c>
      <c r="AF6" s="323"/>
      <c r="AG6" s="323"/>
      <c r="AH6" s="323"/>
      <c r="AL6" s="231"/>
      <c r="AT6" s="80"/>
      <c r="AU6" s="80"/>
      <c r="AW6" s="80"/>
      <c r="AZ6" s="303">
        <f>SUM(BA6:BC6)/$O6</f>
        <v>3.6234599999999997</v>
      </c>
      <c r="BA6" s="309">
        <f>MIN($O6,BA$3*12)*BA$4</f>
        <v>1669.8</v>
      </c>
      <c r="BB6" s="277">
        <f>MAX(0,MIN($O6-SUM($BA$3:BA$3)*12,BB$3*12))*BB$4</f>
        <v>2013.6</v>
      </c>
      <c r="BC6" s="278">
        <f>MAX(0,$O6-SUM($BA$3:BB$3)*12)*BC$4</f>
        <v>32551.199999999997</v>
      </c>
    </row>
    <row r="7" spans="1:55" x14ac:dyDescent="0.15">
      <c r="A7" s="241">
        <f t="shared" ref="A7:A20" si="13">DATE(YEAR(A6)+1,1,1)</f>
        <v>43101</v>
      </c>
      <c r="B7" s="242">
        <v>2</v>
      </c>
      <c r="C7" s="237">
        <f t="shared" si="0"/>
        <v>10000</v>
      </c>
      <c r="D7" s="211">
        <f t="shared" ref="D7:D20" si="14">D6*(1+CFE_YrIncreasePct)</f>
        <v>5.0328000000000008</v>
      </c>
      <c r="E7" s="210">
        <f t="shared" ref="E7:E20" si="15">C7*D7</f>
        <v>50328.000000000007</v>
      </c>
      <c r="F7" s="210">
        <f t="shared" si="1"/>
        <v>1295.3520000000001</v>
      </c>
      <c r="G7" s="210">
        <f t="shared" ref="G7:G20" si="16">E7+F7</f>
        <v>51623.352000000006</v>
      </c>
      <c r="H7" s="210">
        <f t="shared" si="2"/>
        <v>5162.3352000000014</v>
      </c>
      <c r="I7" s="210">
        <f t="shared" si="3"/>
        <v>8259.7363200000018</v>
      </c>
      <c r="J7" s="209">
        <f t="shared" si="4"/>
        <v>65045.423520000011</v>
      </c>
      <c r="K7" s="242"/>
      <c r="L7" s="180">
        <f t="shared" si="5"/>
        <v>0</v>
      </c>
      <c r="M7" s="208">
        <f t="shared" ref="M7:M20" si="17">M6+Sys_YrDegradationRate</f>
        <v>0.995</v>
      </c>
      <c r="N7" s="208">
        <f t="shared" si="6"/>
        <v>0</v>
      </c>
      <c r="O7" s="181">
        <f t="shared" ref="O7:O20" si="18">MAX(0,C7-L7)</f>
        <v>10000</v>
      </c>
      <c r="P7" s="236"/>
      <c r="Q7" s="211">
        <f t="shared" ref="Q7:Q20" si="19">IF(O7=0,"NaN",IF(OR(CFE_RateCategory="DAC",CFE_RateCategory="Tarifa1"),AJ7,AK7))</f>
        <v>2.6753781600000002</v>
      </c>
      <c r="R7" s="210">
        <f t="shared" ref="R7:R20" si="20">IF(O7=0,0,O7*Q7)</f>
        <v>26753.781600000002</v>
      </c>
      <c r="S7" s="210">
        <f t="shared" ref="S7:S20" si="21">F7</f>
        <v>1295.3520000000001</v>
      </c>
      <c r="T7" s="210">
        <f t="shared" ref="T7:T20" si="22">R7+S7</f>
        <v>28049.133600000001</v>
      </c>
      <c r="U7" s="210">
        <f t="shared" si="7"/>
        <v>2804.9133600000005</v>
      </c>
      <c r="V7" s="210">
        <f t="shared" si="8"/>
        <v>4487.8613759999998</v>
      </c>
      <c r="W7" s="209">
        <f t="shared" si="9"/>
        <v>35341.908336</v>
      </c>
      <c r="X7" s="236"/>
      <c r="Y7" s="207">
        <f t="shared" ref="Y7:Y20" si="23">IF(B7&gt;Cust_LeaseTermYears,0,Y6*(1+FinYrIncr))</f>
        <v>0</v>
      </c>
      <c r="Z7" s="206">
        <f t="shared" si="10"/>
        <v>0</v>
      </c>
      <c r="AA7" s="205">
        <f t="shared" ref="AA7:AA20" si="24">SUM(Y7:Z7)</f>
        <v>0</v>
      </c>
      <c r="AB7" s="236"/>
      <c r="AC7" s="207">
        <f t="shared" ref="AC7:AC20" si="25">AA7+W7</f>
        <v>35341.908336</v>
      </c>
      <c r="AD7" s="206">
        <f t="shared" si="11"/>
        <v>29703.515184000011</v>
      </c>
      <c r="AE7" s="204">
        <f t="shared" si="12"/>
        <v>0.45665803336443561</v>
      </c>
      <c r="AF7" s="323"/>
      <c r="AG7" s="323"/>
      <c r="AH7" s="323"/>
      <c r="AJ7" s="281">
        <f t="shared" ref="AJ7:AJ20" si="26">AM7*((1+CFE_YrIncreasePct)^(B7-1))</f>
        <v>2.6753781600000002</v>
      </c>
      <c r="AK7" s="281">
        <f t="shared" ref="AK7:AK20" si="27">AZ7*((1+CFE_YrIncreasePct)^(B7-1))</f>
        <v>3.9133367999999997</v>
      </c>
      <c r="AL7" s="231"/>
      <c r="AM7" s="281">
        <f>AVERAGE(AN7,AS7)</f>
        <v>2.4772020000000001</v>
      </c>
      <c r="AN7" s="294">
        <f>SUM(AO7:AR7)/$O7</f>
        <v>2.4772020000000001</v>
      </c>
      <c r="AO7" s="283">
        <f>MIN($O7,AO$3*12)*AO$4</f>
        <v>713.7</v>
      </c>
      <c r="AP7" s="284">
        <f>MAX(0,MIN($O7-SUM($AO$3:AO$3)*12,AP$3*12))*AP$4</f>
        <v>745.68</v>
      </c>
      <c r="AQ7" s="284">
        <f>MAX(0,MIN($O7-SUM($AO$3:AP$3)*12,AQ$3*12))*AQ$4</f>
        <v>0</v>
      </c>
      <c r="AR7" s="285">
        <f>MAX(0,$O7-SUM($AO$3:AQ$3)*12)*AR$4</f>
        <v>23312.639999999999</v>
      </c>
      <c r="AS7" s="303">
        <f>SUM(AT7:AW7)/$O7</f>
        <v>2.4772020000000001</v>
      </c>
      <c r="AT7" s="304">
        <f>MIN($O7,AT$3*12)*AT$4</f>
        <v>713.7</v>
      </c>
      <c r="AU7" s="284">
        <f>MAX(0,MIN($O7-SUM($AT$3:AT$3)*12,AU$3*12))*AU$4</f>
        <v>745.68</v>
      </c>
      <c r="AV7" s="284">
        <f>MAX(0,MIN($O7-SUM($AT$3:AU$3)*12,AV$3*12))*AV$4</f>
        <v>0</v>
      </c>
      <c r="AW7" s="285">
        <f>MAX(0,$O7-SUM($AT$3:AV$3)*12)*AW$4</f>
        <v>23312.639999999999</v>
      </c>
      <c r="AZ7" s="305">
        <f>SUM(BA7:BC7)/$O7</f>
        <v>3.6234599999999997</v>
      </c>
      <c r="BA7" s="310">
        <f>MIN($O7,BA$3*12)*BA$4</f>
        <v>1669.8</v>
      </c>
      <c r="BB7" s="51">
        <f>MAX(0,MIN($O7-SUM($BA$3:BA$3)*12,BB$3*12))*BB$4</f>
        <v>2013.6</v>
      </c>
      <c r="BC7" s="279">
        <f>MAX(0,$O7-SUM($BA$3:BB$3)*12)*BC$4</f>
        <v>32551.199999999997</v>
      </c>
    </row>
    <row r="8" spans="1:55" x14ac:dyDescent="0.15">
      <c r="A8" s="241">
        <f t="shared" si="13"/>
        <v>43466</v>
      </c>
      <c r="B8" s="242">
        <v>3</v>
      </c>
      <c r="C8" s="237">
        <f t="shared" si="0"/>
        <v>10000</v>
      </c>
      <c r="D8" s="211">
        <f t="shared" si="14"/>
        <v>5.4354240000000011</v>
      </c>
      <c r="E8" s="210">
        <f t="shared" si="15"/>
        <v>54354.240000000013</v>
      </c>
      <c r="F8" s="210">
        <f t="shared" si="1"/>
        <v>1398.9801600000003</v>
      </c>
      <c r="G8" s="210">
        <f t="shared" si="16"/>
        <v>55753.220160000012</v>
      </c>
      <c r="H8" s="210">
        <f t="shared" si="2"/>
        <v>5575.3220160000019</v>
      </c>
      <c r="I8" s="210">
        <f t="shared" si="3"/>
        <v>8920.5152256000019</v>
      </c>
      <c r="J8" s="209">
        <f t="shared" si="4"/>
        <v>70249.057401600017</v>
      </c>
      <c r="K8" s="242"/>
      <c r="L8" s="180">
        <f t="shared" si="5"/>
        <v>0</v>
      </c>
      <c r="M8" s="208">
        <f t="shared" si="17"/>
        <v>0.99</v>
      </c>
      <c r="N8" s="208">
        <f t="shared" si="6"/>
        <v>0</v>
      </c>
      <c r="O8" s="181">
        <f t="shared" si="18"/>
        <v>10000</v>
      </c>
      <c r="P8" s="236"/>
      <c r="Q8" s="211">
        <f t="shared" si="19"/>
        <v>2.8894084128000004</v>
      </c>
      <c r="R8" s="210">
        <f t="shared" si="20"/>
        <v>28894.084128000002</v>
      </c>
      <c r="S8" s="210">
        <f t="shared" si="21"/>
        <v>1398.9801600000003</v>
      </c>
      <c r="T8" s="210">
        <f t="shared" si="22"/>
        <v>30293.064288000001</v>
      </c>
      <c r="U8" s="210">
        <f t="shared" si="7"/>
        <v>3029.3064288000005</v>
      </c>
      <c r="V8" s="210">
        <f t="shared" si="8"/>
        <v>4846.8902860799999</v>
      </c>
      <c r="W8" s="209">
        <f t="shared" si="9"/>
        <v>38169.261002880005</v>
      </c>
      <c r="X8" s="236"/>
      <c r="Y8" s="207">
        <f t="shared" si="23"/>
        <v>0</v>
      </c>
      <c r="Z8" s="206">
        <f t="shared" si="10"/>
        <v>0</v>
      </c>
      <c r="AA8" s="205">
        <f t="shared" si="24"/>
        <v>0</v>
      </c>
      <c r="AB8" s="236"/>
      <c r="AC8" s="207">
        <f t="shared" si="25"/>
        <v>38169.261002880005</v>
      </c>
      <c r="AD8" s="206">
        <f t="shared" si="11"/>
        <v>32079.796398720013</v>
      </c>
      <c r="AE8" s="204">
        <f t="shared" si="12"/>
        <v>0.45665803336443561</v>
      </c>
      <c r="AF8" s="323"/>
      <c r="AG8" s="323"/>
      <c r="AH8" s="323"/>
      <c r="AJ8" s="281">
        <f t="shared" si="26"/>
        <v>2.8894084128000004</v>
      </c>
      <c r="AK8" s="281">
        <f t="shared" si="27"/>
        <v>4.2264037439999997</v>
      </c>
      <c r="AL8" s="231"/>
      <c r="AM8" s="281">
        <f t="shared" ref="AM8:AM20" si="28">AVERAGE(AN8,AS8)</f>
        <v>2.4772020000000001</v>
      </c>
      <c r="AN8" s="295">
        <f t="shared" ref="AN8:AN20" si="29">SUM(AO8:AR8)/$O8</f>
        <v>2.4772020000000001</v>
      </c>
      <c r="AO8" s="286">
        <f t="shared" ref="AO8:AO20" si="30">MIN($O8,AO$3*12)*AO$4</f>
        <v>713.7</v>
      </c>
      <c r="AP8" s="287">
        <f>MAX(0,MIN($O8-SUM($AO$3:AO$3)*12,AP$3*12))*AP$4</f>
        <v>745.68</v>
      </c>
      <c r="AQ8" s="287">
        <f>MAX(0,MIN($O8-SUM($AO$3:AP$3)*12,AQ$3*12))*AQ$4</f>
        <v>0</v>
      </c>
      <c r="AR8" s="288">
        <f>MAX(0,$O8-SUM($AO$3:AQ$3)*12)*AR$4</f>
        <v>23312.639999999999</v>
      </c>
      <c r="AS8" s="305">
        <f t="shared" ref="AS8:AS20" si="31">SUM(AT8:AW8)/$O8</f>
        <v>2.4772020000000001</v>
      </c>
      <c r="AT8" s="306">
        <f t="shared" ref="AT8:AT20" si="32">MIN($O8,AT$3*12)*AT$4</f>
        <v>713.7</v>
      </c>
      <c r="AU8" s="287">
        <f>MAX(0,MIN($O8-SUM($AT$3:AT$3)*12,AU$3*12))*AU$4</f>
        <v>745.68</v>
      </c>
      <c r="AV8" s="287">
        <f>MAX(0,MIN($O8-SUM($AT$3:AU$3)*12,AV$3*12))*AV$4</f>
        <v>0</v>
      </c>
      <c r="AW8" s="288">
        <f>MAX(0,$O8-SUM($AT$3:AV$3)*12)*AW$4</f>
        <v>23312.639999999999</v>
      </c>
      <c r="AZ8" s="305">
        <f t="shared" ref="AZ8:AZ20" si="33">SUM(BA8:BC8)/$O8</f>
        <v>3.6234599999999997</v>
      </c>
      <c r="BA8" s="310">
        <f t="shared" ref="BA8:BA20" si="34">MIN($O8,BA$3*12)*BA$4</f>
        <v>1669.8</v>
      </c>
      <c r="BB8" s="51">
        <f>MAX(0,MIN($O8-SUM($BA$3:BA$3)*12,BB$3*12))*BB$4</f>
        <v>2013.6</v>
      </c>
      <c r="BC8" s="279">
        <f>MAX(0,$O8-SUM($BA$3:BB$3)*12)*BC$4</f>
        <v>32551.199999999997</v>
      </c>
    </row>
    <row r="9" spans="1:55" x14ac:dyDescent="0.15">
      <c r="A9" s="241">
        <f t="shared" si="13"/>
        <v>43831</v>
      </c>
      <c r="B9" s="242">
        <v>4</v>
      </c>
      <c r="C9" s="237">
        <f t="shared" si="0"/>
        <v>10000</v>
      </c>
      <c r="D9" s="211">
        <f t="shared" si="14"/>
        <v>5.870257920000002</v>
      </c>
      <c r="E9" s="210">
        <f t="shared" si="15"/>
        <v>58702.579200000022</v>
      </c>
      <c r="F9" s="210">
        <f t="shared" si="1"/>
        <v>1510.8985728000002</v>
      </c>
      <c r="G9" s="210">
        <f t="shared" si="16"/>
        <v>60213.477772800019</v>
      </c>
      <c r="H9" s="210">
        <f t="shared" si="2"/>
        <v>6021.3477772800024</v>
      </c>
      <c r="I9" s="210">
        <f t="shared" si="3"/>
        <v>9634.1564436480039</v>
      </c>
      <c r="J9" s="209">
        <f t="shared" si="4"/>
        <v>75868.981993728026</v>
      </c>
      <c r="K9" s="239"/>
      <c r="L9" s="180">
        <f t="shared" si="5"/>
        <v>0</v>
      </c>
      <c r="M9" s="208">
        <f t="shared" si="17"/>
        <v>0.98499999999999999</v>
      </c>
      <c r="N9" s="208">
        <f t="shared" si="6"/>
        <v>0</v>
      </c>
      <c r="O9" s="181">
        <f t="shared" si="18"/>
        <v>10000</v>
      </c>
      <c r="P9" s="236"/>
      <c r="Q9" s="211">
        <f t="shared" si="19"/>
        <v>3.1205610858240007</v>
      </c>
      <c r="R9" s="210">
        <f t="shared" si="20"/>
        <v>31205.610858240008</v>
      </c>
      <c r="S9" s="210">
        <f t="shared" si="21"/>
        <v>1510.8985728000002</v>
      </c>
      <c r="T9" s="210">
        <f t="shared" si="22"/>
        <v>32716.509431040009</v>
      </c>
      <c r="U9" s="210">
        <f t="shared" si="7"/>
        <v>3271.6509431040013</v>
      </c>
      <c r="V9" s="210">
        <f t="shared" si="8"/>
        <v>5234.6415089664015</v>
      </c>
      <c r="W9" s="209">
        <f t="shared" si="9"/>
        <v>41222.801883110413</v>
      </c>
      <c r="X9" s="236"/>
      <c r="Y9" s="207">
        <f t="shared" si="23"/>
        <v>0</v>
      </c>
      <c r="Z9" s="206">
        <f t="shared" si="10"/>
        <v>0</v>
      </c>
      <c r="AA9" s="205">
        <f t="shared" si="24"/>
        <v>0</v>
      </c>
      <c r="AB9" s="236"/>
      <c r="AC9" s="207">
        <f t="shared" si="25"/>
        <v>41222.801883110413</v>
      </c>
      <c r="AD9" s="206">
        <f t="shared" si="11"/>
        <v>34646.180110617614</v>
      </c>
      <c r="AE9" s="204">
        <f t="shared" si="12"/>
        <v>0.45665803336443556</v>
      </c>
      <c r="AF9" s="323"/>
      <c r="AG9" s="323"/>
      <c r="AH9" s="323"/>
      <c r="AJ9" s="281">
        <f t="shared" si="26"/>
        <v>3.1205610858240007</v>
      </c>
      <c r="AK9" s="281">
        <f t="shared" si="27"/>
        <v>4.5645160435200003</v>
      </c>
      <c r="AL9" s="231"/>
      <c r="AM9" s="281">
        <f t="shared" si="28"/>
        <v>2.4772020000000001</v>
      </c>
      <c r="AN9" s="295">
        <f t="shared" si="29"/>
        <v>2.4772020000000001</v>
      </c>
      <c r="AO9" s="286">
        <f t="shared" si="30"/>
        <v>713.7</v>
      </c>
      <c r="AP9" s="287">
        <f>MAX(0,MIN($O9-SUM($AO$3:AO$3)*12,AP$3*12))*AP$4</f>
        <v>745.68</v>
      </c>
      <c r="AQ9" s="287">
        <f>MAX(0,MIN($O9-SUM($AO$3:AP$3)*12,AQ$3*12))*AQ$4</f>
        <v>0</v>
      </c>
      <c r="AR9" s="288">
        <f>MAX(0,$O9-SUM($AO$3:AQ$3)*12)*AR$4</f>
        <v>23312.639999999999</v>
      </c>
      <c r="AS9" s="305">
        <f t="shared" si="31"/>
        <v>2.4772020000000001</v>
      </c>
      <c r="AT9" s="306">
        <f t="shared" si="32"/>
        <v>713.7</v>
      </c>
      <c r="AU9" s="287">
        <f>MAX(0,MIN($O9-SUM($AT$3:AT$3)*12,AU$3*12))*AU$4</f>
        <v>745.68</v>
      </c>
      <c r="AV9" s="287">
        <f>MAX(0,MIN($O9-SUM($AT$3:AU$3)*12,AV$3*12))*AV$4</f>
        <v>0</v>
      </c>
      <c r="AW9" s="288">
        <f>MAX(0,$O9-SUM($AT$3:AV$3)*12)*AW$4</f>
        <v>23312.639999999999</v>
      </c>
      <c r="AZ9" s="305">
        <f t="shared" si="33"/>
        <v>3.6234599999999997</v>
      </c>
      <c r="BA9" s="310">
        <f t="shared" si="34"/>
        <v>1669.8</v>
      </c>
      <c r="BB9" s="51">
        <f>MAX(0,MIN($O9-SUM($BA$3:BA$3)*12,BB$3*12))*BB$4</f>
        <v>2013.6</v>
      </c>
      <c r="BC9" s="279">
        <f>MAX(0,$O9-SUM($BA$3:BB$3)*12)*BC$4</f>
        <v>32551.199999999997</v>
      </c>
    </row>
    <row r="10" spans="1:55" x14ac:dyDescent="0.15">
      <c r="A10" s="241">
        <f t="shared" si="13"/>
        <v>44197</v>
      </c>
      <c r="B10" s="242">
        <v>5</v>
      </c>
      <c r="C10" s="237">
        <f t="shared" si="0"/>
        <v>10000</v>
      </c>
      <c r="D10" s="211">
        <f t="shared" si="14"/>
        <v>6.3398785536000029</v>
      </c>
      <c r="E10" s="210">
        <f t="shared" si="15"/>
        <v>63398.785536000032</v>
      </c>
      <c r="F10" s="210">
        <f t="shared" si="1"/>
        <v>1631.7704586240002</v>
      </c>
      <c r="G10" s="210">
        <f t="shared" si="16"/>
        <v>65030.555994624032</v>
      </c>
      <c r="H10" s="210">
        <f t="shared" si="2"/>
        <v>6503.0555994624037</v>
      </c>
      <c r="I10" s="210">
        <f t="shared" si="3"/>
        <v>10404.888959139846</v>
      </c>
      <c r="J10" s="209">
        <f t="shared" si="4"/>
        <v>81938.500553226288</v>
      </c>
      <c r="K10" s="239"/>
      <c r="L10" s="180">
        <f t="shared" si="5"/>
        <v>0</v>
      </c>
      <c r="M10" s="208">
        <f t="shared" si="17"/>
        <v>0.98</v>
      </c>
      <c r="N10" s="208">
        <f t="shared" si="6"/>
        <v>0</v>
      </c>
      <c r="O10" s="181">
        <f t="shared" si="18"/>
        <v>10000</v>
      </c>
      <c r="P10" s="236"/>
      <c r="Q10" s="211">
        <f t="shared" si="19"/>
        <v>3.3702059726899209</v>
      </c>
      <c r="R10" s="210">
        <f t="shared" si="20"/>
        <v>33702.059726899206</v>
      </c>
      <c r="S10" s="210">
        <f t="shared" si="21"/>
        <v>1631.7704586240002</v>
      </c>
      <c r="T10" s="210">
        <f t="shared" si="22"/>
        <v>35333.830185523206</v>
      </c>
      <c r="U10" s="210">
        <f t="shared" si="7"/>
        <v>3533.3830185523207</v>
      </c>
      <c r="V10" s="210">
        <f t="shared" si="8"/>
        <v>5653.4128296837134</v>
      </c>
      <c r="W10" s="209">
        <f t="shared" si="9"/>
        <v>44520.626033759239</v>
      </c>
      <c r="X10" s="236"/>
      <c r="Y10" s="207">
        <f t="shared" si="23"/>
        <v>0</v>
      </c>
      <c r="Z10" s="206">
        <f t="shared" si="10"/>
        <v>0</v>
      </c>
      <c r="AA10" s="205">
        <f t="shared" si="24"/>
        <v>0</v>
      </c>
      <c r="AB10" s="236"/>
      <c r="AC10" s="207">
        <f t="shared" si="25"/>
        <v>44520.626033759239</v>
      </c>
      <c r="AD10" s="206">
        <f t="shared" si="11"/>
        <v>37417.874519467048</v>
      </c>
      <c r="AE10" s="204">
        <f t="shared" si="12"/>
        <v>0.45665803336443578</v>
      </c>
      <c r="AF10" s="323"/>
      <c r="AG10" s="323"/>
      <c r="AH10" s="323"/>
      <c r="AJ10" s="281">
        <f t="shared" si="26"/>
        <v>3.3702059726899209</v>
      </c>
      <c r="AK10" s="281">
        <f t="shared" si="27"/>
        <v>4.9296773270016008</v>
      </c>
      <c r="AL10" s="231"/>
      <c r="AM10" s="281">
        <f t="shared" si="28"/>
        <v>2.4772020000000001</v>
      </c>
      <c r="AN10" s="295">
        <f t="shared" si="29"/>
        <v>2.4772020000000001</v>
      </c>
      <c r="AO10" s="286">
        <f t="shared" si="30"/>
        <v>713.7</v>
      </c>
      <c r="AP10" s="287">
        <f>MAX(0,MIN($O10-SUM($AO$3:AO$3)*12,AP$3*12))*AP$4</f>
        <v>745.68</v>
      </c>
      <c r="AQ10" s="287">
        <f>MAX(0,MIN($O10-SUM($AO$3:AP$3)*12,AQ$3*12))*AQ$4</f>
        <v>0</v>
      </c>
      <c r="AR10" s="288">
        <f>MAX(0,$O10-SUM($AO$3:AQ$3)*12)*AR$4</f>
        <v>23312.639999999999</v>
      </c>
      <c r="AS10" s="305">
        <f t="shared" si="31"/>
        <v>2.4772020000000001</v>
      </c>
      <c r="AT10" s="306">
        <f t="shared" si="32"/>
        <v>713.7</v>
      </c>
      <c r="AU10" s="287">
        <f>MAX(0,MIN($O10-SUM($AT$3:AT$3)*12,AU$3*12))*AU$4</f>
        <v>745.68</v>
      </c>
      <c r="AV10" s="287">
        <f>MAX(0,MIN($O10-SUM($AT$3:AU$3)*12,AV$3*12))*AV$4</f>
        <v>0</v>
      </c>
      <c r="AW10" s="288">
        <f>MAX(0,$O10-SUM($AT$3:AV$3)*12)*AW$4</f>
        <v>23312.639999999999</v>
      </c>
      <c r="AZ10" s="305">
        <f t="shared" si="33"/>
        <v>3.6234599999999997</v>
      </c>
      <c r="BA10" s="310">
        <f t="shared" si="34"/>
        <v>1669.8</v>
      </c>
      <c r="BB10" s="51">
        <f>MAX(0,MIN($O10-SUM($BA$3:BA$3)*12,BB$3*12))*BB$4</f>
        <v>2013.6</v>
      </c>
      <c r="BC10" s="279">
        <f>MAX(0,$O10-SUM($BA$3:BB$3)*12)*BC$4</f>
        <v>32551.199999999997</v>
      </c>
    </row>
    <row r="11" spans="1:55" x14ac:dyDescent="0.15">
      <c r="A11" s="241">
        <f t="shared" si="13"/>
        <v>44562</v>
      </c>
      <c r="B11" s="242">
        <v>6</v>
      </c>
      <c r="C11" s="237">
        <f t="shared" si="0"/>
        <v>10000</v>
      </c>
      <c r="D11" s="211">
        <f t="shared" si="14"/>
        <v>6.8470688378880036</v>
      </c>
      <c r="E11" s="210">
        <f t="shared" si="15"/>
        <v>68470.688378880033</v>
      </c>
      <c r="F11" s="210">
        <f t="shared" si="1"/>
        <v>1762.3120953139203</v>
      </c>
      <c r="G11" s="210">
        <f t="shared" si="16"/>
        <v>70233.000474193948</v>
      </c>
      <c r="H11" s="210">
        <f t="shared" si="2"/>
        <v>7023.300047419395</v>
      </c>
      <c r="I11" s="210">
        <f t="shared" si="3"/>
        <v>11237.280075871033</v>
      </c>
      <c r="J11" s="209">
        <f t="shared" si="4"/>
        <v>88493.580597484382</v>
      </c>
      <c r="K11" s="239"/>
      <c r="L11" s="180">
        <f t="shared" si="5"/>
        <v>0</v>
      </c>
      <c r="M11" s="208">
        <f t="shared" si="17"/>
        <v>0.97499999999999998</v>
      </c>
      <c r="N11" s="208">
        <f t="shared" si="6"/>
        <v>0</v>
      </c>
      <c r="O11" s="181">
        <f t="shared" si="18"/>
        <v>10000</v>
      </c>
      <c r="P11" s="236"/>
      <c r="Q11" s="211">
        <f t="shared" si="19"/>
        <v>3.6398224505051147</v>
      </c>
      <c r="R11" s="210">
        <f t="shared" si="20"/>
        <v>36398.224505051148</v>
      </c>
      <c r="S11" s="210">
        <f t="shared" si="21"/>
        <v>1762.3120953139203</v>
      </c>
      <c r="T11" s="210">
        <f t="shared" si="22"/>
        <v>38160.536600365071</v>
      </c>
      <c r="U11" s="210">
        <f t="shared" si="7"/>
        <v>3816.0536600365072</v>
      </c>
      <c r="V11" s="210">
        <f t="shared" si="8"/>
        <v>6105.6858560584114</v>
      </c>
      <c r="W11" s="209">
        <f t="shared" si="9"/>
        <v>48082.276116459994</v>
      </c>
      <c r="X11" s="236"/>
      <c r="Y11" s="207">
        <f t="shared" si="23"/>
        <v>0</v>
      </c>
      <c r="Z11" s="206">
        <f t="shared" si="10"/>
        <v>0</v>
      </c>
      <c r="AA11" s="205">
        <f t="shared" si="24"/>
        <v>0</v>
      </c>
      <c r="AB11" s="236"/>
      <c r="AC11" s="207">
        <f t="shared" si="25"/>
        <v>48082.276116459994</v>
      </c>
      <c r="AD11" s="206">
        <f t="shared" si="11"/>
        <v>40411.304481024388</v>
      </c>
      <c r="AE11" s="204">
        <f t="shared" si="12"/>
        <v>0.45665803336443556</v>
      </c>
      <c r="AF11" s="323"/>
      <c r="AG11" s="323"/>
      <c r="AH11" s="323"/>
      <c r="AJ11" s="281">
        <f t="shared" si="26"/>
        <v>3.6398224505051147</v>
      </c>
      <c r="AK11" s="281">
        <f t="shared" si="27"/>
        <v>5.324051513161729</v>
      </c>
      <c r="AL11" s="231"/>
      <c r="AM11" s="281">
        <f t="shared" si="28"/>
        <v>2.4772020000000001</v>
      </c>
      <c r="AN11" s="295">
        <f t="shared" si="29"/>
        <v>2.4772020000000001</v>
      </c>
      <c r="AO11" s="286">
        <f t="shared" si="30"/>
        <v>713.7</v>
      </c>
      <c r="AP11" s="287">
        <f>MAX(0,MIN($O11-SUM($AO$3:AO$3)*12,AP$3*12))*AP$4</f>
        <v>745.68</v>
      </c>
      <c r="AQ11" s="287">
        <f>MAX(0,MIN($O11-SUM($AO$3:AP$3)*12,AQ$3*12))*AQ$4</f>
        <v>0</v>
      </c>
      <c r="AR11" s="288">
        <f>MAX(0,$O11-SUM($AO$3:AQ$3)*12)*AR$4</f>
        <v>23312.639999999999</v>
      </c>
      <c r="AS11" s="305">
        <f t="shared" si="31"/>
        <v>2.4772020000000001</v>
      </c>
      <c r="AT11" s="306">
        <f t="shared" si="32"/>
        <v>713.7</v>
      </c>
      <c r="AU11" s="287">
        <f>MAX(0,MIN($O11-SUM($AT$3:AT$3)*12,AU$3*12))*AU$4</f>
        <v>745.68</v>
      </c>
      <c r="AV11" s="287">
        <f>MAX(0,MIN($O11-SUM($AT$3:AU$3)*12,AV$3*12))*AV$4</f>
        <v>0</v>
      </c>
      <c r="AW11" s="288">
        <f>MAX(0,$O11-SUM($AT$3:AV$3)*12)*AW$4</f>
        <v>23312.639999999999</v>
      </c>
      <c r="AZ11" s="305">
        <f t="shared" si="33"/>
        <v>3.6234599999999997</v>
      </c>
      <c r="BA11" s="310">
        <f t="shared" si="34"/>
        <v>1669.8</v>
      </c>
      <c r="BB11" s="51">
        <f>MAX(0,MIN($O11-SUM($BA$3:BA$3)*12,BB$3*12))*BB$4</f>
        <v>2013.6</v>
      </c>
      <c r="BC11" s="279">
        <f>MAX(0,$O11-SUM($BA$3:BB$3)*12)*BC$4</f>
        <v>32551.199999999997</v>
      </c>
    </row>
    <row r="12" spans="1:55" x14ac:dyDescent="0.15">
      <c r="A12" s="241">
        <f t="shared" si="13"/>
        <v>44927</v>
      </c>
      <c r="B12" s="242">
        <v>7</v>
      </c>
      <c r="C12" s="237">
        <f t="shared" si="0"/>
        <v>10000</v>
      </c>
      <c r="D12" s="211">
        <f t="shared" si="14"/>
        <v>7.3948343449190448</v>
      </c>
      <c r="E12" s="210">
        <f t="shared" si="15"/>
        <v>73948.343449190448</v>
      </c>
      <c r="F12" s="210">
        <f t="shared" si="1"/>
        <v>1903.2970629390343</v>
      </c>
      <c r="G12" s="210">
        <f t="shared" si="16"/>
        <v>75851.640512129481</v>
      </c>
      <c r="H12" s="210">
        <f t="shared" si="2"/>
        <v>7585.1640512129488</v>
      </c>
      <c r="I12" s="210">
        <f t="shared" si="3"/>
        <v>12136.262481940717</v>
      </c>
      <c r="J12" s="209">
        <f t="shared" si="4"/>
        <v>95573.067045283155</v>
      </c>
      <c r="K12" s="239"/>
      <c r="L12" s="180">
        <f t="shared" si="5"/>
        <v>0</v>
      </c>
      <c r="M12" s="208">
        <f t="shared" si="17"/>
        <v>0.97</v>
      </c>
      <c r="N12" s="208">
        <f t="shared" si="6"/>
        <v>0</v>
      </c>
      <c r="O12" s="181">
        <f t="shared" si="18"/>
        <v>10000</v>
      </c>
      <c r="P12" s="236"/>
      <c r="Q12" s="211">
        <f t="shared" si="19"/>
        <v>3.9310082465455243</v>
      </c>
      <c r="R12" s="210">
        <f t="shared" si="20"/>
        <v>39310.082465455242</v>
      </c>
      <c r="S12" s="210">
        <f t="shared" si="21"/>
        <v>1903.2970629390343</v>
      </c>
      <c r="T12" s="210">
        <f t="shared" si="22"/>
        <v>41213.379528394275</v>
      </c>
      <c r="U12" s="210">
        <f t="shared" si="7"/>
        <v>4121.337952839428</v>
      </c>
      <c r="V12" s="210">
        <f t="shared" si="8"/>
        <v>6594.1407245430837</v>
      </c>
      <c r="W12" s="209">
        <f t="shared" si="9"/>
        <v>51928.858205776785</v>
      </c>
      <c r="X12" s="236"/>
      <c r="Y12" s="207">
        <f t="shared" si="23"/>
        <v>0</v>
      </c>
      <c r="Z12" s="206">
        <f t="shared" si="10"/>
        <v>0</v>
      </c>
      <c r="AA12" s="205">
        <f t="shared" si="24"/>
        <v>0</v>
      </c>
      <c r="AB12" s="236"/>
      <c r="AC12" s="207">
        <f t="shared" si="25"/>
        <v>51928.858205776785</v>
      </c>
      <c r="AD12" s="206">
        <f t="shared" si="11"/>
        <v>43644.208839506369</v>
      </c>
      <c r="AE12" s="204">
        <f t="shared" si="12"/>
        <v>0.45665803336443572</v>
      </c>
      <c r="AF12" s="323"/>
      <c r="AG12" s="323"/>
      <c r="AH12" s="323"/>
      <c r="AJ12" s="281">
        <f t="shared" si="26"/>
        <v>3.9310082465455243</v>
      </c>
      <c r="AK12" s="281">
        <f t="shared" si="27"/>
        <v>5.7499756342146675</v>
      </c>
      <c r="AL12" s="231"/>
      <c r="AM12" s="281">
        <f t="shared" si="28"/>
        <v>2.4772020000000001</v>
      </c>
      <c r="AN12" s="295">
        <f t="shared" si="29"/>
        <v>2.4772020000000001</v>
      </c>
      <c r="AO12" s="286">
        <f t="shared" si="30"/>
        <v>713.7</v>
      </c>
      <c r="AP12" s="287">
        <f>MAX(0,MIN($O12-SUM($AO$3:AO$3)*12,AP$3*12))*AP$4</f>
        <v>745.68</v>
      </c>
      <c r="AQ12" s="287">
        <f>MAX(0,MIN($O12-SUM($AO$3:AP$3)*12,AQ$3*12))*AQ$4</f>
        <v>0</v>
      </c>
      <c r="AR12" s="288">
        <f>MAX(0,$O12-SUM($AO$3:AQ$3)*12)*AR$4</f>
        <v>23312.639999999999</v>
      </c>
      <c r="AS12" s="305">
        <f t="shared" si="31"/>
        <v>2.4772020000000001</v>
      </c>
      <c r="AT12" s="306">
        <f t="shared" si="32"/>
        <v>713.7</v>
      </c>
      <c r="AU12" s="287">
        <f>MAX(0,MIN($O12-SUM($AT$3:AT$3)*12,AU$3*12))*AU$4</f>
        <v>745.68</v>
      </c>
      <c r="AV12" s="287">
        <f>MAX(0,MIN($O12-SUM($AT$3:AU$3)*12,AV$3*12))*AV$4</f>
        <v>0</v>
      </c>
      <c r="AW12" s="288">
        <f>MAX(0,$O12-SUM($AT$3:AV$3)*12)*AW$4</f>
        <v>23312.639999999999</v>
      </c>
      <c r="AZ12" s="305">
        <f t="shared" si="33"/>
        <v>3.6234599999999997</v>
      </c>
      <c r="BA12" s="310">
        <f t="shared" si="34"/>
        <v>1669.8</v>
      </c>
      <c r="BB12" s="51">
        <f>MAX(0,MIN($O12-SUM($BA$3:BA$3)*12,BB$3*12))*BB$4</f>
        <v>2013.6</v>
      </c>
      <c r="BC12" s="279">
        <f>MAX(0,$O12-SUM($BA$3:BB$3)*12)*BC$4</f>
        <v>32551.199999999997</v>
      </c>
    </row>
    <row r="13" spans="1:55" x14ac:dyDescent="0.15">
      <c r="A13" s="241">
        <f t="shared" si="13"/>
        <v>45292</v>
      </c>
      <c r="B13" s="242">
        <v>8</v>
      </c>
      <c r="C13" s="237">
        <f t="shared" si="0"/>
        <v>10000</v>
      </c>
      <c r="D13" s="211">
        <f t="shared" si="14"/>
        <v>7.9864210925125692</v>
      </c>
      <c r="E13" s="210">
        <f t="shared" si="15"/>
        <v>79864.210925125692</v>
      </c>
      <c r="F13" s="210">
        <f t="shared" si="1"/>
        <v>2055.5608279741573</v>
      </c>
      <c r="G13" s="210">
        <f t="shared" si="16"/>
        <v>81919.771753099849</v>
      </c>
      <c r="H13" s="210">
        <f t="shared" si="2"/>
        <v>8191.9771753099849</v>
      </c>
      <c r="I13" s="210">
        <f t="shared" si="3"/>
        <v>13107.163480495976</v>
      </c>
      <c r="J13" s="209">
        <f t="shared" si="4"/>
        <v>103218.9124089058</v>
      </c>
      <c r="K13" s="239"/>
      <c r="L13" s="180">
        <f t="shared" si="5"/>
        <v>0</v>
      </c>
      <c r="M13" s="208">
        <f t="shared" si="17"/>
        <v>0.96499999999999997</v>
      </c>
      <c r="N13" s="208">
        <f t="shared" si="6"/>
        <v>0</v>
      </c>
      <c r="O13" s="181">
        <f t="shared" si="18"/>
        <v>10000</v>
      </c>
      <c r="P13" s="236"/>
      <c r="Q13" s="211">
        <f t="shared" si="19"/>
        <v>4.2454889062691663</v>
      </c>
      <c r="R13" s="210">
        <f t="shared" si="20"/>
        <v>42454.889062691662</v>
      </c>
      <c r="S13" s="210">
        <f t="shared" si="21"/>
        <v>2055.5608279741573</v>
      </c>
      <c r="T13" s="210">
        <f t="shared" si="22"/>
        <v>44510.449890665819</v>
      </c>
      <c r="U13" s="210">
        <f t="shared" si="7"/>
        <v>4451.0449890665823</v>
      </c>
      <c r="V13" s="210">
        <f t="shared" si="8"/>
        <v>7121.6719825065311</v>
      </c>
      <c r="W13" s="209">
        <f t="shared" si="9"/>
        <v>56083.166862238933</v>
      </c>
      <c r="X13" s="236"/>
      <c r="Y13" s="207">
        <f t="shared" si="23"/>
        <v>0</v>
      </c>
      <c r="Z13" s="206">
        <f t="shared" si="10"/>
        <v>0</v>
      </c>
      <c r="AA13" s="205">
        <f t="shared" si="24"/>
        <v>0</v>
      </c>
      <c r="AB13" s="236"/>
      <c r="AC13" s="207">
        <f t="shared" si="25"/>
        <v>56083.166862238933</v>
      </c>
      <c r="AD13" s="206">
        <f t="shared" si="11"/>
        <v>47135.745546666869</v>
      </c>
      <c r="AE13" s="204">
        <f t="shared" si="12"/>
        <v>0.45665803336443567</v>
      </c>
      <c r="AF13" s="323"/>
      <c r="AG13" s="323"/>
      <c r="AH13" s="323"/>
      <c r="AJ13" s="281">
        <f t="shared" si="26"/>
        <v>4.2454889062691663</v>
      </c>
      <c r="AK13" s="281">
        <f t="shared" si="27"/>
        <v>6.2099736849518417</v>
      </c>
      <c r="AL13" s="231"/>
      <c r="AM13" s="281">
        <f t="shared" si="28"/>
        <v>2.4772020000000001</v>
      </c>
      <c r="AN13" s="295">
        <f t="shared" si="29"/>
        <v>2.4772020000000001</v>
      </c>
      <c r="AO13" s="286">
        <f t="shared" si="30"/>
        <v>713.7</v>
      </c>
      <c r="AP13" s="287">
        <f>MAX(0,MIN($O13-SUM($AO$3:AO$3)*12,AP$3*12))*AP$4</f>
        <v>745.68</v>
      </c>
      <c r="AQ13" s="287">
        <f>MAX(0,MIN($O13-SUM($AO$3:AP$3)*12,AQ$3*12))*AQ$4</f>
        <v>0</v>
      </c>
      <c r="AR13" s="288">
        <f>MAX(0,$O13-SUM($AO$3:AQ$3)*12)*AR$4</f>
        <v>23312.639999999999</v>
      </c>
      <c r="AS13" s="305">
        <f t="shared" si="31"/>
        <v>2.4772020000000001</v>
      </c>
      <c r="AT13" s="306">
        <f t="shared" si="32"/>
        <v>713.7</v>
      </c>
      <c r="AU13" s="287">
        <f>MAX(0,MIN($O13-SUM($AT$3:AT$3)*12,AU$3*12))*AU$4</f>
        <v>745.68</v>
      </c>
      <c r="AV13" s="287">
        <f>MAX(0,MIN($O13-SUM($AT$3:AU$3)*12,AV$3*12))*AV$4</f>
        <v>0</v>
      </c>
      <c r="AW13" s="288">
        <f>MAX(0,$O13-SUM($AT$3:AV$3)*12)*AW$4</f>
        <v>23312.639999999999</v>
      </c>
      <c r="AZ13" s="305">
        <f t="shared" si="33"/>
        <v>3.6234599999999997</v>
      </c>
      <c r="BA13" s="310">
        <f t="shared" si="34"/>
        <v>1669.8</v>
      </c>
      <c r="BB13" s="51">
        <f>MAX(0,MIN($O13-SUM($BA$3:BA$3)*12,BB$3*12))*BB$4</f>
        <v>2013.6</v>
      </c>
      <c r="BC13" s="279">
        <f>MAX(0,$O13-SUM($BA$3:BB$3)*12)*BC$4</f>
        <v>32551.199999999997</v>
      </c>
    </row>
    <row r="14" spans="1:55" x14ac:dyDescent="0.15">
      <c r="A14" s="241">
        <f t="shared" si="13"/>
        <v>45658</v>
      </c>
      <c r="B14" s="242">
        <v>9</v>
      </c>
      <c r="C14" s="237">
        <f t="shared" si="0"/>
        <v>10000</v>
      </c>
      <c r="D14" s="211">
        <f t="shared" si="14"/>
        <v>8.625334779913576</v>
      </c>
      <c r="E14" s="210">
        <f t="shared" si="15"/>
        <v>86253.347799135765</v>
      </c>
      <c r="F14" s="210">
        <f t="shared" si="1"/>
        <v>2220.00569421209</v>
      </c>
      <c r="G14" s="210">
        <f t="shared" si="16"/>
        <v>88473.353493347851</v>
      </c>
      <c r="H14" s="210">
        <f t="shared" si="2"/>
        <v>8847.3353493347859</v>
      </c>
      <c r="I14" s="210">
        <f t="shared" si="3"/>
        <v>14155.736558935656</v>
      </c>
      <c r="J14" s="209">
        <f t="shared" si="4"/>
        <v>111476.4254016183</v>
      </c>
      <c r="K14" s="239"/>
      <c r="L14" s="180">
        <f t="shared" si="5"/>
        <v>0</v>
      </c>
      <c r="M14" s="208">
        <f t="shared" si="17"/>
        <v>0.96</v>
      </c>
      <c r="N14" s="208">
        <f t="shared" si="6"/>
        <v>0</v>
      </c>
      <c r="O14" s="181">
        <f t="shared" si="18"/>
        <v>10000</v>
      </c>
      <c r="P14" s="236"/>
      <c r="Q14" s="211">
        <f t="shared" si="19"/>
        <v>4.5851280187706998</v>
      </c>
      <c r="R14" s="210">
        <f t="shared" si="20"/>
        <v>45851.280187706994</v>
      </c>
      <c r="S14" s="210">
        <f t="shared" si="21"/>
        <v>2220.00569421209</v>
      </c>
      <c r="T14" s="210">
        <f t="shared" si="22"/>
        <v>48071.285881919088</v>
      </c>
      <c r="U14" s="210">
        <f t="shared" si="7"/>
        <v>4807.1285881919093</v>
      </c>
      <c r="V14" s="210">
        <f t="shared" si="8"/>
        <v>7691.4057411070544</v>
      </c>
      <c r="W14" s="209">
        <f t="shared" si="9"/>
        <v>60569.820211218052</v>
      </c>
      <c r="X14" s="236"/>
      <c r="Y14" s="207">
        <f t="shared" si="23"/>
        <v>0</v>
      </c>
      <c r="Z14" s="206">
        <f t="shared" si="10"/>
        <v>0</v>
      </c>
      <c r="AA14" s="205">
        <f t="shared" si="24"/>
        <v>0</v>
      </c>
      <c r="AB14" s="236"/>
      <c r="AC14" s="207">
        <f t="shared" si="25"/>
        <v>60569.820211218052</v>
      </c>
      <c r="AD14" s="206">
        <f t="shared" si="11"/>
        <v>50906.605190400245</v>
      </c>
      <c r="AE14" s="204">
        <f t="shared" si="12"/>
        <v>0.45665803336443578</v>
      </c>
      <c r="AF14" s="323"/>
      <c r="AG14" s="323"/>
      <c r="AH14" s="323"/>
      <c r="AJ14" s="281">
        <f t="shared" si="26"/>
        <v>4.5851280187706998</v>
      </c>
      <c r="AK14" s="281">
        <f t="shared" si="27"/>
        <v>6.706771579747989</v>
      </c>
      <c r="AL14" s="231"/>
      <c r="AM14" s="281">
        <f t="shared" si="28"/>
        <v>2.4772020000000001</v>
      </c>
      <c r="AN14" s="295">
        <f t="shared" si="29"/>
        <v>2.4772020000000001</v>
      </c>
      <c r="AO14" s="286">
        <f t="shared" si="30"/>
        <v>713.7</v>
      </c>
      <c r="AP14" s="287">
        <f>MAX(0,MIN($O14-SUM($AO$3:AO$3)*12,AP$3*12))*AP$4</f>
        <v>745.68</v>
      </c>
      <c r="AQ14" s="287">
        <f>MAX(0,MIN($O14-SUM($AO$3:AP$3)*12,AQ$3*12))*AQ$4</f>
        <v>0</v>
      </c>
      <c r="AR14" s="288">
        <f>MAX(0,$O14-SUM($AO$3:AQ$3)*12)*AR$4</f>
        <v>23312.639999999999</v>
      </c>
      <c r="AS14" s="305">
        <f t="shared" si="31"/>
        <v>2.4772020000000001</v>
      </c>
      <c r="AT14" s="306">
        <f t="shared" si="32"/>
        <v>713.7</v>
      </c>
      <c r="AU14" s="287">
        <f>MAX(0,MIN($O14-SUM($AT$3:AT$3)*12,AU$3*12))*AU$4</f>
        <v>745.68</v>
      </c>
      <c r="AV14" s="287">
        <f>MAX(0,MIN($O14-SUM($AT$3:AU$3)*12,AV$3*12))*AV$4</f>
        <v>0</v>
      </c>
      <c r="AW14" s="288">
        <f>MAX(0,$O14-SUM($AT$3:AV$3)*12)*AW$4</f>
        <v>23312.639999999999</v>
      </c>
      <c r="AZ14" s="305">
        <f t="shared" si="33"/>
        <v>3.6234599999999997</v>
      </c>
      <c r="BA14" s="310">
        <f t="shared" si="34"/>
        <v>1669.8</v>
      </c>
      <c r="BB14" s="51">
        <f>MAX(0,MIN($O14-SUM($BA$3:BA$3)*12,BB$3*12))*BB$4</f>
        <v>2013.6</v>
      </c>
      <c r="BC14" s="279">
        <f>MAX(0,$O14-SUM($BA$3:BB$3)*12)*BC$4</f>
        <v>32551.199999999997</v>
      </c>
    </row>
    <row r="15" spans="1:55" x14ac:dyDescent="0.15">
      <c r="A15" s="241">
        <f t="shared" si="13"/>
        <v>46023</v>
      </c>
      <c r="B15" s="242">
        <v>10</v>
      </c>
      <c r="C15" s="237">
        <f t="shared" si="0"/>
        <v>10000</v>
      </c>
      <c r="D15" s="211">
        <f t="shared" si="14"/>
        <v>9.3153615623066628</v>
      </c>
      <c r="E15" s="210">
        <f t="shared" si="15"/>
        <v>93153.615623066624</v>
      </c>
      <c r="F15" s="210">
        <f t="shared" si="1"/>
        <v>2397.6061497490573</v>
      </c>
      <c r="G15" s="210">
        <f t="shared" si="16"/>
        <v>95551.221772815683</v>
      </c>
      <c r="H15" s="210">
        <f t="shared" si="2"/>
        <v>9555.1221772815679</v>
      </c>
      <c r="I15" s="210">
        <f t="shared" si="3"/>
        <v>15288.19548365051</v>
      </c>
      <c r="J15" s="209">
        <f t="shared" si="4"/>
        <v>120394.53943374776</v>
      </c>
      <c r="K15" s="239"/>
      <c r="L15" s="180">
        <f t="shared" si="5"/>
        <v>0</v>
      </c>
      <c r="M15" s="208">
        <f t="shared" si="17"/>
        <v>0.95499999999999996</v>
      </c>
      <c r="N15" s="208">
        <f t="shared" si="6"/>
        <v>0</v>
      </c>
      <c r="O15" s="181">
        <f t="shared" si="18"/>
        <v>10000</v>
      </c>
      <c r="P15" s="236"/>
      <c r="Q15" s="211">
        <f t="shared" si="19"/>
        <v>4.9519382602723558</v>
      </c>
      <c r="R15" s="210">
        <f t="shared" si="20"/>
        <v>49519.382602723555</v>
      </c>
      <c r="S15" s="210">
        <f t="shared" si="21"/>
        <v>2397.6061497490573</v>
      </c>
      <c r="T15" s="210">
        <f t="shared" si="22"/>
        <v>51916.988752472615</v>
      </c>
      <c r="U15" s="210">
        <f t="shared" si="7"/>
        <v>5191.6988752472616</v>
      </c>
      <c r="V15" s="210">
        <f t="shared" si="8"/>
        <v>8306.7182003956186</v>
      </c>
      <c r="W15" s="209">
        <f t="shared" si="9"/>
        <v>65415.405828115494</v>
      </c>
      <c r="X15" s="236"/>
      <c r="Y15" s="207">
        <f t="shared" si="23"/>
        <v>0</v>
      </c>
      <c r="Z15" s="206">
        <f t="shared" si="10"/>
        <v>0</v>
      </c>
      <c r="AA15" s="205">
        <f t="shared" si="24"/>
        <v>0</v>
      </c>
      <c r="AB15" s="236"/>
      <c r="AC15" s="207">
        <f t="shared" si="25"/>
        <v>65415.405828115494</v>
      </c>
      <c r="AD15" s="206">
        <f t="shared" si="11"/>
        <v>54979.133605632269</v>
      </c>
      <c r="AE15" s="204">
        <f t="shared" si="12"/>
        <v>0.45665803336443583</v>
      </c>
      <c r="AF15" s="323"/>
      <c r="AG15" s="323"/>
      <c r="AH15" s="323"/>
      <c r="AJ15" s="281">
        <f t="shared" si="26"/>
        <v>4.9519382602723558</v>
      </c>
      <c r="AK15" s="281">
        <f t="shared" si="27"/>
        <v>7.2433133061278285</v>
      </c>
      <c r="AL15" s="231"/>
      <c r="AM15" s="281">
        <f t="shared" si="28"/>
        <v>2.4772020000000001</v>
      </c>
      <c r="AN15" s="295">
        <f t="shared" si="29"/>
        <v>2.4772020000000001</v>
      </c>
      <c r="AO15" s="286">
        <f t="shared" si="30"/>
        <v>713.7</v>
      </c>
      <c r="AP15" s="287">
        <f>MAX(0,MIN($O15-SUM($AO$3:AO$3)*12,AP$3*12))*AP$4</f>
        <v>745.68</v>
      </c>
      <c r="AQ15" s="287">
        <f>MAX(0,MIN($O15-SUM($AO$3:AP$3)*12,AQ$3*12))*AQ$4</f>
        <v>0</v>
      </c>
      <c r="AR15" s="288">
        <f>MAX(0,$O15-SUM($AO$3:AQ$3)*12)*AR$4</f>
        <v>23312.639999999999</v>
      </c>
      <c r="AS15" s="305">
        <f t="shared" si="31"/>
        <v>2.4772020000000001</v>
      </c>
      <c r="AT15" s="306">
        <f t="shared" si="32"/>
        <v>713.7</v>
      </c>
      <c r="AU15" s="287">
        <f>MAX(0,MIN($O15-SUM($AT$3:AT$3)*12,AU$3*12))*AU$4</f>
        <v>745.68</v>
      </c>
      <c r="AV15" s="287">
        <f>MAX(0,MIN($O15-SUM($AT$3:AU$3)*12,AV$3*12))*AV$4</f>
        <v>0</v>
      </c>
      <c r="AW15" s="288">
        <f>MAX(0,$O15-SUM($AT$3:AV$3)*12)*AW$4</f>
        <v>23312.639999999999</v>
      </c>
      <c r="AZ15" s="305">
        <f t="shared" si="33"/>
        <v>3.6234599999999997</v>
      </c>
      <c r="BA15" s="310">
        <f t="shared" si="34"/>
        <v>1669.8</v>
      </c>
      <c r="BB15" s="51">
        <f>MAX(0,MIN($O15-SUM($BA$3:BA$3)*12,BB$3*12))*BB$4</f>
        <v>2013.6</v>
      </c>
      <c r="BC15" s="279">
        <f>MAX(0,$O15-SUM($BA$3:BB$3)*12)*BC$4</f>
        <v>32551.199999999997</v>
      </c>
    </row>
    <row r="16" spans="1:55" x14ac:dyDescent="0.15">
      <c r="A16" s="241">
        <f t="shared" si="13"/>
        <v>46388</v>
      </c>
      <c r="B16" s="242">
        <v>11</v>
      </c>
      <c r="C16" s="237">
        <f t="shared" si="0"/>
        <v>10000</v>
      </c>
      <c r="D16" s="211">
        <f t="shared" si="14"/>
        <v>10.060590487291197</v>
      </c>
      <c r="E16" s="210">
        <f t="shared" si="15"/>
        <v>100605.90487291197</v>
      </c>
      <c r="F16" s="210">
        <f t="shared" si="1"/>
        <v>2589.4146417289817</v>
      </c>
      <c r="G16" s="210">
        <f t="shared" si="16"/>
        <v>103195.31951464096</v>
      </c>
      <c r="H16" s="210">
        <f t="shared" si="2"/>
        <v>10319.531951464096</v>
      </c>
      <c r="I16" s="210">
        <f t="shared" si="3"/>
        <v>16511.251122342554</v>
      </c>
      <c r="J16" s="209">
        <f t="shared" si="4"/>
        <v>130026.10258844761</v>
      </c>
      <c r="K16" s="239"/>
      <c r="L16" s="180">
        <f t="shared" si="5"/>
        <v>0</v>
      </c>
      <c r="M16" s="208">
        <f t="shared" si="17"/>
        <v>0.95</v>
      </c>
      <c r="N16" s="208">
        <f t="shared" si="6"/>
        <v>0</v>
      </c>
      <c r="O16" s="181">
        <f t="shared" si="18"/>
        <v>10000</v>
      </c>
      <c r="P16" s="236"/>
      <c r="Q16" s="211">
        <f t="shared" si="19"/>
        <v>5.3480933210941446</v>
      </c>
      <c r="R16" s="210">
        <f t="shared" si="20"/>
        <v>53480.933210941446</v>
      </c>
      <c r="S16" s="210">
        <f t="shared" si="21"/>
        <v>2589.4146417289817</v>
      </c>
      <c r="T16" s="210">
        <f t="shared" si="22"/>
        <v>56070.347852670428</v>
      </c>
      <c r="U16" s="210">
        <f t="shared" si="7"/>
        <v>5607.0347852670429</v>
      </c>
      <c r="V16" s="210">
        <f t="shared" si="8"/>
        <v>8971.2556564272691</v>
      </c>
      <c r="W16" s="209">
        <f t="shared" si="9"/>
        <v>70648.638294364748</v>
      </c>
      <c r="X16" s="236"/>
      <c r="Y16" s="207">
        <f t="shared" si="23"/>
        <v>0</v>
      </c>
      <c r="Z16" s="206">
        <f t="shared" si="10"/>
        <v>0</v>
      </c>
      <c r="AA16" s="205">
        <f t="shared" si="24"/>
        <v>0</v>
      </c>
      <c r="AB16" s="236"/>
      <c r="AC16" s="207">
        <f t="shared" si="25"/>
        <v>70648.638294364748</v>
      </c>
      <c r="AD16" s="206">
        <f t="shared" si="11"/>
        <v>59377.464294082863</v>
      </c>
      <c r="AE16" s="204">
        <f t="shared" si="12"/>
        <v>0.45665803336443583</v>
      </c>
      <c r="AF16" s="323"/>
      <c r="AG16" s="323"/>
      <c r="AH16" s="323"/>
      <c r="AJ16" s="281">
        <f t="shared" si="26"/>
        <v>5.3480933210941446</v>
      </c>
      <c r="AK16" s="281">
        <f t="shared" si="27"/>
        <v>7.8227783706180549</v>
      </c>
      <c r="AL16" s="231"/>
      <c r="AM16" s="281">
        <f t="shared" si="28"/>
        <v>2.4772020000000001</v>
      </c>
      <c r="AN16" s="295">
        <f t="shared" si="29"/>
        <v>2.4772020000000001</v>
      </c>
      <c r="AO16" s="286">
        <f t="shared" si="30"/>
        <v>713.7</v>
      </c>
      <c r="AP16" s="287">
        <f>MAX(0,MIN($O16-SUM($AO$3:AO$3)*12,AP$3*12))*AP$4</f>
        <v>745.68</v>
      </c>
      <c r="AQ16" s="287">
        <f>MAX(0,MIN($O16-SUM($AO$3:AP$3)*12,AQ$3*12))*AQ$4</f>
        <v>0</v>
      </c>
      <c r="AR16" s="288">
        <f>MAX(0,$O16-SUM($AO$3:AQ$3)*12)*AR$4</f>
        <v>23312.639999999999</v>
      </c>
      <c r="AS16" s="305">
        <f t="shared" si="31"/>
        <v>2.4772020000000001</v>
      </c>
      <c r="AT16" s="306">
        <f t="shared" si="32"/>
        <v>713.7</v>
      </c>
      <c r="AU16" s="287">
        <f>MAX(0,MIN($O16-SUM($AT$3:AT$3)*12,AU$3*12))*AU$4</f>
        <v>745.68</v>
      </c>
      <c r="AV16" s="287">
        <f>MAX(0,MIN($O16-SUM($AT$3:AU$3)*12,AV$3*12))*AV$4</f>
        <v>0</v>
      </c>
      <c r="AW16" s="288">
        <f>MAX(0,$O16-SUM($AT$3:AV$3)*12)*AW$4</f>
        <v>23312.639999999999</v>
      </c>
      <c r="AZ16" s="305">
        <f t="shared" si="33"/>
        <v>3.6234599999999997</v>
      </c>
      <c r="BA16" s="310">
        <f t="shared" si="34"/>
        <v>1669.8</v>
      </c>
      <c r="BB16" s="51">
        <f>MAX(0,MIN($O16-SUM($BA$3:BA$3)*12,BB$3*12))*BB$4</f>
        <v>2013.6</v>
      </c>
      <c r="BC16" s="279">
        <f>MAX(0,$O16-SUM($BA$3:BB$3)*12)*BC$4</f>
        <v>32551.199999999997</v>
      </c>
    </row>
    <row r="17" spans="1:55" x14ac:dyDescent="0.15">
      <c r="A17" s="241">
        <f t="shared" si="13"/>
        <v>46753</v>
      </c>
      <c r="B17" s="242">
        <v>12</v>
      </c>
      <c r="C17" s="237">
        <f t="shared" si="0"/>
        <v>10000</v>
      </c>
      <c r="D17" s="211">
        <f t="shared" si="14"/>
        <v>10.865437726274493</v>
      </c>
      <c r="E17" s="210">
        <f t="shared" si="15"/>
        <v>108654.37726274494</v>
      </c>
      <c r="F17" s="210">
        <f t="shared" si="1"/>
        <v>2796.5678130673004</v>
      </c>
      <c r="G17" s="210">
        <f t="shared" si="16"/>
        <v>111450.94507581224</v>
      </c>
      <c r="H17" s="210">
        <f t="shared" si="2"/>
        <v>11145.094507581225</v>
      </c>
      <c r="I17" s="210">
        <f t="shared" si="3"/>
        <v>17832.15121212996</v>
      </c>
      <c r="J17" s="209">
        <f t="shared" si="4"/>
        <v>140428.19079552341</v>
      </c>
      <c r="K17" s="239"/>
      <c r="L17" s="180">
        <f t="shared" si="5"/>
        <v>0</v>
      </c>
      <c r="M17" s="208">
        <f t="shared" si="17"/>
        <v>0.94499999999999995</v>
      </c>
      <c r="N17" s="208">
        <f t="shared" si="6"/>
        <v>0</v>
      </c>
      <c r="O17" s="181">
        <f t="shared" si="18"/>
        <v>10000</v>
      </c>
      <c r="P17" s="236"/>
      <c r="Q17" s="211">
        <f t="shared" si="19"/>
        <v>5.7759407867816766</v>
      </c>
      <c r="R17" s="210">
        <f t="shared" si="20"/>
        <v>57759.407867816764</v>
      </c>
      <c r="S17" s="210">
        <f t="shared" si="21"/>
        <v>2796.5678130673004</v>
      </c>
      <c r="T17" s="210">
        <f t="shared" si="22"/>
        <v>60555.975680884061</v>
      </c>
      <c r="U17" s="210">
        <f t="shared" si="7"/>
        <v>6055.5975680884067</v>
      </c>
      <c r="V17" s="210">
        <f t="shared" si="8"/>
        <v>9688.9561089414492</v>
      </c>
      <c r="W17" s="209">
        <f t="shared" si="9"/>
        <v>76300.529357913911</v>
      </c>
      <c r="X17" s="236"/>
      <c r="Y17" s="207">
        <f t="shared" si="23"/>
        <v>0</v>
      </c>
      <c r="Z17" s="206">
        <f t="shared" si="10"/>
        <v>0</v>
      </c>
      <c r="AA17" s="205">
        <f t="shared" si="24"/>
        <v>0</v>
      </c>
      <c r="AB17" s="236"/>
      <c r="AC17" s="207">
        <f t="shared" si="25"/>
        <v>76300.529357913911</v>
      </c>
      <c r="AD17" s="206">
        <f t="shared" si="11"/>
        <v>64127.661437609495</v>
      </c>
      <c r="AE17" s="204">
        <f t="shared" si="12"/>
        <v>0.45665803336443589</v>
      </c>
      <c r="AF17" s="323"/>
      <c r="AG17" s="323"/>
      <c r="AH17" s="323"/>
      <c r="AJ17" s="281">
        <f t="shared" si="26"/>
        <v>5.7759407867816766</v>
      </c>
      <c r="AK17" s="281">
        <f t="shared" si="27"/>
        <v>8.4486006402674985</v>
      </c>
      <c r="AL17" s="231"/>
      <c r="AM17" s="281">
        <f t="shared" si="28"/>
        <v>2.4772020000000001</v>
      </c>
      <c r="AN17" s="295">
        <f t="shared" si="29"/>
        <v>2.4772020000000001</v>
      </c>
      <c r="AO17" s="286">
        <f t="shared" si="30"/>
        <v>713.7</v>
      </c>
      <c r="AP17" s="287">
        <f>MAX(0,MIN($O17-SUM($AO$3:AO$3)*12,AP$3*12))*AP$4</f>
        <v>745.68</v>
      </c>
      <c r="AQ17" s="287">
        <f>MAX(0,MIN($O17-SUM($AO$3:AP$3)*12,AQ$3*12))*AQ$4</f>
        <v>0</v>
      </c>
      <c r="AR17" s="288">
        <f>MAX(0,$O17-SUM($AO$3:AQ$3)*12)*AR$4</f>
        <v>23312.639999999999</v>
      </c>
      <c r="AS17" s="305">
        <f t="shared" si="31"/>
        <v>2.4772020000000001</v>
      </c>
      <c r="AT17" s="306">
        <f t="shared" si="32"/>
        <v>713.7</v>
      </c>
      <c r="AU17" s="287">
        <f>MAX(0,MIN($O17-SUM($AT$3:AT$3)*12,AU$3*12))*AU$4</f>
        <v>745.68</v>
      </c>
      <c r="AV17" s="287">
        <f>MAX(0,MIN($O17-SUM($AT$3:AU$3)*12,AV$3*12))*AV$4</f>
        <v>0</v>
      </c>
      <c r="AW17" s="288">
        <f>MAX(0,$O17-SUM($AT$3:AV$3)*12)*AW$4</f>
        <v>23312.639999999999</v>
      </c>
      <c r="AZ17" s="305">
        <f t="shared" si="33"/>
        <v>3.6234599999999997</v>
      </c>
      <c r="BA17" s="310">
        <f t="shared" si="34"/>
        <v>1669.8</v>
      </c>
      <c r="BB17" s="51">
        <f>MAX(0,MIN($O17-SUM($BA$3:BA$3)*12,BB$3*12))*BB$4</f>
        <v>2013.6</v>
      </c>
      <c r="BC17" s="279">
        <f>MAX(0,$O17-SUM($BA$3:BB$3)*12)*BC$4</f>
        <v>32551.199999999997</v>
      </c>
    </row>
    <row r="18" spans="1:55" x14ac:dyDescent="0.15">
      <c r="A18" s="241">
        <f t="shared" si="13"/>
        <v>47119</v>
      </c>
      <c r="B18" s="242">
        <v>13</v>
      </c>
      <c r="C18" s="237">
        <f t="shared" si="0"/>
        <v>10000</v>
      </c>
      <c r="D18" s="211">
        <f t="shared" si="14"/>
        <v>11.734672744376454</v>
      </c>
      <c r="E18" s="210">
        <f t="shared" si="15"/>
        <v>117346.72744376454</v>
      </c>
      <c r="F18" s="210">
        <f t="shared" si="1"/>
        <v>3020.2932381126848</v>
      </c>
      <c r="G18" s="210">
        <f t="shared" si="16"/>
        <v>120367.02068187723</v>
      </c>
      <c r="H18" s="210">
        <f t="shared" si="2"/>
        <v>12036.702068187724</v>
      </c>
      <c r="I18" s="210">
        <f t="shared" si="3"/>
        <v>19258.723309100358</v>
      </c>
      <c r="J18" s="209">
        <f t="shared" si="4"/>
        <v>151662.44605916529</v>
      </c>
      <c r="K18" s="239"/>
      <c r="L18" s="180">
        <f t="shared" si="5"/>
        <v>0</v>
      </c>
      <c r="M18" s="208">
        <f t="shared" si="17"/>
        <v>0.94</v>
      </c>
      <c r="N18" s="208">
        <f t="shared" si="6"/>
        <v>0</v>
      </c>
      <c r="O18" s="181">
        <f t="shared" si="18"/>
        <v>10000</v>
      </c>
      <c r="P18" s="236"/>
      <c r="Q18" s="211">
        <f t="shared" si="19"/>
        <v>6.2380160497242105</v>
      </c>
      <c r="R18" s="210">
        <f t="shared" si="20"/>
        <v>62380.160497242105</v>
      </c>
      <c r="S18" s="210">
        <f t="shared" si="21"/>
        <v>3020.2932381126848</v>
      </c>
      <c r="T18" s="210">
        <f t="shared" si="22"/>
        <v>65400.453735354793</v>
      </c>
      <c r="U18" s="210">
        <f t="shared" si="7"/>
        <v>6540.0453735354795</v>
      </c>
      <c r="V18" s="210">
        <f t="shared" si="8"/>
        <v>10464.072597656766</v>
      </c>
      <c r="W18" s="209">
        <f t="shared" si="9"/>
        <v>82404.571706547038</v>
      </c>
      <c r="X18" s="236"/>
      <c r="Y18" s="207">
        <f t="shared" si="23"/>
        <v>0</v>
      </c>
      <c r="Z18" s="206">
        <f t="shared" si="10"/>
        <v>0</v>
      </c>
      <c r="AA18" s="205">
        <f t="shared" si="24"/>
        <v>0</v>
      </c>
      <c r="AB18" s="236"/>
      <c r="AC18" s="207">
        <f t="shared" si="25"/>
        <v>82404.571706547038</v>
      </c>
      <c r="AD18" s="206">
        <f t="shared" si="11"/>
        <v>69257.874352618252</v>
      </c>
      <c r="AE18" s="204">
        <f t="shared" si="12"/>
        <v>0.45665803336443583</v>
      </c>
      <c r="AF18" s="323"/>
      <c r="AG18" s="323"/>
      <c r="AH18" s="323"/>
      <c r="AJ18" s="281">
        <f t="shared" si="26"/>
        <v>6.2380160497242105</v>
      </c>
      <c r="AK18" s="281">
        <f t="shared" si="27"/>
        <v>9.1244886914888994</v>
      </c>
      <c r="AL18" s="231"/>
      <c r="AM18" s="281">
        <f t="shared" si="28"/>
        <v>2.4772020000000001</v>
      </c>
      <c r="AN18" s="295">
        <f t="shared" si="29"/>
        <v>2.4772020000000001</v>
      </c>
      <c r="AO18" s="286">
        <f t="shared" si="30"/>
        <v>713.7</v>
      </c>
      <c r="AP18" s="287">
        <f>MAX(0,MIN($O18-SUM($AO$3:AO$3)*12,AP$3*12))*AP$4</f>
        <v>745.68</v>
      </c>
      <c r="AQ18" s="287">
        <f>MAX(0,MIN($O18-SUM($AO$3:AP$3)*12,AQ$3*12))*AQ$4</f>
        <v>0</v>
      </c>
      <c r="AR18" s="288">
        <f>MAX(0,$O18-SUM($AO$3:AQ$3)*12)*AR$4</f>
        <v>23312.639999999999</v>
      </c>
      <c r="AS18" s="305">
        <f t="shared" si="31"/>
        <v>2.4772020000000001</v>
      </c>
      <c r="AT18" s="306">
        <f t="shared" si="32"/>
        <v>713.7</v>
      </c>
      <c r="AU18" s="287">
        <f>MAX(0,MIN($O18-SUM($AT$3:AT$3)*12,AU$3*12))*AU$4</f>
        <v>745.68</v>
      </c>
      <c r="AV18" s="287">
        <f>MAX(0,MIN($O18-SUM($AT$3:AU$3)*12,AV$3*12))*AV$4</f>
        <v>0</v>
      </c>
      <c r="AW18" s="288">
        <f>MAX(0,$O18-SUM($AT$3:AV$3)*12)*AW$4</f>
        <v>23312.639999999999</v>
      </c>
      <c r="AZ18" s="305">
        <f t="shared" si="33"/>
        <v>3.6234599999999997</v>
      </c>
      <c r="BA18" s="310">
        <f t="shared" si="34"/>
        <v>1669.8</v>
      </c>
      <c r="BB18" s="51">
        <f>MAX(0,MIN($O18-SUM($BA$3:BA$3)*12,BB$3*12))*BB$4</f>
        <v>2013.6</v>
      </c>
      <c r="BC18" s="279">
        <f>MAX(0,$O18-SUM($BA$3:BB$3)*12)*BC$4</f>
        <v>32551.199999999997</v>
      </c>
    </row>
    <row r="19" spans="1:55" x14ac:dyDescent="0.15">
      <c r="A19" s="241">
        <f t="shared" si="13"/>
        <v>47484</v>
      </c>
      <c r="B19" s="242">
        <v>14</v>
      </c>
      <c r="C19" s="237">
        <f t="shared" si="0"/>
        <v>10000</v>
      </c>
      <c r="D19" s="211">
        <f t="shared" si="14"/>
        <v>12.673446563926571</v>
      </c>
      <c r="E19" s="210">
        <f t="shared" si="15"/>
        <v>126734.46563926572</v>
      </c>
      <c r="F19" s="210">
        <f t="shared" si="1"/>
        <v>3261.9166971616992</v>
      </c>
      <c r="G19" s="210">
        <f t="shared" si="16"/>
        <v>129996.38233642741</v>
      </c>
      <c r="H19" s="210">
        <f t="shared" si="2"/>
        <v>12999.638233642741</v>
      </c>
      <c r="I19" s="210">
        <f t="shared" si="3"/>
        <v>20799.421173828388</v>
      </c>
      <c r="J19" s="209">
        <f t="shared" si="4"/>
        <v>163795.44174389855</v>
      </c>
      <c r="K19" s="239"/>
      <c r="L19" s="180">
        <f t="shared" si="5"/>
        <v>0</v>
      </c>
      <c r="M19" s="208">
        <f t="shared" si="17"/>
        <v>0.93499999999999994</v>
      </c>
      <c r="N19" s="208">
        <f t="shared" si="6"/>
        <v>0</v>
      </c>
      <c r="O19" s="181">
        <f t="shared" si="18"/>
        <v>10000</v>
      </c>
      <c r="P19" s="236"/>
      <c r="Q19" s="211">
        <f t="shared" si="19"/>
        <v>6.7370573337021478</v>
      </c>
      <c r="R19" s="210">
        <f t="shared" si="20"/>
        <v>67370.573337021473</v>
      </c>
      <c r="S19" s="210">
        <f t="shared" si="21"/>
        <v>3261.9166971616992</v>
      </c>
      <c r="T19" s="210">
        <f t="shared" si="22"/>
        <v>70632.490034183167</v>
      </c>
      <c r="U19" s="210">
        <f t="shared" si="7"/>
        <v>7063.2490034183174</v>
      </c>
      <c r="V19" s="210">
        <f t="shared" si="8"/>
        <v>11301.198405469308</v>
      </c>
      <c r="W19" s="209">
        <f t="shared" si="9"/>
        <v>88996.937443070783</v>
      </c>
      <c r="X19" s="236"/>
      <c r="Y19" s="207">
        <f t="shared" si="23"/>
        <v>0</v>
      </c>
      <c r="Z19" s="206">
        <f t="shared" si="10"/>
        <v>0</v>
      </c>
      <c r="AA19" s="205">
        <f t="shared" si="24"/>
        <v>0</v>
      </c>
      <c r="AB19" s="236"/>
      <c r="AC19" s="207">
        <f t="shared" si="25"/>
        <v>88996.937443070783</v>
      </c>
      <c r="AD19" s="206">
        <f t="shared" si="11"/>
        <v>74798.504300827772</v>
      </c>
      <c r="AE19" s="204">
        <f t="shared" si="12"/>
        <v>0.45665803336443606</v>
      </c>
      <c r="AF19" s="323"/>
      <c r="AG19" s="323"/>
      <c r="AH19" s="323"/>
      <c r="AJ19" s="281">
        <f t="shared" si="26"/>
        <v>6.7370573337021478</v>
      </c>
      <c r="AK19" s="281">
        <f t="shared" si="27"/>
        <v>9.8544477868080111</v>
      </c>
      <c r="AL19" s="231"/>
      <c r="AM19" s="281">
        <f t="shared" si="28"/>
        <v>2.4772020000000001</v>
      </c>
      <c r="AN19" s="295">
        <f t="shared" si="29"/>
        <v>2.4772020000000001</v>
      </c>
      <c r="AO19" s="286">
        <f t="shared" si="30"/>
        <v>713.7</v>
      </c>
      <c r="AP19" s="287">
        <f>MAX(0,MIN($O19-SUM($AO$3:AO$3)*12,AP$3*12))*AP$4</f>
        <v>745.68</v>
      </c>
      <c r="AQ19" s="287">
        <f>MAX(0,MIN($O19-SUM($AO$3:AP$3)*12,AQ$3*12))*AQ$4</f>
        <v>0</v>
      </c>
      <c r="AR19" s="288">
        <f>MAX(0,$O19-SUM($AO$3:AQ$3)*12)*AR$4</f>
        <v>23312.639999999999</v>
      </c>
      <c r="AS19" s="305">
        <f t="shared" si="31"/>
        <v>2.4772020000000001</v>
      </c>
      <c r="AT19" s="306">
        <f t="shared" si="32"/>
        <v>713.7</v>
      </c>
      <c r="AU19" s="287">
        <f>MAX(0,MIN($O19-SUM($AT$3:AT$3)*12,AU$3*12))*AU$4</f>
        <v>745.68</v>
      </c>
      <c r="AV19" s="287">
        <f>MAX(0,MIN($O19-SUM($AT$3:AU$3)*12,AV$3*12))*AV$4</f>
        <v>0</v>
      </c>
      <c r="AW19" s="288">
        <f>MAX(0,$O19-SUM($AT$3:AV$3)*12)*AW$4</f>
        <v>23312.639999999999</v>
      </c>
      <c r="AZ19" s="305">
        <f t="shared" si="33"/>
        <v>3.6234599999999997</v>
      </c>
      <c r="BA19" s="310">
        <f t="shared" si="34"/>
        <v>1669.8</v>
      </c>
      <c r="BB19" s="51">
        <f>MAX(0,MIN($O19-SUM($BA$3:BA$3)*12,BB$3*12))*BB$4</f>
        <v>2013.6</v>
      </c>
      <c r="BC19" s="279">
        <f>MAX(0,$O19-SUM($BA$3:BB$3)*12)*BC$4</f>
        <v>32551.199999999997</v>
      </c>
    </row>
    <row r="20" spans="1:55" x14ac:dyDescent="0.15">
      <c r="A20" s="241">
        <f t="shared" si="13"/>
        <v>47849</v>
      </c>
      <c r="B20" s="242">
        <v>15</v>
      </c>
      <c r="C20" s="237">
        <f t="shared" si="0"/>
        <v>10000</v>
      </c>
      <c r="D20" s="203">
        <f t="shared" si="14"/>
        <v>13.687322289040699</v>
      </c>
      <c r="E20" s="202">
        <f t="shared" si="15"/>
        <v>136873.22289040699</v>
      </c>
      <c r="F20" s="202">
        <f t="shared" si="1"/>
        <v>3522.8700329346357</v>
      </c>
      <c r="G20" s="202">
        <f t="shared" si="16"/>
        <v>140396.09292334164</v>
      </c>
      <c r="H20" s="202">
        <f t="shared" si="2"/>
        <v>14039.609292334164</v>
      </c>
      <c r="I20" s="202">
        <f t="shared" si="3"/>
        <v>22463.374867734663</v>
      </c>
      <c r="J20" s="201">
        <f t="shared" si="4"/>
        <v>176899.07708341046</v>
      </c>
      <c r="K20" s="239"/>
      <c r="L20" s="182">
        <f t="shared" si="5"/>
        <v>0</v>
      </c>
      <c r="M20" s="200">
        <f t="shared" si="17"/>
        <v>0.92999999999999994</v>
      </c>
      <c r="N20" s="200">
        <f t="shared" si="6"/>
        <v>0</v>
      </c>
      <c r="O20" s="183">
        <f t="shared" si="18"/>
        <v>10000</v>
      </c>
      <c r="P20" s="236"/>
      <c r="Q20" s="203">
        <f t="shared" si="19"/>
        <v>7.2760219203983212</v>
      </c>
      <c r="R20" s="202">
        <f t="shared" si="20"/>
        <v>72760.219203983215</v>
      </c>
      <c r="S20" s="202">
        <f t="shared" si="21"/>
        <v>3522.8700329346357</v>
      </c>
      <c r="T20" s="202">
        <f t="shared" si="22"/>
        <v>76283.089236917847</v>
      </c>
      <c r="U20" s="202">
        <f t="shared" si="7"/>
        <v>7628.3089236917849</v>
      </c>
      <c r="V20" s="202">
        <f t="shared" si="8"/>
        <v>12205.294277906856</v>
      </c>
      <c r="W20" s="201">
        <f t="shared" si="9"/>
        <v>96116.692438516489</v>
      </c>
      <c r="X20" s="236"/>
      <c r="Y20" s="199">
        <f t="shared" si="23"/>
        <v>0</v>
      </c>
      <c r="Z20" s="198">
        <f t="shared" si="10"/>
        <v>0</v>
      </c>
      <c r="AA20" s="197">
        <f t="shared" si="24"/>
        <v>0</v>
      </c>
      <c r="AB20" s="236"/>
      <c r="AC20" s="199">
        <f t="shared" si="25"/>
        <v>96116.692438516489</v>
      </c>
      <c r="AD20" s="198">
        <f t="shared" si="11"/>
        <v>80782.384644893973</v>
      </c>
      <c r="AE20" s="196">
        <f t="shared" si="12"/>
        <v>0.45665803336443589</v>
      </c>
      <c r="AF20" s="323"/>
      <c r="AG20" s="323"/>
      <c r="AH20" s="323"/>
      <c r="AJ20" s="281">
        <f t="shared" si="26"/>
        <v>7.2760219203983212</v>
      </c>
      <c r="AK20" s="281">
        <f t="shared" si="27"/>
        <v>10.642803609752654</v>
      </c>
      <c r="AL20" s="231"/>
      <c r="AM20" s="281">
        <f t="shared" si="28"/>
        <v>2.4772020000000001</v>
      </c>
      <c r="AN20" s="296">
        <f t="shared" si="29"/>
        <v>2.4772020000000001</v>
      </c>
      <c r="AO20" s="289">
        <f t="shared" si="30"/>
        <v>713.7</v>
      </c>
      <c r="AP20" s="290">
        <f>MAX(0,MIN($O20-SUM($AO$3:AO$3)*12,AP$3*12))*AP$4</f>
        <v>745.68</v>
      </c>
      <c r="AQ20" s="290">
        <f>MAX(0,MIN($O20-SUM($AO$3:AP$3)*12,AQ$3*12))*AQ$4</f>
        <v>0</v>
      </c>
      <c r="AR20" s="291">
        <f>MAX(0,$O20-SUM($AO$3:AQ$3)*12)*AR$4</f>
        <v>23312.639999999999</v>
      </c>
      <c r="AS20" s="307">
        <f t="shared" si="31"/>
        <v>2.4772020000000001</v>
      </c>
      <c r="AT20" s="308">
        <f t="shared" si="32"/>
        <v>713.7</v>
      </c>
      <c r="AU20" s="290">
        <f>MAX(0,MIN($O20-SUM($AT$3:AT$3)*12,AU$3*12))*AU$4</f>
        <v>745.68</v>
      </c>
      <c r="AV20" s="290">
        <f>MAX(0,MIN($O20-SUM($AT$3:AU$3)*12,AV$3*12))*AV$4</f>
        <v>0</v>
      </c>
      <c r="AW20" s="291">
        <f>MAX(0,$O20-SUM($AT$3:AV$3)*12)*AW$4</f>
        <v>23312.639999999999</v>
      </c>
      <c r="AZ20" s="307">
        <f t="shared" si="33"/>
        <v>3.6234599999999997</v>
      </c>
      <c r="BA20" s="311">
        <f t="shared" si="34"/>
        <v>1669.8</v>
      </c>
      <c r="BB20" s="60">
        <f>MAX(0,MIN($O20-SUM($BA$3:BA$3)*12,BB$3*12))*BB$4</f>
        <v>2013.6</v>
      </c>
      <c r="BC20" s="280">
        <f>MAX(0,$O20-SUM($BA$3:BB$3)*12)*BC$4</f>
        <v>32551.199999999997</v>
      </c>
    </row>
  </sheetData>
  <sheetProtection selectLockedCells="1" selectUnlockedCells="1"/>
  <mergeCells count="11">
    <mergeCell ref="AM2:AM3"/>
    <mergeCell ref="AJ2:AK3"/>
    <mergeCell ref="AZ1:BC1"/>
    <mergeCell ref="D1:J1"/>
    <mergeCell ref="L1:O1"/>
    <mergeCell ref="Q1:W1"/>
    <mergeCell ref="Y1:AA1"/>
    <mergeCell ref="AC1:AE1"/>
    <mergeCell ref="AG1:AH1"/>
    <mergeCell ref="AN1:AR1"/>
    <mergeCell ref="AS1:AW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65"/>
  <sheetViews>
    <sheetView workbookViewId="0">
      <pane xSplit="1" ySplit="1" topLeftCell="B2" activePane="bottomRight" state="frozen"/>
      <selection sqref="A1:O10"/>
      <selection pane="topRight" sqref="A1:O10"/>
      <selection pane="bottomLeft" sqref="A1:O10"/>
      <selection pane="bottomRight" activeCell="B2" sqref="B2"/>
    </sheetView>
  </sheetViews>
  <sheetFormatPr defaultRowHeight="10.5" x14ac:dyDescent="0.15"/>
  <cols>
    <col min="1" max="1" width="26" style="32" customWidth="1"/>
    <col min="2" max="2" width="31.28515625" style="32" bestFit="1" customWidth="1"/>
    <col min="3" max="3" width="23.85546875" style="32" bestFit="1" customWidth="1"/>
    <col min="4" max="4" width="11.7109375" style="32" bestFit="1" customWidth="1"/>
    <col min="5" max="5" width="7.85546875" style="32" bestFit="1" customWidth="1"/>
    <col min="6" max="6" width="12.5703125" style="32" bestFit="1" customWidth="1"/>
    <col min="7" max="7" width="31" style="32" customWidth="1"/>
    <col min="8" max="8" width="7.5703125" style="231" bestFit="1" customWidth="1"/>
    <col min="9" max="9" width="12.42578125" style="231" bestFit="1" customWidth="1"/>
    <col min="10" max="10" width="15.85546875" style="76" bestFit="1" customWidth="1"/>
    <col min="11" max="11" width="12.28515625" style="76" bestFit="1" customWidth="1"/>
    <col min="12" max="12" width="12.85546875" style="32" bestFit="1" customWidth="1"/>
    <col min="13" max="13" width="16.28515625" style="32" bestFit="1" customWidth="1"/>
    <col min="14" max="14" width="13.85546875" style="32" bestFit="1" customWidth="1"/>
    <col min="15" max="15" width="9.140625" style="76"/>
    <col min="16" max="16" width="2" style="231" bestFit="1" customWidth="1"/>
    <col min="17" max="17" width="3" style="231" bestFit="1" customWidth="1"/>
    <col min="18" max="18" width="19.140625" style="32" bestFit="1" customWidth="1"/>
    <col min="19" max="19" width="11.7109375" style="32" bestFit="1" customWidth="1"/>
    <col min="20" max="20" width="20.140625" style="32" bestFit="1" customWidth="1"/>
    <col min="21" max="21" width="6" style="32" bestFit="1" customWidth="1"/>
    <col min="22" max="22" width="8.7109375" style="32" bestFit="1" customWidth="1"/>
    <col min="23" max="16384" width="9.140625" style="32"/>
  </cols>
  <sheetData>
    <row r="1" spans="1:24" x14ac:dyDescent="0.15">
      <c r="A1" s="34" t="s">
        <v>88</v>
      </c>
      <c r="B1" s="34" t="s">
        <v>163</v>
      </c>
      <c r="C1" s="34" t="s">
        <v>89</v>
      </c>
      <c r="D1" s="33" t="s">
        <v>79</v>
      </c>
      <c r="E1" s="33" t="s">
        <v>85</v>
      </c>
      <c r="F1" s="34" t="s">
        <v>86</v>
      </c>
      <c r="G1" s="34" t="s">
        <v>87</v>
      </c>
      <c r="H1" s="232"/>
      <c r="I1" s="232"/>
      <c r="J1" s="34"/>
      <c r="K1" s="34"/>
      <c r="L1" s="37" t="s">
        <v>289</v>
      </c>
      <c r="M1" s="34" t="s">
        <v>290</v>
      </c>
      <c r="N1" s="101" t="s">
        <v>227</v>
      </c>
      <c r="R1" s="231"/>
      <c r="S1" s="231"/>
      <c r="T1" s="109" t="s">
        <v>255</v>
      </c>
      <c r="U1" s="32" t="s">
        <v>163</v>
      </c>
      <c r="V1" s="32" t="s">
        <v>89</v>
      </c>
      <c r="W1" s="32" t="s">
        <v>181</v>
      </c>
      <c r="X1" s="32" t="s">
        <v>79</v>
      </c>
    </row>
    <row r="2" spans="1:24" x14ac:dyDescent="0.15">
      <c r="A2" s="32" t="str">
        <f>B2&amp;IF(C2="","","_"&amp;C2)</f>
        <v>Trina Solar_TSM-270PA05A</v>
      </c>
      <c r="B2" s="32" t="s">
        <v>235</v>
      </c>
      <c r="C2" s="32" t="s">
        <v>219</v>
      </c>
      <c r="D2" s="102">
        <f>N2*(1+Inputs_MySOL!$B$23)*L2</f>
        <v>110.22749999999999</v>
      </c>
      <c r="E2" s="35">
        <f t="shared" ref="E2:E7" si="0">D2/L2</f>
        <v>0.40824999999999995</v>
      </c>
      <c r="F2" s="32" t="s">
        <v>91</v>
      </c>
      <c r="G2" s="32" t="s">
        <v>92</v>
      </c>
      <c r="L2" s="32">
        <v>270</v>
      </c>
      <c r="M2" s="77">
        <v>247.9</v>
      </c>
      <c r="N2" s="32">
        <v>0.35499999999999998</v>
      </c>
      <c r="O2" s="103" t="s">
        <v>452</v>
      </c>
      <c r="P2" s="103"/>
      <c r="Q2" s="103"/>
      <c r="R2" s="103"/>
      <c r="S2" s="103"/>
      <c r="U2" s="32" t="s">
        <v>90</v>
      </c>
      <c r="V2" s="32" t="s">
        <v>219</v>
      </c>
      <c r="W2" s="32">
        <v>247.9</v>
      </c>
      <c r="X2" s="32">
        <v>124.2</v>
      </c>
    </row>
    <row r="3" spans="1:24" x14ac:dyDescent="0.15">
      <c r="A3" s="32" t="str">
        <f t="shared" ref="A3:A12" si="1">B3&amp;IF(C3="","","_"&amp;C3)</f>
        <v>Trina Solar _TSM-320PD14</v>
      </c>
      <c r="B3" s="32" t="s">
        <v>233</v>
      </c>
      <c r="C3" s="32" t="s">
        <v>234</v>
      </c>
      <c r="D3" s="102">
        <f>N3*(1+Inputs_MySOL!$B$23)*L3</f>
        <v>130.63999999999999</v>
      </c>
      <c r="E3" s="35">
        <f t="shared" si="0"/>
        <v>0.40824999999999995</v>
      </c>
      <c r="F3" s="32" t="s">
        <v>91</v>
      </c>
      <c r="G3" s="32" t="s">
        <v>92</v>
      </c>
      <c r="L3" s="32">
        <v>320</v>
      </c>
      <c r="M3" s="77">
        <v>292</v>
      </c>
      <c r="N3" s="76">
        <v>0.35499999999999998</v>
      </c>
      <c r="O3" s="103" t="s">
        <v>454</v>
      </c>
      <c r="P3" s="103"/>
      <c r="Q3" s="103"/>
      <c r="R3" s="103"/>
      <c r="S3" s="103"/>
      <c r="U3" s="32" t="s">
        <v>90</v>
      </c>
      <c r="V3" s="32" t="s">
        <v>93</v>
      </c>
      <c r="W3" s="32">
        <v>292</v>
      </c>
      <c r="X3" s="32">
        <v>147.20000000000002</v>
      </c>
    </row>
    <row r="4" spans="1:24" x14ac:dyDescent="0.15">
      <c r="A4" s="32" t="str">
        <f t="shared" si="1"/>
        <v>Canadian Solar_CS6P-270P</v>
      </c>
      <c r="B4" s="32" t="s">
        <v>236</v>
      </c>
      <c r="C4" s="32" t="s">
        <v>220</v>
      </c>
      <c r="D4" s="35">
        <v>132.30000000000001</v>
      </c>
      <c r="E4" s="35">
        <f t="shared" si="0"/>
        <v>0.49000000000000005</v>
      </c>
      <c r="F4" s="32" t="s">
        <v>95</v>
      </c>
      <c r="G4" s="32" t="s">
        <v>96</v>
      </c>
      <c r="L4" s="32">
        <v>270</v>
      </c>
      <c r="M4" s="77">
        <v>247.1</v>
      </c>
      <c r="O4" s="103"/>
      <c r="P4" s="103"/>
      <c r="Q4" s="103"/>
      <c r="R4" s="103"/>
      <c r="S4" s="103"/>
      <c r="U4" s="32" t="s">
        <v>94</v>
      </c>
      <c r="V4" s="32" t="s">
        <v>220</v>
      </c>
      <c r="W4" s="32">
        <v>247.1</v>
      </c>
      <c r="X4" s="32">
        <v>132.30000000000001</v>
      </c>
    </row>
    <row r="5" spans="1:24" x14ac:dyDescent="0.15">
      <c r="A5" s="32" t="str">
        <f t="shared" si="1"/>
        <v>Canadian Solar_CS6X-320PN</v>
      </c>
      <c r="B5" s="32" t="s">
        <v>236</v>
      </c>
      <c r="C5" s="32" t="s">
        <v>237</v>
      </c>
      <c r="D5" s="35">
        <v>156.80000000000001</v>
      </c>
      <c r="E5" s="35">
        <f t="shared" si="0"/>
        <v>0.49000000000000005</v>
      </c>
      <c r="F5" s="32" t="s">
        <v>95</v>
      </c>
      <c r="L5" s="32">
        <v>320</v>
      </c>
      <c r="M5" s="77">
        <v>292.8</v>
      </c>
      <c r="O5" s="103"/>
      <c r="P5" s="103"/>
      <c r="Q5" s="103"/>
      <c r="R5" s="103"/>
      <c r="S5" s="103"/>
      <c r="U5" s="32" t="s">
        <v>94</v>
      </c>
      <c r="V5" s="32" t="s">
        <v>221</v>
      </c>
      <c r="W5" s="32">
        <v>292.8</v>
      </c>
      <c r="X5" s="32">
        <v>156.80000000000001</v>
      </c>
    </row>
    <row r="6" spans="1:24" x14ac:dyDescent="0.15">
      <c r="A6" s="32" t="str">
        <f t="shared" si="1"/>
        <v>GCL System Integration Technology_GCL-P6/60270</v>
      </c>
      <c r="B6" s="32" t="s">
        <v>238</v>
      </c>
      <c r="C6" s="32" t="s">
        <v>239</v>
      </c>
      <c r="D6" s="35">
        <v>126.89999999999999</v>
      </c>
      <c r="E6" s="35">
        <f t="shared" si="0"/>
        <v>0.47</v>
      </c>
      <c r="F6" s="32" t="s">
        <v>95</v>
      </c>
      <c r="L6" s="32">
        <v>270</v>
      </c>
      <c r="M6" s="77">
        <v>244.6</v>
      </c>
      <c r="O6" s="103"/>
      <c r="P6" s="103"/>
      <c r="Q6" s="103"/>
      <c r="R6" s="103"/>
      <c r="S6" s="103"/>
      <c r="U6" s="32" t="s">
        <v>97</v>
      </c>
      <c r="V6" s="32" t="s">
        <v>231</v>
      </c>
      <c r="W6" s="32">
        <v>244.4</v>
      </c>
      <c r="X6" s="32">
        <v>126.89999999999999</v>
      </c>
    </row>
    <row r="7" spans="1:24" x14ac:dyDescent="0.15">
      <c r="A7" s="32" t="str">
        <f t="shared" si="1"/>
        <v>GCL System Integration Technology_GCL-P6/72320</v>
      </c>
      <c r="B7" s="32" t="s">
        <v>238</v>
      </c>
      <c r="C7" s="76" t="s">
        <v>240</v>
      </c>
      <c r="D7" s="35">
        <v>150.39999999999998</v>
      </c>
      <c r="E7" s="35">
        <f t="shared" si="0"/>
        <v>0.46999999999999992</v>
      </c>
      <c r="F7" s="32" t="s">
        <v>95</v>
      </c>
      <c r="L7" s="32">
        <v>320</v>
      </c>
      <c r="M7" s="77">
        <v>289.8</v>
      </c>
      <c r="O7" s="72"/>
      <c r="P7" s="72"/>
      <c r="Q7" s="72"/>
      <c r="R7" s="72"/>
      <c r="S7" s="72"/>
      <c r="U7" s="32" t="s">
        <v>97</v>
      </c>
      <c r="V7" s="32" t="s">
        <v>230</v>
      </c>
      <c r="X7" s="32">
        <v>150.39999999999998</v>
      </c>
    </row>
    <row r="8" spans="1:24" x14ac:dyDescent="0.15">
      <c r="A8" s="32" t="str">
        <f t="shared" si="1"/>
        <v>ET Solar</v>
      </c>
      <c r="B8" s="32" t="s">
        <v>98</v>
      </c>
      <c r="D8" s="35">
        <v>0</v>
      </c>
      <c r="E8" s="35"/>
      <c r="M8" s="77" t="s">
        <v>260</v>
      </c>
      <c r="R8" s="231"/>
      <c r="S8" s="231"/>
      <c r="U8" s="32" t="s">
        <v>98</v>
      </c>
      <c r="X8" s="32">
        <v>0</v>
      </c>
    </row>
    <row r="9" spans="1:24" x14ac:dyDescent="0.15">
      <c r="A9" s="32" t="str">
        <f t="shared" si="1"/>
        <v>Recom_RCM-325-6PA</v>
      </c>
      <c r="B9" s="32" t="s">
        <v>99</v>
      </c>
      <c r="C9" s="32" t="s">
        <v>222</v>
      </c>
      <c r="D9" s="35">
        <v>146.25</v>
      </c>
      <c r="E9" s="35">
        <f>D9/L9</f>
        <v>0.45</v>
      </c>
      <c r="F9" s="32" t="s">
        <v>95</v>
      </c>
      <c r="G9" s="32" t="s">
        <v>100</v>
      </c>
      <c r="L9" s="32">
        <v>325</v>
      </c>
      <c r="M9" s="77">
        <v>295.89999999999998</v>
      </c>
      <c r="R9" s="231"/>
      <c r="S9" s="231"/>
      <c r="U9" s="32" t="s">
        <v>99</v>
      </c>
      <c r="V9" s="32" t="s">
        <v>222</v>
      </c>
      <c r="W9" s="32">
        <v>294.8</v>
      </c>
      <c r="X9" s="32">
        <v>146.25</v>
      </c>
    </row>
    <row r="10" spans="1:24" x14ac:dyDescent="0.15">
      <c r="A10" s="32" t="str">
        <f t="shared" si="1"/>
        <v>Jinko</v>
      </c>
      <c r="B10" s="32" t="s">
        <v>101</v>
      </c>
      <c r="D10" s="35">
        <v>0</v>
      </c>
      <c r="E10" s="35">
        <v>0.49</v>
      </c>
      <c r="M10" s="77" t="s">
        <v>260</v>
      </c>
      <c r="R10" s="231"/>
      <c r="S10" s="231"/>
      <c r="U10" s="32" t="s">
        <v>101</v>
      </c>
      <c r="X10" s="32">
        <v>0</v>
      </c>
    </row>
    <row r="11" spans="1:24" x14ac:dyDescent="0.15">
      <c r="A11" s="32" t="str">
        <f t="shared" si="1"/>
        <v>JA Solar</v>
      </c>
      <c r="B11" s="32" t="s">
        <v>102</v>
      </c>
      <c r="D11" s="35">
        <v>0</v>
      </c>
      <c r="E11" s="35">
        <v>0.49</v>
      </c>
      <c r="M11" s="77" t="s">
        <v>260</v>
      </c>
      <c r="R11" s="231"/>
      <c r="S11" s="231"/>
      <c r="U11" s="32" t="s">
        <v>102</v>
      </c>
      <c r="X11" s="32">
        <v>0</v>
      </c>
    </row>
    <row r="12" spans="1:24" x14ac:dyDescent="0.15">
      <c r="A12" s="32" t="str">
        <f t="shared" si="1"/>
        <v>Sunpreme_SNPM-GxB-310</v>
      </c>
      <c r="B12" s="32" t="s">
        <v>241</v>
      </c>
      <c r="C12" s="32" t="s">
        <v>242</v>
      </c>
      <c r="D12" s="35">
        <v>0</v>
      </c>
      <c r="E12" s="35">
        <f>D12/L12</f>
        <v>0</v>
      </c>
      <c r="F12" s="32" t="s">
        <v>91</v>
      </c>
      <c r="L12" s="32">
        <v>310</v>
      </c>
      <c r="M12" s="77">
        <v>292.5</v>
      </c>
      <c r="R12" s="231"/>
      <c r="S12" s="231"/>
      <c r="U12" s="32" t="s">
        <v>103</v>
      </c>
      <c r="V12" s="32" t="s">
        <v>223</v>
      </c>
      <c r="W12" s="32">
        <v>292.5</v>
      </c>
      <c r="X12" s="32">
        <v>0</v>
      </c>
    </row>
    <row r="13" spans="1:24" x14ac:dyDescent="0.15">
      <c r="D13" s="35"/>
      <c r="E13" s="35"/>
    </row>
    <row r="14" spans="1:24" x14ac:dyDescent="0.15">
      <c r="A14" s="34" t="s">
        <v>164</v>
      </c>
      <c r="B14" s="34" t="s">
        <v>163</v>
      </c>
      <c r="C14" s="34" t="s">
        <v>89</v>
      </c>
      <c r="D14" s="33" t="s">
        <v>79</v>
      </c>
      <c r="E14" s="33" t="s">
        <v>85</v>
      </c>
      <c r="F14" s="34" t="s">
        <v>86</v>
      </c>
      <c r="G14" s="34" t="s">
        <v>87</v>
      </c>
      <c r="H14" s="232"/>
      <c r="I14" s="232"/>
      <c r="J14" s="34"/>
      <c r="K14" s="34"/>
      <c r="L14" s="37" t="s">
        <v>84</v>
      </c>
    </row>
    <row r="15" spans="1:24" x14ac:dyDescent="0.15">
      <c r="A15" s="32" t="str">
        <f t="shared" ref="A15:A23" si="2">B15&amp;IF(C15="","","_"&amp;C15)</f>
        <v>SolarEdge_P300</v>
      </c>
      <c r="B15" s="32" t="s">
        <v>104</v>
      </c>
      <c r="C15" s="32" t="s">
        <v>6</v>
      </c>
      <c r="D15" s="35">
        <v>43.52</v>
      </c>
      <c r="E15" s="36">
        <v>0.14506666666666668</v>
      </c>
      <c r="F15" s="32" t="s">
        <v>95</v>
      </c>
      <c r="L15" s="32">
        <v>300</v>
      </c>
      <c r="P15" s="231">
        <v>1</v>
      </c>
      <c r="Q15" s="231">
        <f>MATCH("SolarEdge_P300",A:A,0)</f>
        <v>15</v>
      </c>
      <c r="R15" s="231" t="str">
        <f>"Components!A"&amp;Q15&amp;":A"&amp;Q17-1</f>
        <v>Components!A15:A16</v>
      </c>
    </row>
    <row r="16" spans="1:24" x14ac:dyDescent="0.15">
      <c r="A16" s="32" t="str">
        <f t="shared" si="2"/>
        <v>SolarEdge_P400</v>
      </c>
      <c r="B16" s="32" t="s">
        <v>104</v>
      </c>
      <c r="C16" s="32" t="s">
        <v>105</v>
      </c>
      <c r="D16" s="35">
        <v>49.98</v>
      </c>
      <c r="E16" s="36">
        <v>0.12494999999999999</v>
      </c>
      <c r="F16" s="32" t="s">
        <v>95</v>
      </c>
      <c r="L16" s="32">
        <v>400</v>
      </c>
      <c r="P16" s="231">
        <v>2</v>
      </c>
      <c r="R16" s="231" t="str">
        <f>R15</f>
        <v>Components!A15:A16</v>
      </c>
    </row>
    <row r="17" spans="1:18" x14ac:dyDescent="0.15">
      <c r="A17" s="32" t="str">
        <f t="shared" si="2"/>
        <v>SolarEdge_P600</v>
      </c>
      <c r="B17" s="32" t="s">
        <v>104</v>
      </c>
      <c r="C17" s="32" t="s">
        <v>106</v>
      </c>
      <c r="D17" s="35">
        <v>62.59</v>
      </c>
      <c r="E17" s="36">
        <v>0.10431666666666667</v>
      </c>
      <c r="F17" s="32" t="s">
        <v>95</v>
      </c>
      <c r="L17" s="32">
        <v>600</v>
      </c>
      <c r="P17" s="231">
        <v>3</v>
      </c>
      <c r="Q17" s="231">
        <f>MATCH("SolarEdge_P600",A:A,0)</f>
        <v>17</v>
      </c>
      <c r="R17" s="231" t="str">
        <f t="shared" ref="R17" si="3">"Components!A"&amp;Q17&amp;":A"&amp;Q18-1</f>
        <v>Components!A17:A18</v>
      </c>
    </row>
    <row r="18" spans="1:18" x14ac:dyDescent="0.15">
      <c r="A18" s="32" t="str">
        <f t="shared" si="2"/>
        <v>SolarEdge_P700</v>
      </c>
      <c r="B18" s="32" t="s">
        <v>104</v>
      </c>
      <c r="C18" s="32" t="s">
        <v>107</v>
      </c>
      <c r="D18" s="35">
        <v>68.88</v>
      </c>
      <c r="E18" s="36">
        <v>9.8399999999999987E-2</v>
      </c>
      <c r="F18" s="32" t="s">
        <v>95</v>
      </c>
      <c r="L18" s="32">
        <v>700</v>
      </c>
      <c r="Q18" s="231">
        <v>19</v>
      </c>
      <c r="R18" s="231"/>
    </row>
    <row r="19" spans="1:18" x14ac:dyDescent="0.15">
      <c r="A19" s="32" t="str">
        <f t="shared" si="2"/>
        <v>Tigo_TS4-D</v>
      </c>
      <c r="B19" s="32" t="s">
        <v>108</v>
      </c>
      <c r="C19" s="32" t="s">
        <v>109</v>
      </c>
      <c r="D19" s="35">
        <v>0</v>
      </c>
      <c r="E19" s="36">
        <v>0</v>
      </c>
      <c r="F19" s="32" t="s">
        <v>91</v>
      </c>
      <c r="G19" s="32" t="s">
        <v>110</v>
      </c>
      <c r="L19" s="32">
        <v>280</v>
      </c>
    </row>
    <row r="20" spans="1:18" x14ac:dyDescent="0.15">
      <c r="A20" s="32" t="str">
        <f t="shared" si="2"/>
        <v>Tigo_TS4-M</v>
      </c>
      <c r="B20" s="32" t="s">
        <v>108</v>
      </c>
      <c r="C20" s="32" t="s">
        <v>111</v>
      </c>
      <c r="D20" s="35">
        <v>16</v>
      </c>
      <c r="E20" s="36">
        <v>5.7142857142857141E-2</v>
      </c>
      <c r="F20" s="32" t="s">
        <v>91</v>
      </c>
      <c r="G20" s="32" t="s">
        <v>112</v>
      </c>
      <c r="L20" s="32">
        <v>280</v>
      </c>
    </row>
    <row r="21" spans="1:18" x14ac:dyDescent="0.15">
      <c r="A21" s="32" t="str">
        <f t="shared" si="2"/>
        <v>Tigo_TS4-S</v>
      </c>
      <c r="B21" s="32" t="s">
        <v>108</v>
      </c>
      <c r="C21" s="32" t="s">
        <v>113</v>
      </c>
      <c r="D21" s="35">
        <v>26.88</v>
      </c>
      <c r="E21" s="36">
        <v>9.6000000000000002E-2</v>
      </c>
      <c r="F21" s="32" t="s">
        <v>91</v>
      </c>
      <c r="G21" s="32" t="s">
        <v>114</v>
      </c>
      <c r="L21" s="32">
        <v>280</v>
      </c>
    </row>
    <row r="22" spans="1:18" x14ac:dyDescent="0.15">
      <c r="A22" s="32" t="str">
        <f t="shared" si="2"/>
        <v>Tigo_TS4-O</v>
      </c>
      <c r="B22" s="32" t="s">
        <v>108</v>
      </c>
      <c r="C22" s="32" t="s">
        <v>115</v>
      </c>
      <c r="D22" s="35">
        <v>34.56</v>
      </c>
      <c r="E22" s="36">
        <v>0.12342857142857144</v>
      </c>
      <c r="F22" s="32" t="s">
        <v>91</v>
      </c>
      <c r="G22" s="32" t="s">
        <v>116</v>
      </c>
      <c r="L22" s="32">
        <v>280</v>
      </c>
    </row>
    <row r="23" spans="1:18" x14ac:dyDescent="0.15">
      <c r="A23" s="32" t="str">
        <f t="shared" si="2"/>
        <v>Tigo_TS4-L</v>
      </c>
      <c r="B23" s="32" t="s">
        <v>108</v>
      </c>
      <c r="C23" s="32" t="s">
        <v>117</v>
      </c>
      <c r="D23" s="35">
        <v>41.6</v>
      </c>
      <c r="E23" s="36">
        <v>0.14857142857142858</v>
      </c>
      <c r="F23" s="32" t="s">
        <v>91</v>
      </c>
      <c r="G23" s="32" t="s">
        <v>118</v>
      </c>
      <c r="L23" s="32">
        <v>280</v>
      </c>
    </row>
    <row r="24" spans="1:18" x14ac:dyDescent="0.15">
      <c r="D24" s="35"/>
      <c r="E24" s="36"/>
      <c r="J24" s="231"/>
      <c r="K24" s="231" t="s">
        <v>291</v>
      </c>
      <c r="L24" s="231" t="s">
        <v>292</v>
      </c>
    </row>
    <row r="25" spans="1:18" x14ac:dyDescent="0.15">
      <c r="A25" s="34" t="s">
        <v>4</v>
      </c>
      <c r="B25" s="34" t="s">
        <v>163</v>
      </c>
      <c r="C25" s="34" t="s">
        <v>89</v>
      </c>
      <c r="D25" s="33" t="s">
        <v>79</v>
      </c>
      <c r="E25" s="33" t="s">
        <v>306</v>
      </c>
      <c r="F25" s="34" t="s">
        <v>86</v>
      </c>
      <c r="G25" s="34" t="s">
        <v>87</v>
      </c>
      <c r="H25" s="232" t="s">
        <v>312</v>
      </c>
      <c r="I25" s="232" t="s">
        <v>310</v>
      </c>
      <c r="J25" s="233" t="s">
        <v>293</v>
      </c>
      <c r="K25" s="233" t="s">
        <v>294</v>
      </c>
      <c r="L25" s="233" t="s">
        <v>295</v>
      </c>
      <c r="M25" s="34" t="s">
        <v>183</v>
      </c>
      <c r="N25" s="232" t="s">
        <v>296</v>
      </c>
    </row>
    <row r="26" spans="1:18" x14ac:dyDescent="0.15">
      <c r="A26" s="32" t="str">
        <f t="shared" ref="A26:A46" si="4">B26&amp;IF(C26="","","_"&amp;C26)</f>
        <v>Enphase Energy_M250-72-2LL-S2X (240Vac)</v>
      </c>
      <c r="B26" s="32" t="s">
        <v>244</v>
      </c>
      <c r="C26" s="32" t="s">
        <v>245</v>
      </c>
      <c r="D26" s="35">
        <v>93.52</v>
      </c>
      <c r="E26" s="36">
        <f t="shared" ref="E26:E46" si="5">D26/J26</f>
        <v>0.37407999999999997</v>
      </c>
      <c r="F26" s="32" t="s">
        <v>145</v>
      </c>
      <c r="G26" s="32" t="s">
        <v>229</v>
      </c>
      <c r="H26" s="231">
        <v>1</v>
      </c>
      <c r="J26" s="230">
        <v>250</v>
      </c>
      <c r="K26" s="230">
        <v>210</v>
      </c>
      <c r="L26" s="230">
        <v>350</v>
      </c>
      <c r="M26" s="39">
        <v>0.96499999999999997</v>
      </c>
      <c r="N26" s="32">
        <f>L26/J26</f>
        <v>1.4</v>
      </c>
      <c r="P26" s="231">
        <v>1</v>
      </c>
      <c r="Q26" s="231">
        <f>MATCH(P26,H:H,0)</f>
        <v>26</v>
      </c>
      <c r="R26" s="32" t="str">
        <f>"Components!A"&amp;Q26&amp;":A"&amp;Q28-1</f>
        <v>Components!A26:A39</v>
      </c>
    </row>
    <row r="27" spans="1:18" x14ac:dyDescent="0.15">
      <c r="A27" s="32" t="str">
        <f t="shared" si="4"/>
        <v>SolarEdge Technologies_SE3000 (240V)</v>
      </c>
      <c r="B27" s="32" t="s">
        <v>247</v>
      </c>
      <c r="C27" s="32" t="s">
        <v>248</v>
      </c>
      <c r="D27" s="35">
        <v>620.37</v>
      </c>
      <c r="E27" s="36">
        <f t="shared" si="5"/>
        <v>0.20679</v>
      </c>
      <c r="F27" s="32" t="s">
        <v>95</v>
      </c>
      <c r="G27" s="32" t="s">
        <v>146</v>
      </c>
      <c r="H27" s="231">
        <v>1</v>
      </c>
      <c r="J27" s="230">
        <v>3000</v>
      </c>
      <c r="K27" s="230">
        <f>L27*0.5</f>
        <v>2025</v>
      </c>
      <c r="L27" s="230">
        <v>4050</v>
      </c>
      <c r="M27" s="39">
        <v>0.97499999999999998</v>
      </c>
      <c r="N27" s="231">
        <f t="shared" ref="N27:N46" si="6">L27/J27</f>
        <v>1.35</v>
      </c>
      <c r="P27" s="231">
        <v>2</v>
      </c>
      <c r="Q27" s="231">
        <f t="shared" ref="Q27:Q28" si="7">MATCH(P27,H:H,0)</f>
        <v>34</v>
      </c>
      <c r="R27" s="231" t="str">
        <f>R26</f>
        <v>Components!A26:A39</v>
      </c>
    </row>
    <row r="28" spans="1:18" x14ac:dyDescent="0.15">
      <c r="A28" s="32" t="str">
        <f t="shared" si="4"/>
        <v>SolarEdge Technologies_SE3800 (240V) HD Wave</v>
      </c>
      <c r="B28" s="32" t="s">
        <v>247</v>
      </c>
      <c r="C28" s="32" t="s">
        <v>451</v>
      </c>
      <c r="D28" s="35">
        <v>682.73</v>
      </c>
      <c r="E28" s="36">
        <f t="shared" si="5"/>
        <v>0.17966578947368422</v>
      </c>
      <c r="F28" s="32" t="s">
        <v>95</v>
      </c>
      <c r="H28" s="231">
        <v>1</v>
      </c>
      <c r="J28" s="230">
        <v>3800</v>
      </c>
      <c r="K28" s="230">
        <f t="shared" ref="K28:K46" si="8">L28*0.5</f>
        <v>2945</v>
      </c>
      <c r="L28" s="230">
        <v>5890</v>
      </c>
      <c r="M28" s="39">
        <v>0.98</v>
      </c>
      <c r="N28" s="231">
        <f t="shared" si="6"/>
        <v>1.55</v>
      </c>
      <c r="P28" s="231">
        <v>3</v>
      </c>
      <c r="Q28" s="231">
        <f t="shared" si="7"/>
        <v>40</v>
      </c>
      <c r="R28" s="231" t="str">
        <f t="shared" ref="R28" si="9">"Components!A"&amp;Q28&amp;":A"&amp;Q29-1</f>
        <v>Components!A40:A46</v>
      </c>
    </row>
    <row r="29" spans="1:18" x14ac:dyDescent="0.15">
      <c r="A29" s="32" t="str">
        <f t="shared" si="4"/>
        <v>SolarEdge Technologies_SE5000 (240V) HD Wave</v>
      </c>
      <c r="B29" s="32" t="s">
        <v>247</v>
      </c>
      <c r="C29" s="32" t="s">
        <v>669</v>
      </c>
      <c r="D29" s="35">
        <v>875.76</v>
      </c>
      <c r="E29" s="36">
        <f t="shared" si="5"/>
        <v>0.175152</v>
      </c>
      <c r="F29" s="32" t="s">
        <v>95</v>
      </c>
      <c r="H29" s="231">
        <v>1</v>
      </c>
      <c r="J29" s="230">
        <v>5000</v>
      </c>
      <c r="K29" s="230">
        <f t="shared" si="8"/>
        <v>3875</v>
      </c>
      <c r="L29" s="230">
        <v>7750</v>
      </c>
      <c r="M29" s="39">
        <v>0.98</v>
      </c>
      <c r="N29" s="231">
        <f t="shared" si="6"/>
        <v>1.55</v>
      </c>
      <c r="Q29" s="231">
        <f>COUNTIF(H:H,P28)+Q28</f>
        <v>47</v>
      </c>
    </row>
    <row r="30" spans="1:18" x14ac:dyDescent="0.15">
      <c r="A30" s="32" t="str">
        <f t="shared" si="4"/>
        <v>SolarEdge Technologies_SE6000 (240V)</v>
      </c>
      <c r="B30" s="32" t="s">
        <v>247</v>
      </c>
      <c r="C30" s="32" t="s">
        <v>249</v>
      </c>
      <c r="D30" s="35">
        <v>909.52</v>
      </c>
      <c r="E30" s="36">
        <f t="shared" si="5"/>
        <v>0.15158666666666668</v>
      </c>
      <c r="F30" s="32" t="s">
        <v>95</v>
      </c>
      <c r="H30" s="231">
        <v>1</v>
      </c>
      <c r="J30" s="230">
        <v>6000</v>
      </c>
      <c r="K30" s="230">
        <f t="shared" si="8"/>
        <v>4050</v>
      </c>
      <c r="L30" s="230">
        <v>8100</v>
      </c>
      <c r="M30" s="39">
        <v>0.97499999999999998</v>
      </c>
      <c r="N30" s="231">
        <f t="shared" si="6"/>
        <v>1.35</v>
      </c>
    </row>
    <row r="31" spans="1:18" x14ac:dyDescent="0.15">
      <c r="A31" s="32" t="str">
        <f t="shared" si="4"/>
        <v>SolarEdge Technologies_SE7600 (240V)</v>
      </c>
      <c r="B31" s="32" t="s">
        <v>247</v>
      </c>
      <c r="C31" s="32" t="s">
        <v>250</v>
      </c>
      <c r="D31" s="35">
        <v>1139.54</v>
      </c>
      <c r="E31" s="36">
        <f t="shared" si="5"/>
        <v>0.14993947368421051</v>
      </c>
      <c r="F31" s="32" t="s">
        <v>95</v>
      </c>
      <c r="H31" s="231">
        <v>1</v>
      </c>
      <c r="J31" s="230">
        <v>7600</v>
      </c>
      <c r="K31" s="230">
        <f t="shared" si="8"/>
        <v>5130</v>
      </c>
      <c r="L31" s="230">
        <v>10260</v>
      </c>
      <c r="M31" s="39">
        <v>0.97499999999999998</v>
      </c>
      <c r="N31" s="231">
        <f t="shared" si="6"/>
        <v>1.35</v>
      </c>
    </row>
    <row r="32" spans="1:18" x14ac:dyDescent="0.15">
      <c r="A32" s="32" t="str">
        <f t="shared" si="4"/>
        <v>SolarEdge Technologies_SE10000A-US (240V)</v>
      </c>
      <c r="B32" s="32" t="s">
        <v>247</v>
      </c>
      <c r="C32" s="32" t="s">
        <v>251</v>
      </c>
      <c r="D32" s="35">
        <v>1648.61</v>
      </c>
      <c r="E32" s="36">
        <f t="shared" si="5"/>
        <v>0.16486099999999998</v>
      </c>
      <c r="F32" s="32" t="s">
        <v>95</v>
      </c>
      <c r="H32" s="231">
        <v>1</v>
      </c>
      <c r="J32" s="230">
        <v>10000</v>
      </c>
      <c r="K32" s="230">
        <f t="shared" si="8"/>
        <v>6750</v>
      </c>
      <c r="L32" s="230">
        <v>13500</v>
      </c>
      <c r="M32" s="39">
        <v>0.97499999999999998</v>
      </c>
      <c r="N32" s="231">
        <f t="shared" si="6"/>
        <v>1.35</v>
      </c>
    </row>
    <row r="33" spans="1:17" x14ac:dyDescent="0.15">
      <c r="A33" s="32" t="str">
        <f t="shared" si="4"/>
        <v>SolarEdge Technologies_SE11400A-US (240V)</v>
      </c>
      <c r="B33" s="32" t="s">
        <v>247</v>
      </c>
      <c r="C33" s="32" t="s">
        <v>252</v>
      </c>
      <c r="D33" s="35">
        <v>1759.48</v>
      </c>
      <c r="E33" s="36">
        <f t="shared" si="5"/>
        <v>0.15434035087719297</v>
      </c>
      <c r="F33" s="32" t="s">
        <v>95</v>
      </c>
      <c r="H33" s="231">
        <v>1</v>
      </c>
      <c r="J33" s="230">
        <v>11400</v>
      </c>
      <c r="K33" s="230">
        <f t="shared" si="8"/>
        <v>7695</v>
      </c>
      <c r="L33" s="230">
        <v>15390</v>
      </c>
      <c r="M33" s="39">
        <v>0.97499999999999998</v>
      </c>
      <c r="N33" s="231">
        <f t="shared" si="6"/>
        <v>1.35</v>
      </c>
    </row>
    <row r="34" spans="1:17" s="76" customFormat="1" x14ac:dyDescent="0.15">
      <c r="A34" s="76" t="str">
        <f t="shared" ref="A34:A42" si="10">B34&amp;IF(C34="","","_"&amp;C34)</f>
        <v>Fronius USA_Primo 7.6-1 208/240</v>
      </c>
      <c r="B34" s="76" t="s">
        <v>246</v>
      </c>
      <c r="C34" s="76" t="s">
        <v>297</v>
      </c>
      <c r="D34" s="35">
        <v>1757.06</v>
      </c>
      <c r="E34" s="36">
        <f t="shared" ref="E34:E42" si="11">D34/J34</f>
        <v>0.23119210526315789</v>
      </c>
      <c r="F34" s="76" t="s">
        <v>95</v>
      </c>
      <c r="G34" s="76" t="s">
        <v>307</v>
      </c>
      <c r="H34" s="231">
        <v>2</v>
      </c>
      <c r="I34" s="231" t="s">
        <v>311</v>
      </c>
      <c r="J34" s="230">
        <v>7600</v>
      </c>
      <c r="K34" s="230">
        <f t="shared" ref="K34:K42" si="12">L34*0.5</f>
        <v>5700</v>
      </c>
      <c r="L34" s="230">
        <f>J34*1.5</f>
        <v>11400</v>
      </c>
      <c r="M34" s="39">
        <v>0.96</v>
      </c>
      <c r="N34" s="231">
        <f t="shared" ref="N34:N42" si="13">L34/J34</f>
        <v>1.5</v>
      </c>
      <c r="P34" s="231"/>
      <c r="Q34" s="231"/>
    </row>
    <row r="35" spans="1:17" s="76" customFormat="1" x14ac:dyDescent="0.15">
      <c r="A35" s="76" t="str">
        <f t="shared" si="10"/>
        <v>Fronius USA_Primo 8.2-1 208/241</v>
      </c>
      <c r="B35" s="76" t="s">
        <v>246</v>
      </c>
      <c r="C35" s="76" t="s">
        <v>298</v>
      </c>
      <c r="D35" s="35">
        <v>1862.88</v>
      </c>
      <c r="E35" s="36">
        <f t="shared" si="11"/>
        <v>0.22718048780487807</v>
      </c>
      <c r="F35" s="76" t="s">
        <v>95</v>
      </c>
      <c r="G35" s="76" t="s">
        <v>307</v>
      </c>
      <c r="H35" s="231">
        <v>2</v>
      </c>
      <c r="I35" s="231" t="s">
        <v>311</v>
      </c>
      <c r="J35" s="230">
        <v>8200</v>
      </c>
      <c r="K35" s="230">
        <f t="shared" si="12"/>
        <v>6150</v>
      </c>
      <c r="L35" s="230">
        <f t="shared" ref="L35:L42" si="14">J35*1.5</f>
        <v>12300</v>
      </c>
      <c r="M35" s="39">
        <v>0.96499999999999997</v>
      </c>
      <c r="N35" s="231">
        <f t="shared" si="13"/>
        <v>1.5</v>
      </c>
      <c r="P35" s="231"/>
      <c r="Q35" s="231"/>
    </row>
    <row r="36" spans="1:17" s="76" customFormat="1" x14ac:dyDescent="0.15">
      <c r="A36" s="76" t="str">
        <f t="shared" si="10"/>
        <v>Fronius USA_Primo 10.0-1 208/242</v>
      </c>
      <c r="B36" s="76" t="s">
        <v>246</v>
      </c>
      <c r="C36" s="76" t="s">
        <v>299</v>
      </c>
      <c r="D36" s="35">
        <v>2350.79</v>
      </c>
      <c r="E36" s="36">
        <f t="shared" si="11"/>
        <v>0.23507900000000001</v>
      </c>
      <c r="F36" s="76" t="s">
        <v>95</v>
      </c>
      <c r="G36" s="76" t="s">
        <v>307</v>
      </c>
      <c r="H36" s="231">
        <v>2</v>
      </c>
      <c r="I36" s="231" t="s">
        <v>311</v>
      </c>
      <c r="J36" s="230">
        <v>10000</v>
      </c>
      <c r="K36" s="230">
        <f t="shared" si="12"/>
        <v>7500</v>
      </c>
      <c r="L36" s="230">
        <f t="shared" si="14"/>
        <v>15000</v>
      </c>
      <c r="M36" s="39">
        <v>0.96699999999999997</v>
      </c>
      <c r="N36" s="231">
        <f t="shared" si="13"/>
        <v>1.5</v>
      </c>
      <c r="P36" s="231"/>
      <c r="Q36" s="231"/>
    </row>
    <row r="37" spans="1:17" s="76" customFormat="1" x14ac:dyDescent="0.15">
      <c r="A37" s="76" t="str">
        <f t="shared" si="10"/>
        <v>Fronius USA_Primo 11.4-1 208/243</v>
      </c>
      <c r="B37" s="76" t="s">
        <v>246</v>
      </c>
      <c r="C37" s="76" t="s">
        <v>300</v>
      </c>
      <c r="D37" s="35">
        <v>2628.8</v>
      </c>
      <c r="E37" s="36">
        <f t="shared" si="11"/>
        <v>0.23059649122807019</v>
      </c>
      <c r="F37" s="76" t="s">
        <v>95</v>
      </c>
      <c r="G37" s="76" t="s">
        <v>307</v>
      </c>
      <c r="H37" s="231">
        <v>2</v>
      </c>
      <c r="I37" s="231" t="s">
        <v>311</v>
      </c>
      <c r="J37" s="230">
        <v>11400</v>
      </c>
      <c r="K37" s="230">
        <f t="shared" si="12"/>
        <v>8550</v>
      </c>
      <c r="L37" s="230">
        <f t="shared" si="14"/>
        <v>17100</v>
      </c>
      <c r="M37" s="39">
        <v>0.96699999999999997</v>
      </c>
      <c r="N37" s="231">
        <f t="shared" si="13"/>
        <v>1.5</v>
      </c>
      <c r="P37" s="231"/>
      <c r="Q37" s="231"/>
    </row>
    <row r="38" spans="1:17" s="76" customFormat="1" x14ac:dyDescent="0.15">
      <c r="A38" s="76" t="str">
        <f t="shared" si="10"/>
        <v>Fronius USA_Primo 12.5-1 208/244</v>
      </c>
      <c r="B38" s="76" t="s">
        <v>246</v>
      </c>
      <c r="C38" s="76" t="s">
        <v>301</v>
      </c>
      <c r="D38" s="35">
        <v>2844.62</v>
      </c>
      <c r="E38" s="36">
        <f t="shared" si="11"/>
        <v>0.22756959999999998</v>
      </c>
      <c r="F38" s="76" t="s">
        <v>95</v>
      </c>
      <c r="G38" s="76" t="s">
        <v>307</v>
      </c>
      <c r="H38" s="231">
        <v>2</v>
      </c>
      <c r="I38" s="231" t="s">
        <v>311</v>
      </c>
      <c r="J38" s="230">
        <v>12500</v>
      </c>
      <c r="K38" s="230">
        <f t="shared" si="12"/>
        <v>9375</v>
      </c>
      <c r="L38" s="230">
        <f t="shared" si="14"/>
        <v>18750</v>
      </c>
      <c r="M38" s="39">
        <v>0.96699999999999997</v>
      </c>
      <c r="N38" s="231">
        <f t="shared" si="13"/>
        <v>1.5</v>
      </c>
      <c r="P38" s="231"/>
      <c r="Q38" s="231"/>
    </row>
    <row r="39" spans="1:17" s="76" customFormat="1" x14ac:dyDescent="0.15">
      <c r="A39" s="76" t="str">
        <f t="shared" si="10"/>
        <v>Fronius USA_Primo 15.0-1 208/245</v>
      </c>
      <c r="B39" s="76" t="s">
        <v>246</v>
      </c>
      <c r="C39" s="76" t="s">
        <v>302</v>
      </c>
      <c r="D39" s="35">
        <v>3332.14</v>
      </c>
      <c r="E39" s="36">
        <f t="shared" si="11"/>
        <v>0.22214266666666665</v>
      </c>
      <c r="F39" s="76" t="s">
        <v>95</v>
      </c>
      <c r="G39" s="76" t="s">
        <v>307</v>
      </c>
      <c r="H39" s="231">
        <v>2</v>
      </c>
      <c r="I39" s="231" t="s">
        <v>311</v>
      </c>
      <c r="J39" s="230">
        <v>15000</v>
      </c>
      <c r="K39" s="230">
        <f t="shared" si="12"/>
        <v>11250</v>
      </c>
      <c r="L39" s="230">
        <f t="shared" si="14"/>
        <v>22500</v>
      </c>
      <c r="M39" s="39">
        <v>0.96699999999999997</v>
      </c>
      <c r="N39" s="231">
        <f t="shared" si="13"/>
        <v>1.5</v>
      </c>
      <c r="P39" s="231"/>
      <c r="Q39" s="231"/>
    </row>
    <row r="40" spans="1:17" s="76" customFormat="1" x14ac:dyDescent="0.15">
      <c r="A40" s="76" t="str">
        <f t="shared" si="10"/>
        <v>Fronius USA_Symo 10.0-3 208/240v</v>
      </c>
      <c r="B40" s="76" t="s">
        <v>246</v>
      </c>
      <c r="C40" s="76" t="s">
        <v>303</v>
      </c>
      <c r="D40" s="35">
        <v>2600.37</v>
      </c>
      <c r="E40" s="36">
        <f t="shared" si="11"/>
        <v>0.26003699999999996</v>
      </c>
      <c r="F40" s="76" t="s">
        <v>95</v>
      </c>
      <c r="G40" s="76" t="s">
        <v>308</v>
      </c>
      <c r="H40" s="231">
        <v>3</v>
      </c>
      <c r="I40" s="231" t="s">
        <v>311</v>
      </c>
      <c r="J40" s="230">
        <v>10000</v>
      </c>
      <c r="K40" s="230">
        <f t="shared" si="12"/>
        <v>7500</v>
      </c>
      <c r="L40" s="230">
        <f t="shared" si="14"/>
        <v>15000</v>
      </c>
      <c r="M40" s="39">
        <v>0.96499999999999997</v>
      </c>
      <c r="N40" s="231">
        <f t="shared" si="13"/>
        <v>1.5</v>
      </c>
      <c r="P40" s="231"/>
      <c r="Q40" s="231"/>
    </row>
    <row r="41" spans="1:17" s="76" customFormat="1" x14ac:dyDescent="0.15">
      <c r="A41" s="76" t="str">
        <f t="shared" si="10"/>
        <v>Fronius USA_Symo 12.0-3 208/240v</v>
      </c>
      <c r="B41" s="76" t="s">
        <v>246</v>
      </c>
      <c r="C41" s="76" t="s">
        <v>304</v>
      </c>
      <c r="D41" s="35">
        <v>2902.72</v>
      </c>
      <c r="E41" s="36">
        <f t="shared" si="11"/>
        <v>0.24189333333333332</v>
      </c>
      <c r="F41" s="76" t="s">
        <v>95</v>
      </c>
      <c r="G41" s="76" t="s">
        <v>308</v>
      </c>
      <c r="H41" s="231">
        <v>3</v>
      </c>
      <c r="I41" s="231" t="s">
        <v>311</v>
      </c>
      <c r="J41" s="230">
        <v>12000</v>
      </c>
      <c r="K41" s="230">
        <f t="shared" si="12"/>
        <v>9000</v>
      </c>
      <c r="L41" s="230">
        <f t="shared" si="14"/>
        <v>18000</v>
      </c>
      <c r="M41" s="39">
        <v>0.96499999999999997</v>
      </c>
      <c r="N41" s="231">
        <f t="shared" si="13"/>
        <v>1.5</v>
      </c>
      <c r="P41" s="231"/>
      <c r="Q41" s="231"/>
    </row>
    <row r="42" spans="1:17" s="76" customFormat="1" x14ac:dyDescent="0.15">
      <c r="A42" s="76" t="str">
        <f t="shared" si="10"/>
        <v>Fronius USA_Symo 15.0-3 208/240v</v>
      </c>
      <c r="B42" s="76" t="s">
        <v>246</v>
      </c>
      <c r="C42" s="76" t="s">
        <v>305</v>
      </c>
      <c r="D42" s="35">
        <v>2680.75</v>
      </c>
      <c r="E42" s="36">
        <f t="shared" si="11"/>
        <v>0.17871666666666666</v>
      </c>
      <c r="F42" s="76" t="s">
        <v>95</v>
      </c>
      <c r="G42" s="76" t="s">
        <v>309</v>
      </c>
      <c r="H42" s="231">
        <v>3</v>
      </c>
      <c r="I42" s="231" t="s">
        <v>311</v>
      </c>
      <c r="J42" s="230">
        <v>15000</v>
      </c>
      <c r="K42" s="230">
        <f t="shared" si="12"/>
        <v>11250</v>
      </c>
      <c r="L42" s="230">
        <f t="shared" si="14"/>
        <v>22500</v>
      </c>
      <c r="M42" s="39">
        <v>0.96499999999999997</v>
      </c>
      <c r="N42" s="231">
        <f t="shared" si="13"/>
        <v>1.5</v>
      </c>
      <c r="P42" s="231"/>
      <c r="Q42" s="231"/>
    </row>
    <row r="43" spans="1:17" x14ac:dyDescent="0.15">
      <c r="A43" s="32" t="str">
        <f t="shared" si="4"/>
        <v>SolarEdge Technologies_SE9K</v>
      </c>
      <c r="B43" s="32" t="s">
        <v>247</v>
      </c>
      <c r="C43" s="32" t="s">
        <v>120</v>
      </c>
      <c r="D43" s="35">
        <v>1957.76</v>
      </c>
      <c r="E43" s="36">
        <f t="shared" si="5"/>
        <v>0.21752888888888888</v>
      </c>
      <c r="F43" s="32" t="s">
        <v>95</v>
      </c>
      <c r="G43" s="32" t="s">
        <v>259</v>
      </c>
      <c r="H43" s="231">
        <v>3</v>
      </c>
      <c r="J43" s="230">
        <v>9000</v>
      </c>
      <c r="K43" s="230">
        <f t="shared" si="8"/>
        <v>6075</v>
      </c>
      <c r="L43" s="230">
        <v>12150</v>
      </c>
      <c r="M43" s="39">
        <v>0.96499999999999997</v>
      </c>
      <c r="N43" s="231">
        <f t="shared" si="6"/>
        <v>1.35</v>
      </c>
    </row>
    <row r="44" spans="1:17" x14ac:dyDescent="0.15">
      <c r="A44" s="32" t="str">
        <f t="shared" si="4"/>
        <v>SolarEdge Technologies_SE14.4KUS</v>
      </c>
      <c r="B44" s="32" t="s">
        <v>247</v>
      </c>
      <c r="C44" s="32" t="s">
        <v>253</v>
      </c>
      <c r="D44" s="35">
        <v>2641.8</v>
      </c>
      <c r="E44" s="36">
        <f t="shared" si="5"/>
        <v>0.18345833333333333</v>
      </c>
      <c r="F44" s="32" t="s">
        <v>95</v>
      </c>
      <c r="G44" s="76" t="s">
        <v>259</v>
      </c>
      <c r="H44" s="231">
        <v>3</v>
      </c>
      <c r="J44" s="230">
        <v>14400</v>
      </c>
      <c r="K44" s="230">
        <f t="shared" si="8"/>
        <v>9720</v>
      </c>
      <c r="L44" s="230">
        <v>19440</v>
      </c>
      <c r="M44" s="39">
        <v>0.97</v>
      </c>
      <c r="N44" s="231">
        <f t="shared" si="6"/>
        <v>1.35</v>
      </c>
    </row>
    <row r="45" spans="1:17" x14ac:dyDescent="0.15">
      <c r="A45" s="32" t="str">
        <f t="shared" si="4"/>
        <v>SolarEdge Technologies_SE20K</v>
      </c>
      <c r="B45" s="32" t="s">
        <v>247</v>
      </c>
      <c r="C45" s="32" t="s">
        <v>121</v>
      </c>
      <c r="D45" s="35">
        <v>1271.3699999999999</v>
      </c>
      <c r="E45" s="36">
        <f t="shared" si="5"/>
        <v>6.35685E-2</v>
      </c>
      <c r="F45" s="32" t="s">
        <v>95</v>
      </c>
      <c r="G45" s="76" t="s">
        <v>259</v>
      </c>
      <c r="H45" s="231">
        <v>3</v>
      </c>
      <c r="J45" s="230">
        <v>20000</v>
      </c>
      <c r="K45" s="230">
        <f t="shared" si="8"/>
        <v>13500</v>
      </c>
      <c r="L45" s="230">
        <v>27000</v>
      </c>
      <c r="M45" s="39">
        <v>0.98</v>
      </c>
      <c r="N45" s="231">
        <f t="shared" si="6"/>
        <v>1.35</v>
      </c>
    </row>
    <row r="46" spans="1:17" x14ac:dyDescent="0.15">
      <c r="A46" s="32" t="str">
        <f t="shared" si="4"/>
        <v>SolarEdge Technologies_SE33.3KUS</v>
      </c>
      <c r="B46" s="32" t="s">
        <v>247</v>
      </c>
      <c r="C46" s="32" t="s">
        <v>254</v>
      </c>
      <c r="D46" s="35">
        <v>2318.1799999999998</v>
      </c>
      <c r="E46" s="36">
        <f t="shared" si="5"/>
        <v>6.9615015015015005E-2</v>
      </c>
      <c r="F46" s="32" t="s">
        <v>95</v>
      </c>
      <c r="G46" s="76" t="s">
        <v>259</v>
      </c>
      <c r="H46" s="231">
        <v>3</v>
      </c>
      <c r="J46" s="230">
        <v>33300</v>
      </c>
      <c r="K46" s="230">
        <f t="shared" si="8"/>
        <v>22477.5</v>
      </c>
      <c r="L46" s="230">
        <v>44955</v>
      </c>
      <c r="M46" s="39">
        <v>0.98499999999999999</v>
      </c>
      <c r="N46" s="231">
        <f t="shared" si="6"/>
        <v>1.35</v>
      </c>
    </row>
    <row r="47" spans="1:17" x14ac:dyDescent="0.15">
      <c r="D47" s="35"/>
      <c r="E47" s="35"/>
    </row>
    <row r="48" spans="1:17" x14ac:dyDescent="0.15">
      <c r="A48" s="34" t="s">
        <v>142</v>
      </c>
      <c r="B48" s="34" t="s">
        <v>163</v>
      </c>
      <c r="C48" s="34" t="s">
        <v>89</v>
      </c>
      <c r="D48" s="33" t="s">
        <v>79</v>
      </c>
      <c r="E48" s="33" t="s">
        <v>85</v>
      </c>
      <c r="F48" s="34" t="s">
        <v>86</v>
      </c>
      <c r="G48" s="34" t="s">
        <v>87</v>
      </c>
      <c r="H48" s="232"/>
      <c r="I48" s="232"/>
      <c r="J48" s="34"/>
      <c r="K48" s="34"/>
      <c r="L48" s="37" t="s">
        <v>84</v>
      </c>
    </row>
    <row r="49" spans="1:17" x14ac:dyDescent="0.15">
      <c r="A49" s="32" t="str">
        <f t="shared" ref="A49:A65" si="15">B49&amp;IF(C49="","","_"&amp;C49)</f>
        <v>TIGO_CCA-PS-INT</v>
      </c>
      <c r="B49" s="32" t="s">
        <v>122</v>
      </c>
      <c r="C49" s="32" t="s">
        <v>123</v>
      </c>
      <c r="D49" s="35">
        <v>211.2</v>
      </c>
      <c r="E49" s="35"/>
      <c r="F49" s="32" t="s">
        <v>91</v>
      </c>
      <c r="G49" s="32" t="s">
        <v>124</v>
      </c>
    </row>
    <row r="50" spans="1:17" x14ac:dyDescent="0.15">
      <c r="A50" s="32" t="str">
        <f t="shared" si="15"/>
        <v>TIGO_CCAK-IGDIN</v>
      </c>
      <c r="B50" s="32" t="s">
        <v>122</v>
      </c>
      <c r="C50" s="32" t="s">
        <v>125</v>
      </c>
      <c r="D50" s="35">
        <v>224.8</v>
      </c>
      <c r="E50" s="35"/>
      <c r="F50" s="32" t="s">
        <v>91</v>
      </c>
      <c r="G50" s="32" t="s">
        <v>126</v>
      </c>
    </row>
    <row r="51" spans="1:17" x14ac:dyDescent="0.15">
      <c r="A51" s="32" t="str">
        <f t="shared" si="15"/>
        <v>TIGO_CCA-DINOUT</v>
      </c>
      <c r="B51" s="32" t="s">
        <v>122</v>
      </c>
      <c r="C51" s="32" t="s">
        <v>127</v>
      </c>
      <c r="D51" s="35">
        <v>252.8</v>
      </c>
      <c r="E51" s="35"/>
      <c r="F51" s="32" t="s">
        <v>91</v>
      </c>
      <c r="G51" s="32" t="s">
        <v>128</v>
      </c>
    </row>
    <row r="52" spans="1:17" x14ac:dyDescent="0.15">
      <c r="A52" s="32" t="str">
        <f>B52&amp;IF(C52="","","_"&amp;C52)</f>
        <v>ENV-120 M</v>
      </c>
      <c r="B52" s="32" t="s">
        <v>139</v>
      </c>
      <c r="D52" s="35">
        <v>208</v>
      </c>
      <c r="F52" s="32" t="s">
        <v>91</v>
      </c>
      <c r="G52" s="32" t="s">
        <v>144</v>
      </c>
      <c r="L52" s="35"/>
    </row>
    <row r="53" spans="1:17" x14ac:dyDescent="0.15">
      <c r="D53" s="35"/>
      <c r="E53" s="35"/>
    </row>
    <row r="54" spans="1:17" x14ac:dyDescent="0.15">
      <c r="A54" s="34" t="s">
        <v>7</v>
      </c>
      <c r="B54" s="34" t="s">
        <v>163</v>
      </c>
      <c r="C54" s="34" t="s">
        <v>89</v>
      </c>
      <c r="D54" s="33" t="s">
        <v>79</v>
      </c>
      <c r="E54" s="33" t="s">
        <v>85</v>
      </c>
      <c r="F54" s="34" t="s">
        <v>86</v>
      </c>
      <c r="G54" s="34" t="s">
        <v>87</v>
      </c>
      <c r="H54" s="232"/>
      <c r="I54" s="232"/>
      <c r="J54" s="34"/>
      <c r="K54" s="34"/>
      <c r="L54" s="37" t="s">
        <v>84</v>
      </c>
    </row>
    <row r="55" spans="1:17" x14ac:dyDescent="0.15">
      <c r="A55" s="32" t="str">
        <f t="shared" si="15"/>
        <v>TIGO_MEDIDOR AC</v>
      </c>
      <c r="B55" s="32" t="s">
        <v>122</v>
      </c>
      <c r="C55" s="32" t="s">
        <v>131</v>
      </c>
      <c r="D55" s="35">
        <v>137.6</v>
      </c>
      <c r="E55" s="35"/>
      <c r="F55" s="32" t="s">
        <v>91</v>
      </c>
      <c r="G55" s="32" t="s">
        <v>132</v>
      </c>
    </row>
    <row r="56" spans="1:17" x14ac:dyDescent="0.15">
      <c r="A56" s="32" t="str">
        <f>B56&amp;IF(C56="","","_"&amp;C56)</f>
        <v>Electricity meter</v>
      </c>
      <c r="B56" s="32" t="s">
        <v>138</v>
      </c>
      <c r="D56" s="35">
        <v>310</v>
      </c>
      <c r="F56" s="32" t="s">
        <v>95</v>
      </c>
      <c r="L56" s="35"/>
    </row>
    <row r="57" spans="1:17" x14ac:dyDescent="0.15">
      <c r="A57" s="32" t="str">
        <f>B57&amp;IF(C57="","","_"&amp;C57)</f>
        <v>ENV-S-AM1-120M</v>
      </c>
      <c r="B57" s="32" t="s">
        <v>140</v>
      </c>
      <c r="D57" s="35">
        <v>508.8</v>
      </c>
      <c r="F57" s="32" t="s">
        <v>91</v>
      </c>
      <c r="G57" s="32" t="s">
        <v>170</v>
      </c>
      <c r="L57" s="35"/>
    </row>
    <row r="58" spans="1:17" s="76" customFormat="1" x14ac:dyDescent="0.15">
      <c r="A58" s="76" t="s">
        <v>211</v>
      </c>
      <c r="D58" s="35">
        <v>400</v>
      </c>
      <c r="F58" s="76" t="s">
        <v>212</v>
      </c>
      <c r="G58" s="76" t="s">
        <v>213</v>
      </c>
      <c r="H58" s="231"/>
      <c r="I58" s="231"/>
      <c r="L58" s="35"/>
      <c r="P58" s="231"/>
      <c r="Q58" s="231"/>
    </row>
    <row r="59" spans="1:17" x14ac:dyDescent="0.15">
      <c r="D59" s="35"/>
      <c r="E59" s="35"/>
    </row>
    <row r="60" spans="1:17" x14ac:dyDescent="0.15">
      <c r="A60" s="34" t="s">
        <v>171</v>
      </c>
      <c r="B60" s="34" t="s">
        <v>163</v>
      </c>
      <c r="C60" s="34" t="s">
        <v>89</v>
      </c>
      <c r="D60" s="33" t="s">
        <v>79</v>
      </c>
      <c r="E60" s="33" t="s">
        <v>85</v>
      </c>
      <c r="F60" s="34" t="s">
        <v>86</v>
      </c>
      <c r="G60" s="34" t="s">
        <v>87</v>
      </c>
      <c r="H60" s="232"/>
      <c r="I60" s="232"/>
      <c r="J60" s="34"/>
      <c r="K60" s="34"/>
      <c r="L60" s="37" t="s">
        <v>84</v>
      </c>
    </row>
    <row r="61" spans="1:17" x14ac:dyDescent="0.15">
      <c r="A61" s="32" t="str">
        <f>B61&amp;IF(C61="","","_"&amp;C61)</f>
        <v>TIGO_GTWY-WCOMM</v>
      </c>
      <c r="B61" s="32" t="s">
        <v>122</v>
      </c>
      <c r="C61" s="32" t="s">
        <v>129</v>
      </c>
      <c r="D61" s="35">
        <v>64</v>
      </c>
      <c r="E61" s="35"/>
      <c r="F61" s="32" t="s">
        <v>91</v>
      </c>
      <c r="G61" s="32" t="s">
        <v>130</v>
      </c>
    </row>
    <row r="62" spans="1:17" x14ac:dyDescent="0.15">
      <c r="A62" s="32" t="str">
        <f t="shared" si="15"/>
        <v>SolarEdge_Zigbee kit</v>
      </c>
      <c r="B62" s="32" t="s">
        <v>104</v>
      </c>
      <c r="C62" s="32" t="s">
        <v>133</v>
      </c>
      <c r="D62" s="35">
        <v>220</v>
      </c>
      <c r="E62" s="35"/>
      <c r="F62" s="32" t="s">
        <v>95</v>
      </c>
      <c r="G62" s="32" t="s">
        <v>134</v>
      </c>
    </row>
    <row r="63" spans="1:17" x14ac:dyDescent="0.15">
      <c r="A63" s="32" t="str">
        <f t="shared" si="15"/>
        <v>SolarEdge_wifi repeater</v>
      </c>
      <c r="B63" s="32" t="s">
        <v>104</v>
      </c>
      <c r="C63" s="32" t="s">
        <v>135</v>
      </c>
      <c r="D63" s="35">
        <v>50</v>
      </c>
      <c r="E63" s="35"/>
      <c r="F63" s="32" t="s">
        <v>136</v>
      </c>
      <c r="G63" s="32" t="s">
        <v>137</v>
      </c>
    </row>
    <row r="64" spans="1:17" x14ac:dyDescent="0.15">
      <c r="A64" s="32" t="str">
        <f t="shared" si="15"/>
        <v>Enphase_WF-01</v>
      </c>
      <c r="B64" s="76" t="s">
        <v>119</v>
      </c>
      <c r="C64" s="76" t="s">
        <v>141</v>
      </c>
      <c r="D64" s="35">
        <v>29.44</v>
      </c>
      <c r="F64" s="32" t="s">
        <v>91</v>
      </c>
      <c r="G64" s="32" t="s">
        <v>172</v>
      </c>
      <c r="L64" s="35"/>
    </row>
    <row r="65" spans="1:12" x14ac:dyDescent="0.15">
      <c r="A65" s="32" t="str">
        <f t="shared" si="15"/>
        <v>Enphase_CT200-Split</v>
      </c>
      <c r="B65" s="32" t="s">
        <v>119</v>
      </c>
      <c r="C65" s="32" t="s">
        <v>173</v>
      </c>
      <c r="D65" s="35"/>
      <c r="G65" s="32" t="s">
        <v>174</v>
      </c>
      <c r="L65" s="35"/>
    </row>
  </sheetData>
  <pageMargins left="0.7" right="0.7" top="0.75" bottom="0.75" header="0.3" footer="0.3"/>
  <pageSetup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7"/>
  <sheetViews>
    <sheetView zoomScaleNormal="100" zoomScalePageLayoutView="130" workbookViewId="0">
      <pane xSplit="1" ySplit="3" topLeftCell="B4" activePane="bottomRight" state="frozen"/>
      <selection sqref="A1:O10"/>
      <selection pane="topRight" sqref="A1:O10"/>
      <selection pane="bottomLeft" sqref="A1:O10"/>
      <selection pane="bottomRight" activeCell="B4" sqref="B4"/>
    </sheetView>
  </sheetViews>
  <sheetFormatPr defaultColWidth="11.42578125" defaultRowHeight="10.5" x14ac:dyDescent="0.15"/>
  <cols>
    <col min="1" max="1" width="27.140625" style="114" bestFit="1" customWidth="1"/>
    <col min="2" max="2" width="9" style="80" bestFit="1" customWidth="1"/>
    <col min="3" max="9" width="7.85546875" style="80" bestFit="1" customWidth="1"/>
    <col min="10" max="16384" width="11.42578125" style="80"/>
  </cols>
  <sheetData>
    <row r="1" spans="1:9" x14ac:dyDescent="0.15">
      <c r="A1" s="121" t="s">
        <v>43</v>
      </c>
      <c r="B1" s="46"/>
      <c r="C1" s="46"/>
      <c r="D1" s="46"/>
      <c r="E1" s="46"/>
      <c r="F1" s="46"/>
      <c r="G1" s="46"/>
      <c r="H1" s="46"/>
    </row>
    <row r="2" spans="1:9" x14ac:dyDescent="0.15">
      <c r="A2" s="113" t="s">
        <v>262</v>
      </c>
      <c r="B2" s="114"/>
      <c r="C2" s="114"/>
      <c r="D2" s="114"/>
      <c r="E2" s="114"/>
      <c r="F2" s="114"/>
      <c r="G2" s="114"/>
      <c r="H2" s="114"/>
    </row>
    <row r="3" spans="1:9" x14ac:dyDescent="0.15">
      <c r="A3" s="122" t="s">
        <v>50</v>
      </c>
      <c r="B3" s="116">
        <v>201612</v>
      </c>
      <c r="C3" s="116">
        <v>201701</v>
      </c>
      <c r="D3" s="116">
        <v>201702</v>
      </c>
      <c r="E3" s="116">
        <v>201703</v>
      </c>
      <c r="F3" s="116">
        <v>201704</v>
      </c>
      <c r="G3" s="116">
        <v>201705</v>
      </c>
      <c r="H3" s="116">
        <v>201706</v>
      </c>
      <c r="I3" s="116">
        <v>201707</v>
      </c>
    </row>
    <row r="4" spans="1:9" x14ac:dyDescent="0.15">
      <c r="A4" s="264" t="s">
        <v>58</v>
      </c>
      <c r="B4" s="264"/>
      <c r="C4" s="264"/>
    </row>
    <row r="5" spans="1:9" x14ac:dyDescent="0.15">
      <c r="A5" s="114" t="s">
        <v>59</v>
      </c>
      <c r="B5" s="120">
        <v>94.17</v>
      </c>
      <c r="C5" s="120">
        <v>95.67</v>
      </c>
      <c r="D5" s="80">
        <v>97.01</v>
      </c>
      <c r="E5" s="80">
        <v>99.95</v>
      </c>
      <c r="F5" s="231">
        <v>100.55</v>
      </c>
      <c r="G5" s="80">
        <v>99.84</v>
      </c>
      <c r="H5" s="80">
        <v>98.71</v>
      </c>
      <c r="I5" s="80">
        <v>98.86</v>
      </c>
    </row>
    <row r="6" spans="1:9" x14ac:dyDescent="0.15">
      <c r="A6" s="114" t="s">
        <v>60</v>
      </c>
      <c r="B6" s="120">
        <v>3.9350000000000001</v>
      </c>
      <c r="C6" s="120">
        <v>4.0380000000000003</v>
      </c>
      <c r="D6" s="80">
        <v>4.1929999999999996</v>
      </c>
      <c r="E6" s="120">
        <v>4.5280000000000005</v>
      </c>
      <c r="F6" s="123">
        <v>4.4619999999999997</v>
      </c>
      <c r="G6" s="80">
        <v>4.2460000000000004</v>
      </c>
      <c r="H6" s="80">
        <v>4.2320000000000002</v>
      </c>
      <c r="I6" s="80">
        <v>4.2249999999999996</v>
      </c>
    </row>
    <row r="7" spans="1:9" x14ac:dyDescent="0.15">
      <c r="A7" s="264" t="s">
        <v>61</v>
      </c>
      <c r="B7" s="264"/>
      <c r="C7" s="264"/>
      <c r="F7" s="231"/>
    </row>
    <row r="8" spans="1:9" x14ac:dyDescent="0.15">
      <c r="A8" s="114" t="s">
        <v>59</v>
      </c>
      <c r="B8" s="120">
        <v>94.17</v>
      </c>
      <c r="C8" s="120">
        <v>95.67</v>
      </c>
      <c r="D8" s="68">
        <f>D5</f>
        <v>97.01</v>
      </c>
      <c r="E8" s="80">
        <v>99.95</v>
      </c>
      <c r="F8" s="231">
        <v>100.55</v>
      </c>
      <c r="G8" s="80">
        <v>99.84</v>
      </c>
      <c r="H8" s="80">
        <v>98.71</v>
      </c>
      <c r="I8" s="80">
        <v>98.86</v>
      </c>
    </row>
    <row r="9" spans="1:9" x14ac:dyDescent="0.15">
      <c r="A9" s="114" t="s">
        <v>60</v>
      </c>
      <c r="B9" s="120">
        <v>3.379</v>
      </c>
      <c r="C9" s="120">
        <v>3.468</v>
      </c>
      <c r="D9" s="80">
        <v>3.601</v>
      </c>
      <c r="E9" s="120">
        <v>3.8890000000000002</v>
      </c>
      <c r="F9" s="123">
        <v>3.8330000000000002</v>
      </c>
      <c r="G9" s="80">
        <v>3.6469999999999998</v>
      </c>
      <c r="H9" s="80">
        <v>3.6349999999999998</v>
      </c>
      <c r="I9" s="80">
        <v>3.629</v>
      </c>
    </row>
    <row r="10" spans="1:9" x14ac:dyDescent="0.15">
      <c r="A10" s="264" t="s">
        <v>62</v>
      </c>
      <c r="B10" s="264"/>
      <c r="C10" s="264"/>
      <c r="F10" s="231"/>
    </row>
    <row r="11" spans="1:9" x14ac:dyDescent="0.15">
      <c r="A11" s="114" t="s">
        <v>59</v>
      </c>
      <c r="B11" s="120">
        <v>94.17</v>
      </c>
      <c r="C11" s="120">
        <v>95.67</v>
      </c>
      <c r="D11" s="68">
        <f>D$5</f>
        <v>97.01</v>
      </c>
      <c r="E11" s="80">
        <v>99.95</v>
      </c>
      <c r="F11" s="231">
        <v>100.55</v>
      </c>
      <c r="G11" s="80">
        <v>99.84</v>
      </c>
      <c r="H11" s="80">
        <v>98.71</v>
      </c>
      <c r="I11" s="80">
        <v>98.86</v>
      </c>
    </row>
    <row r="12" spans="1:9" x14ac:dyDescent="0.15">
      <c r="A12" s="114" t="s">
        <v>60</v>
      </c>
      <c r="B12" s="120">
        <v>4.2889999999999997</v>
      </c>
      <c r="C12" s="120">
        <v>4.4009999999999998</v>
      </c>
      <c r="D12" s="80">
        <v>4.57</v>
      </c>
      <c r="E12" s="120">
        <v>4.9350000000000005</v>
      </c>
      <c r="F12" s="123">
        <v>4.8629999999999995</v>
      </c>
      <c r="G12" s="80">
        <v>4.6280000000000001</v>
      </c>
      <c r="H12" s="80">
        <v>4.6120000000000001</v>
      </c>
      <c r="I12" s="80">
        <v>4.6050000000000004</v>
      </c>
    </row>
    <row r="13" spans="1:9" x14ac:dyDescent="0.15">
      <c r="A13" s="264" t="s">
        <v>63</v>
      </c>
      <c r="B13" s="264"/>
      <c r="C13" s="264"/>
      <c r="F13" s="231"/>
    </row>
    <row r="14" spans="1:9" x14ac:dyDescent="0.15">
      <c r="A14" s="114" t="s">
        <v>59</v>
      </c>
      <c r="B14" s="120">
        <v>94.17</v>
      </c>
      <c r="C14" s="120">
        <v>95.67</v>
      </c>
      <c r="D14" s="68">
        <f>D$5</f>
        <v>97.01</v>
      </c>
      <c r="E14" s="80">
        <v>99.95</v>
      </c>
      <c r="F14" s="231">
        <v>100.55</v>
      </c>
      <c r="G14" s="80">
        <v>99.84</v>
      </c>
      <c r="H14" s="80">
        <v>98.71</v>
      </c>
      <c r="I14" s="80">
        <v>98.86</v>
      </c>
    </row>
    <row r="15" spans="1:9" x14ac:dyDescent="0.15">
      <c r="A15" s="114" t="s">
        <v>60</v>
      </c>
      <c r="B15" s="120">
        <v>3.379</v>
      </c>
      <c r="C15" s="120">
        <v>3.468</v>
      </c>
      <c r="D15" s="80">
        <v>3.601</v>
      </c>
      <c r="E15" s="120">
        <v>3.8890000000000002</v>
      </c>
      <c r="F15" s="123">
        <v>3.8330000000000002</v>
      </c>
      <c r="G15" s="80">
        <v>3.6469999999999998</v>
      </c>
      <c r="H15" s="80">
        <v>3.6349999999999998</v>
      </c>
      <c r="I15" s="80">
        <v>3.629</v>
      </c>
    </row>
    <row r="16" spans="1:9" x14ac:dyDescent="0.15">
      <c r="A16" s="112" t="s">
        <v>64</v>
      </c>
      <c r="F16" s="231"/>
    </row>
    <row r="17" spans="1:9" x14ac:dyDescent="0.15">
      <c r="A17" s="114" t="s">
        <v>59</v>
      </c>
      <c r="B17" s="120">
        <v>94.17</v>
      </c>
      <c r="C17" s="120">
        <v>95.67</v>
      </c>
      <c r="D17" s="68">
        <f>D$5</f>
        <v>97.01</v>
      </c>
      <c r="E17" s="80">
        <v>99.95</v>
      </c>
      <c r="F17" s="231">
        <v>100.55</v>
      </c>
      <c r="G17" s="80">
        <v>99.84</v>
      </c>
      <c r="H17" s="80">
        <v>98.71</v>
      </c>
      <c r="I17" s="80">
        <v>98.86</v>
      </c>
    </row>
    <row r="18" spans="1:9" x14ac:dyDescent="0.15">
      <c r="A18" s="114" t="s">
        <v>60</v>
      </c>
      <c r="B18" s="120">
        <v>4.05</v>
      </c>
      <c r="C18" s="120">
        <v>4.1559999999999997</v>
      </c>
      <c r="D18" s="80">
        <v>4.3049999999999997</v>
      </c>
      <c r="E18" s="120">
        <v>4.66</v>
      </c>
      <c r="F18" s="123">
        <v>4.5919999999999996</v>
      </c>
      <c r="G18" s="80">
        <v>4.37</v>
      </c>
      <c r="H18" s="80">
        <v>4.3550000000000004</v>
      </c>
      <c r="I18" s="80">
        <v>4.3479999999999999</v>
      </c>
    </row>
    <row r="19" spans="1:9" x14ac:dyDescent="0.15">
      <c r="A19" s="112" t="s">
        <v>65</v>
      </c>
      <c r="F19" s="231"/>
    </row>
    <row r="20" spans="1:9" x14ac:dyDescent="0.15">
      <c r="A20" s="114" t="s">
        <v>59</v>
      </c>
      <c r="B20" s="120">
        <v>94.17</v>
      </c>
      <c r="C20" s="120">
        <v>95.67</v>
      </c>
      <c r="D20" s="68">
        <f>D$5</f>
        <v>97.01</v>
      </c>
      <c r="E20" s="80">
        <v>99.95</v>
      </c>
      <c r="F20" s="231">
        <v>100.55</v>
      </c>
      <c r="G20" s="80">
        <v>99.84</v>
      </c>
      <c r="H20" s="80">
        <v>98.71</v>
      </c>
      <c r="I20" s="80">
        <v>98.86</v>
      </c>
    </row>
    <row r="21" spans="1:9" x14ac:dyDescent="0.15">
      <c r="A21" s="114" t="s">
        <v>66</v>
      </c>
      <c r="B21" s="120">
        <v>3.7919999999999998</v>
      </c>
      <c r="C21" s="120">
        <v>3.891</v>
      </c>
      <c r="D21" s="80">
        <v>4.04</v>
      </c>
      <c r="E21" s="120">
        <v>4.3629999999999995</v>
      </c>
      <c r="F21" s="123">
        <v>4.3</v>
      </c>
      <c r="G21" s="80">
        <v>4.0919999999999996</v>
      </c>
      <c r="H21" s="80">
        <v>4.0780000000000003</v>
      </c>
      <c r="I21" s="80">
        <v>4.0709999999999997</v>
      </c>
    </row>
    <row r="22" spans="1:9" x14ac:dyDescent="0.15">
      <c r="A22" s="112" t="s">
        <v>67</v>
      </c>
      <c r="B22" s="120"/>
      <c r="F22" s="231"/>
    </row>
    <row r="23" spans="1:9" x14ac:dyDescent="0.15">
      <c r="A23" s="114" t="s">
        <v>59</v>
      </c>
      <c r="B23" s="120">
        <v>94.17</v>
      </c>
      <c r="C23" s="120">
        <v>95.67</v>
      </c>
      <c r="D23" s="68">
        <f>D$5</f>
        <v>97.01</v>
      </c>
      <c r="E23" s="80">
        <v>99.95</v>
      </c>
      <c r="F23" s="231">
        <v>99.95</v>
      </c>
      <c r="G23" s="80">
        <v>99.84</v>
      </c>
      <c r="H23" s="80">
        <v>98.71</v>
      </c>
      <c r="I23" s="80">
        <v>98.86</v>
      </c>
    </row>
    <row r="24" spans="1:9" x14ac:dyDescent="0.15">
      <c r="A24" s="114" t="s">
        <v>60</v>
      </c>
      <c r="B24" s="120">
        <v>3.6989999999999998</v>
      </c>
      <c r="C24" s="120">
        <v>3.7960000000000003</v>
      </c>
      <c r="D24" s="80">
        <v>3.9409999999999998</v>
      </c>
      <c r="E24" s="120">
        <v>4.2560000000000002</v>
      </c>
      <c r="F24" s="123">
        <v>4.194</v>
      </c>
      <c r="G24" s="80">
        <v>3.9910000000000001</v>
      </c>
      <c r="H24" s="80">
        <v>3.9769999999999999</v>
      </c>
      <c r="I24" s="80">
        <v>3.9710000000000001</v>
      </c>
    </row>
    <row r="25" spans="1:9" x14ac:dyDescent="0.15">
      <c r="A25" s="112" t="s">
        <v>68</v>
      </c>
      <c r="C25" s="120"/>
      <c r="F25" s="231"/>
    </row>
    <row r="26" spans="1:9" x14ac:dyDescent="0.15">
      <c r="A26" s="114" t="s">
        <v>59</v>
      </c>
      <c r="B26" s="120">
        <v>94.17</v>
      </c>
      <c r="C26" s="120">
        <v>95.67</v>
      </c>
      <c r="D26" s="68">
        <f>D$5</f>
        <v>97.01</v>
      </c>
      <c r="E26" s="80">
        <v>99.95</v>
      </c>
      <c r="F26" s="231">
        <v>100.55</v>
      </c>
      <c r="G26" s="80">
        <v>99.84</v>
      </c>
      <c r="H26" s="80">
        <v>98.71</v>
      </c>
      <c r="I26" s="80">
        <v>98.86</v>
      </c>
    </row>
    <row r="27" spans="1:9" x14ac:dyDescent="0.15">
      <c r="A27" s="114" t="s">
        <v>60</v>
      </c>
      <c r="B27" s="120">
        <v>3.7549999999999999</v>
      </c>
      <c r="C27" s="120">
        <v>3.8529999999999998</v>
      </c>
      <c r="D27" s="80">
        <v>4.0010000000000003</v>
      </c>
      <c r="E27" s="120">
        <v>4.3209999999999997</v>
      </c>
      <c r="F27" s="123">
        <v>4.258</v>
      </c>
      <c r="G27" s="80">
        <v>4.0519999999999996</v>
      </c>
      <c r="H27" s="80">
        <v>4.0380000000000003</v>
      </c>
      <c r="I27" s="80">
        <v>4.032</v>
      </c>
    </row>
  </sheetData>
  <sheetProtection selectLockedCells="1" selectUnlockedCells="1"/>
  <hyperlinks>
    <hyperlink ref="A2" r:id="rId1"/>
  </hyperlinks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9"/>
  <sheetViews>
    <sheetView zoomScaleNormal="100" zoomScalePageLayoutView="130" workbookViewId="0">
      <pane xSplit="2" ySplit="3" topLeftCell="C4" activePane="bottomRight" state="frozen"/>
      <selection activeCell="A35" sqref="A35"/>
      <selection pane="topRight" activeCell="A35" sqref="A35"/>
      <selection pane="bottomLeft" activeCell="A35" sqref="A35"/>
      <selection pane="bottomRight" activeCell="C4" sqref="C4"/>
    </sheetView>
  </sheetViews>
  <sheetFormatPr defaultColWidth="11.42578125" defaultRowHeight="10.5" x14ac:dyDescent="0.15"/>
  <cols>
    <col min="1" max="1" width="3" style="80" bestFit="1" customWidth="1"/>
    <col min="2" max="2" width="27" style="114" bestFit="1" customWidth="1"/>
    <col min="3" max="10" width="7.85546875" style="80" bestFit="1" customWidth="1"/>
    <col min="11" max="16384" width="11.42578125" style="80"/>
  </cols>
  <sheetData>
    <row r="1" spans="1:10" x14ac:dyDescent="0.15">
      <c r="B1" s="112" t="s">
        <v>69</v>
      </c>
      <c r="C1" s="46"/>
      <c r="D1" s="46"/>
      <c r="E1" s="46"/>
      <c r="F1" s="46"/>
      <c r="G1" s="46"/>
      <c r="H1" s="46"/>
      <c r="I1" s="46"/>
    </row>
    <row r="2" spans="1:10" x14ac:dyDescent="0.15">
      <c r="B2" s="113" t="s">
        <v>261</v>
      </c>
      <c r="C2" s="114"/>
      <c r="D2" s="114"/>
      <c r="E2" s="114"/>
      <c r="F2" s="114"/>
      <c r="G2" s="114"/>
      <c r="H2" s="114"/>
      <c r="I2" s="114"/>
    </row>
    <row r="3" spans="1:10" x14ac:dyDescent="0.15">
      <c r="B3" s="115" t="s">
        <v>70</v>
      </c>
      <c r="C3" s="116">
        <v>201612</v>
      </c>
      <c r="D3" s="116">
        <v>201701</v>
      </c>
      <c r="E3" s="116">
        <v>201702</v>
      </c>
      <c r="F3" s="116">
        <v>201703</v>
      </c>
      <c r="G3" s="116">
        <v>201704</v>
      </c>
      <c r="H3" s="116">
        <v>201705</v>
      </c>
      <c r="I3" s="116">
        <v>201706</v>
      </c>
      <c r="J3" s="116">
        <v>201707</v>
      </c>
    </row>
    <row r="4" spans="1:10" s="56" customFormat="1" x14ac:dyDescent="0.15">
      <c r="B4" s="117" t="s">
        <v>71</v>
      </c>
      <c r="C4" s="116" t="s">
        <v>51</v>
      </c>
      <c r="D4" s="118" t="s">
        <v>52</v>
      </c>
      <c r="E4" s="118" t="s">
        <v>53</v>
      </c>
      <c r="F4" s="118" t="s">
        <v>54</v>
      </c>
      <c r="G4" s="116" t="s">
        <v>55</v>
      </c>
      <c r="H4" s="116" t="s">
        <v>56</v>
      </c>
      <c r="I4" s="116" t="s">
        <v>57</v>
      </c>
      <c r="J4" s="116" t="s">
        <v>707</v>
      </c>
    </row>
    <row r="5" spans="1:10" x14ac:dyDescent="0.15">
      <c r="A5" s="80">
        <v>50</v>
      </c>
      <c r="B5" s="119" t="s">
        <v>72</v>
      </c>
      <c r="C5" s="120">
        <v>2.419</v>
      </c>
      <c r="D5" s="120">
        <v>2.4820000000000002</v>
      </c>
      <c r="E5" s="80">
        <v>2.577</v>
      </c>
      <c r="F5" s="120">
        <v>2.7829999999999999</v>
      </c>
      <c r="G5" s="120">
        <v>2.7429999999999999</v>
      </c>
      <c r="H5" s="120">
        <v>2.61</v>
      </c>
      <c r="I5" s="120">
        <v>2.601</v>
      </c>
      <c r="J5" s="120">
        <v>2.597</v>
      </c>
    </row>
    <row r="6" spans="1:10" x14ac:dyDescent="0.15">
      <c r="A6" s="80">
        <v>50</v>
      </c>
      <c r="B6" s="120" t="s">
        <v>73</v>
      </c>
      <c r="C6" s="120">
        <v>2.9169999999999998</v>
      </c>
      <c r="D6" s="120">
        <v>2.9929999999999999</v>
      </c>
      <c r="E6" s="80">
        <v>3.1080000000000001</v>
      </c>
      <c r="F6" s="120">
        <v>3.3559999999999999</v>
      </c>
      <c r="G6" s="120">
        <v>3.3069999999999999</v>
      </c>
      <c r="H6" s="120">
        <v>3.1469999999999998</v>
      </c>
      <c r="I6" s="120">
        <v>3.1360000000000001</v>
      </c>
      <c r="J6" s="120">
        <v>3.1309999999999998</v>
      </c>
    </row>
    <row r="7" spans="1:10" ht="12.75" customHeight="1" x14ac:dyDescent="0.15">
      <c r="B7" s="120" t="s">
        <v>74</v>
      </c>
      <c r="C7" s="120">
        <v>3.2149999999999999</v>
      </c>
      <c r="D7" s="120">
        <v>3.2989999999999999</v>
      </c>
      <c r="E7" s="80">
        <v>3.4249999999999998</v>
      </c>
      <c r="F7" s="120">
        <v>3.6989999999999998</v>
      </c>
      <c r="G7" s="120">
        <v>3.645</v>
      </c>
      <c r="H7" s="120">
        <v>3.4689999999999999</v>
      </c>
      <c r="I7" s="120">
        <v>3.4569999999999999</v>
      </c>
      <c r="J7" s="120">
        <v>3.4510000000000001</v>
      </c>
    </row>
    <row r="8" spans="1:10" ht="12.75" customHeight="1" x14ac:dyDescent="0.15">
      <c r="B8" s="115" t="s">
        <v>75</v>
      </c>
      <c r="C8" s="115"/>
    </row>
    <row r="9" spans="1:10" x14ac:dyDescent="0.15">
      <c r="B9" s="120" t="s">
        <v>76</v>
      </c>
      <c r="C9" s="120">
        <v>62.19</v>
      </c>
      <c r="D9" s="120">
        <v>63.18</v>
      </c>
      <c r="E9" s="80">
        <v>64.06</v>
      </c>
      <c r="F9" s="120">
        <v>66</v>
      </c>
      <c r="G9" s="120">
        <v>66.400000000000006</v>
      </c>
      <c r="H9" s="120">
        <v>65.930000000000007</v>
      </c>
      <c r="I9" s="120">
        <v>65.180000000000007</v>
      </c>
      <c r="J9" s="120">
        <v>65.28</v>
      </c>
    </row>
  </sheetData>
  <sheetProtection selectLockedCells="1" selectUnlockedCells="1"/>
  <hyperlinks>
    <hyperlink ref="B2" r:id="rId1"/>
  </hyperlinks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98"/>
  <sheetViews>
    <sheetView workbookViewId="0">
      <pane xSplit="2" ySplit="1" topLeftCell="C2" activePane="bottomRight" state="frozen"/>
      <selection activeCell="A35" sqref="A35"/>
      <selection pane="topRight" activeCell="A35" sqref="A35"/>
      <selection pane="bottomLeft" activeCell="A35" sqref="A35"/>
      <selection pane="bottomRight" activeCell="C2" sqref="C2"/>
    </sheetView>
  </sheetViews>
  <sheetFormatPr defaultRowHeight="10.5" x14ac:dyDescent="0.15"/>
  <cols>
    <col min="1" max="1" width="7" style="262" bestFit="1" customWidth="1"/>
    <col min="2" max="2" width="41.140625" style="262" bestFit="1" customWidth="1"/>
    <col min="3" max="4" width="9.5703125" style="262" bestFit="1" customWidth="1"/>
    <col min="5" max="10" width="7.85546875" style="262" bestFit="1" customWidth="1"/>
    <col min="11" max="16384" width="9.140625" style="262"/>
  </cols>
  <sheetData>
    <row r="1" spans="1:10" x14ac:dyDescent="0.15">
      <c r="A1" s="113" t="s">
        <v>262</v>
      </c>
      <c r="B1" s="263" t="s">
        <v>365</v>
      </c>
      <c r="C1" s="116">
        <v>201612</v>
      </c>
      <c r="D1" s="116">
        <v>201701</v>
      </c>
      <c r="E1" s="116">
        <v>201702</v>
      </c>
      <c r="F1" s="116">
        <v>201703</v>
      </c>
      <c r="G1" s="116">
        <v>201704</v>
      </c>
      <c r="H1" s="116">
        <v>201705</v>
      </c>
      <c r="I1" s="116">
        <v>201706</v>
      </c>
      <c r="J1" s="116">
        <v>201707</v>
      </c>
    </row>
    <row r="2" spans="1:10" x14ac:dyDescent="0.15">
      <c r="B2" s="263" t="s">
        <v>390</v>
      </c>
    </row>
    <row r="3" spans="1:10" x14ac:dyDescent="0.15">
      <c r="B3" s="262" t="s">
        <v>338</v>
      </c>
      <c r="C3" s="262" t="s">
        <v>366</v>
      </c>
      <c r="D3" s="262" t="s">
        <v>339</v>
      </c>
      <c r="E3" s="262" t="s">
        <v>340</v>
      </c>
      <c r="F3" s="262" t="s">
        <v>341</v>
      </c>
      <c r="G3" s="262" t="s">
        <v>342</v>
      </c>
      <c r="H3" s="262" t="s">
        <v>56</v>
      </c>
      <c r="I3" s="262" t="s">
        <v>344</v>
      </c>
      <c r="J3" s="462" t="s">
        <v>707</v>
      </c>
    </row>
    <row r="4" spans="1:10" x14ac:dyDescent="0.15">
      <c r="A4" s="266">
        <v>75</v>
      </c>
      <c r="B4" s="262" t="s">
        <v>345</v>
      </c>
      <c r="C4" s="262">
        <v>0.79300000000000004</v>
      </c>
      <c r="D4" s="262">
        <v>0.79300000000000004</v>
      </c>
      <c r="E4" s="262">
        <v>0.79300000000000004</v>
      </c>
      <c r="F4" s="262">
        <v>0.79300000000000004</v>
      </c>
      <c r="G4" s="262">
        <v>0.79300000000000004</v>
      </c>
      <c r="H4" s="262">
        <v>0.79300000000000004</v>
      </c>
      <c r="I4" s="262">
        <v>0.79300000000000004</v>
      </c>
      <c r="J4" s="262">
        <v>0.79300000000000004</v>
      </c>
    </row>
    <row r="5" spans="1:10" x14ac:dyDescent="0.15">
      <c r="A5" s="266">
        <v>65</v>
      </c>
      <c r="B5" s="262" t="s">
        <v>346</v>
      </c>
      <c r="C5" s="262">
        <v>0.95599999999999996</v>
      </c>
      <c r="D5" s="262">
        <v>0.95599999999999996</v>
      </c>
      <c r="E5" s="262">
        <v>0.95599999999999996</v>
      </c>
      <c r="F5" s="262">
        <v>0.95599999999999996</v>
      </c>
      <c r="G5" s="262">
        <v>0.95599999999999996</v>
      </c>
      <c r="H5" s="262">
        <v>0.95599999999999996</v>
      </c>
      <c r="I5" s="262">
        <v>0.95599999999999996</v>
      </c>
      <c r="J5" s="262">
        <v>0.95599999999999996</v>
      </c>
    </row>
    <row r="6" spans="1:10" x14ac:dyDescent="0.15">
      <c r="A6" s="266">
        <v>0</v>
      </c>
    </row>
    <row r="7" spans="1:10" x14ac:dyDescent="0.15">
      <c r="A7" s="266"/>
      <c r="B7" s="262" t="s">
        <v>347</v>
      </c>
      <c r="C7" s="262">
        <v>2.802</v>
      </c>
      <c r="D7" s="262">
        <v>2.802</v>
      </c>
      <c r="E7" s="262">
        <v>2.802</v>
      </c>
      <c r="F7" s="262">
        <v>2.802</v>
      </c>
      <c r="G7" s="262">
        <v>2.802</v>
      </c>
      <c r="H7" s="262">
        <v>2.802</v>
      </c>
      <c r="I7" s="262">
        <v>2.802</v>
      </c>
      <c r="J7" s="262">
        <v>2.802</v>
      </c>
    </row>
    <row r="8" spans="1:10" x14ac:dyDescent="0.15">
      <c r="A8" s="266"/>
    </row>
    <row r="9" spans="1:10" x14ac:dyDescent="0.15">
      <c r="B9" s="263" t="s">
        <v>389</v>
      </c>
    </row>
    <row r="10" spans="1:10" x14ac:dyDescent="0.15">
      <c r="B10" s="262" t="s">
        <v>338</v>
      </c>
      <c r="C10" s="262" t="s">
        <v>366</v>
      </c>
      <c r="D10" s="262" t="s">
        <v>339</v>
      </c>
      <c r="E10" s="262" t="s">
        <v>340</v>
      </c>
      <c r="F10" s="262" t="s">
        <v>341</v>
      </c>
      <c r="G10" s="262" t="s">
        <v>342</v>
      </c>
      <c r="H10" s="262" t="s">
        <v>56</v>
      </c>
      <c r="I10" s="262" t="s">
        <v>344</v>
      </c>
      <c r="J10" s="462" t="s">
        <v>707</v>
      </c>
    </row>
    <row r="11" spans="1:10" x14ac:dyDescent="0.15">
      <c r="A11" s="266">
        <v>75</v>
      </c>
      <c r="B11" s="262" t="s">
        <v>345</v>
      </c>
      <c r="C11" s="262">
        <v>0.79300000000000004</v>
      </c>
      <c r="D11" s="262">
        <v>0.79300000000000004</v>
      </c>
      <c r="E11" s="262">
        <v>0.79300000000000004</v>
      </c>
      <c r="F11" s="262">
        <v>0.79300000000000004</v>
      </c>
      <c r="G11" s="262">
        <v>0.79300000000000004</v>
      </c>
      <c r="H11" s="262">
        <v>0.79300000000000004</v>
      </c>
      <c r="I11" s="262">
        <v>0.79300000000000004</v>
      </c>
      <c r="J11" s="262">
        <v>0.79300000000000004</v>
      </c>
    </row>
    <row r="12" spans="1:10" x14ac:dyDescent="0.15">
      <c r="A12" s="266">
        <v>65</v>
      </c>
      <c r="B12" s="262" t="s">
        <v>346</v>
      </c>
      <c r="C12" s="262">
        <v>0.95599999999999996</v>
      </c>
      <c r="D12" s="262">
        <v>0.95599999999999996</v>
      </c>
      <c r="E12" s="262">
        <v>0.95599999999999996</v>
      </c>
      <c r="F12" s="262">
        <v>0.95599999999999996</v>
      </c>
      <c r="G12" s="262">
        <v>0.95599999999999996</v>
      </c>
      <c r="H12" s="262">
        <v>0.95599999999999996</v>
      </c>
      <c r="I12" s="262">
        <v>0.95599999999999996</v>
      </c>
      <c r="J12" s="262">
        <v>0.95599999999999996</v>
      </c>
    </row>
    <row r="13" spans="1:10" x14ac:dyDescent="0.15">
      <c r="A13" s="266">
        <v>0</v>
      </c>
    </row>
    <row r="14" spans="1:10" x14ac:dyDescent="0.15">
      <c r="A14" s="266"/>
      <c r="B14" s="262" t="s">
        <v>347</v>
      </c>
      <c r="C14" s="262">
        <v>2.802</v>
      </c>
      <c r="D14" s="262">
        <v>2.802</v>
      </c>
      <c r="E14" s="262">
        <v>2.802</v>
      </c>
      <c r="F14" s="262">
        <v>2.802</v>
      </c>
      <c r="G14" s="262">
        <v>2.802</v>
      </c>
      <c r="H14" s="262">
        <v>2.802</v>
      </c>
      <c r="I14" s="262">
        <v>2.802</v>
      </c>
      <c r="J14" s="262">
        <v>2.802</v>
      </c>
    </row>
    <row r="15" spans="1:10" x14ac:dyDescent="0.15">
      <c r="A15" s="266"/>
    </row>
    <row r="16" spans="1:10" x14ac:dyDescent="0.15">
      <c r="A16" s="266"/>
      <c r="B16" s="263" t="s">
        <v>372</v>
      </c>
    </row>
    <row r="17" spans="1:10" x14ac:dyDescent="0.15">
      <c r="A17" s="266"/>
      <c r="B17" s="262" t="s">
        <v>338</v>
      </c>
      <c r="C17" s="262" t="s">
        <v>366</v>
      </c>
      <c r="D17" s="262" t="s">
        <v>339</v>
      </c>
      <c r="E17" s="262" t="s">
        <v>340</v>
      </c>
      <c r="F17" s="262" t="s">
        <v>341</v>
      </c>
      <c r="G17" s="262" t="s">
        <v>342</v>
      </c>
      <c r="H17" s="262" t="s">
        <v>343</v>
      </c>
      <c r="I17" s="262" t="s">
        <v>344</v>
      </c>
      <c r="J17" s="462" t="s">
        <v>707</v>
      </c>
    </row>
    <row r="18" spans="1:10" x14ac:dyDescent="0.15">
      <c r="A18" s="266">
        <v>100</v>
      </c>
      <c r="B18" s="262" t="s">
        <v>348</v>
      </c>
      <c r="C18" s="262">
        <v>0.69699999999999995</v>
      </c>
      <c r="D18" s="262">
        <v>0.69699999999999995</v>
      </c>
      <c r="E18" s="262">
        <v>0.69699999999999995</v>
      </c>
      <c r="F18" s="262">
        <v>0.69699999999999995</v>
      </c>
      <c r="G18" s="262">
        <v>0.69699999999999995</v>
      </c>
      <c r="H18" s="262">
        <v>0.69699999999999995</v>
      </c>
      <c r="I18" s="262">
        <v>0.69699999999999995</v>
      </c>
      <c r="J18" s="262">
        <v>0.69699999999999995</v>
      </c>
    </row>
    <row r="19" spans="1:10" x14ac:dyDescent="0.15">
      <c r="A19" s="266">
        <v>50</v>
      </c>
      <c r="B19" s="262" t="s">
        <v>349</v>
      </c>
      <c r="C19" s="262">
        <v>0.82199999999999995</v>
      </c>
      <c r="D19" s="262">
        <v>0.82199999999999995</v>
      </c>
      <c r="E19" s="262">
        <v>0.82199999999999995</v>
      </c>
      <c r="F19" s="262">
        <v>0.82199999999999995</v>
      </c>
      <c r="G19" s="262">
        <v>0.82199999999999995</v>
      </c>
      <c r="H19" s="262">
        <v>0.82199999999999995</v>
      </c>
      <c r="I19" s="262">
        <v>0.82199999999999995</v>
      </c>
      <c r="J19" s="262">
        <v>0.82199999999999995</v>
      </c>
    </row>
    <row r="20" spans="1:10" x14ac:dyDescent="0.15">
      <c r="A20" s="266">
        <v>0</v>
      </c>
    </row>
    <row r="21" spans="1:10" x14ac:dyDescent="0.15">
      <c r="A21" s="266"/>
      <c r="B21" s="262" t="s">
        <v>347</v>
      </c>
      <c r="C21" s="262">
        <v>2.802</v>
      </c>
      <c r="D21" s="262">
        <v>2.802</v>
      </c>
      <c r="E21" s="262">
        <v>2.802</v>
      </c>
      <c r="F21" s="262">
        <v>2.802</v>
      </c>
      <c r="G21" s="262">
        <v>2.802</v>
      </c>
      <c r="H21" s="262">
        <v>2.802</v>
      </c>
      <c r="I21" s="262">
        <v>2.802</v>
      </c>
      <c r="J21" s="262">
        <v>2.802</v>
      </c>
    </row>
    <row r="22" spans="1:10" x14ac:dyDescent="0.15">
      <c r="A22" s="266"/>
    </row>
    <row r="23" spans="1:10" x14ac:dyDescent="0.15">
      <c r="A23" s="266"/>
      <c r="B23" s="263" t="s">
        <v>373</v>
      </c>
    </row>
    <row r="24" spans="1:10" x14ac:dyDescent="0.15">
      <c r="A24" s="266"/>
      <c r="B24" s="262" t="s">
        <v>338</v>
      </c>
      <c r="C24" s="262" t="s">
        <v>366</v>
      </c>
      <c r="D24" s="262" t="s">
        <v>339</v>
      </c>
      <c r="E24" s="262" t="s">
        <v>340</v>
      </c>
      <c r="F24" s="262" t="s">
        <v>341</v>
      </c>
      <c r="G24" s="262" t="s">
        <v>342</v>
      </c>
      <c r="H24" s="262" t="s">
        <v>343</v>
      </c>
      <c r="I24" s="262" t="s">
        <v>344</v>
      </c>
      <c r="J24" s="462" t="s">
        <v>707</v>
      </c>
    </row>
    <row r="25" spans="1:10" x14ac:dyDescent="0.15">
      <c r="A25" s="266">
        <v>75</v>
      </c>
      <c r="B25" s="262" t="s">
        <v>345</v>
      </c>
      <c r="C25" s="262">
        <v>0.79300000000000004</v>
      </c>
      <c r="D25" s="262">
        <v>0.79300000000000004</v>
      </c>
      <c r="E25" s="262">
        <v>0.79300000000000004</v>
      </c>
      <c r="F25" s="262">
        <v>0.79300000000000004</v>
      </c>
      <c r="G25" s="262">
        <v>0.79300000000000004</v>
      </c>
      <c r="H25" s="262">
        <v>0.79300000000000004</v>
      </c>
      <c r="I25" s="262">
        <v>0.79300000000000004</v>
      </c>
      <c r="J25" s="262">
        <v>0.79300000000000004</v>
      </c>
    </row>
    <row r="26" spans="1:10" x14ac:dyDescent="0.15">
      <c r="A26" s="266">
        <v>75</v>
      </c>
      <c r="B26" s="262" t="s">
        <v>350</v>
      </c>
      <c r="C26" s="262">
        <v>0.95599999999999996</v>
      </c>
      <c r="D26" s="262">
        <v>0.95599999999999996</v>
      </c>
      <c r="E26" s="262">
        <v>0.95599999999999996</v>
      </c>
      <c r="F26" s="262">
        <v>0.95599999999999996</v>
      </c>
      <c r="G26" s="262">
        <v>0.95599999999999996</v>
      </c>
      <c r="H26" s="262">
        <v>0.95599999999999996</v>
      </c>
      <c r="I26" s="262">
        <v>0.95599999999999996</v>
      </c>
      <c r="J26" s="262">
        <v>0.95599999999999996</v>
      </c>
    </row>
    <row r="27" spans="1:10" x14ac:dyDescent="0.15">
      <c r="A27" s="266">
        <v>0</v>
      </c>
    </row>
    <row r="28" spans="1:10" x14ac:dyDescent="0.15">
      <c r="A28" s="266"/>
      <c r="B28" s="262" t="s">
        <v>347</v>
      </c>
      <c r="C28" s="262">
        <v>2.802</v>
      </c>
      <c r="D28" s="262">
        <v>2.802</v>
      </c>
      <c r="E28" s="262">
        <v>2.802</v>
      </c>
      <c r="F28" s="262">
        <v>2.802</v>
      </c>
      <c r="G28" s="262">
        <v>2.802</v>
      </c>
      <c r="H28" s="262">
        <v>2.802</v>
      </c>
      <c r="I28" s="262">
        <v>2.802</v>
      </c>
      <c r="J28" s="262">
        <v>2.802</v>
      </c>
    </row>
    <row r="29" spans="1:10" x14ac:dyDescent="0.15">
      <c r="A29" s="266"/>
    </row>
    <row r="30" spans="1:10" x14ac:dyDescent="0.15">
      <c r="A30" s="266"/>
      <c r="B30" s="263" t="s">
        <v>378</v>
      </c>
    </row>
    <row r="31" spans="1:10" x14ac:dyDescent="0.15">
      <c r="A31" s="266"/>
      <c r="B31" s="262" t="s">
        <v>338</v>
      </c>
      <c r="C31" s="262" t="s">
        <v>366</v>
      </c>
      <c r="D31" s="262" t="s">
        <v>339</v>
      </c>
      <c r="E31" s="262" t="s">
        <v>340</v>
      </c>
      <c r="F31" s="262" t="s">
        <v>341</v>
      </c>
      <c r="G31" s="262" t="s">
        <v>342</v>
      </c>
      <c r="H31" s="262" t="s">
        <v>343</v>
      </c>
      <c r="I31" s="262" t="s">
        <v>344</v>
      </c>
      <c r="J31" s="462" t="s">
        <v>707</v>
      </c>
    </row>
    <row r="32" spans="1:10" x14ac:dyDescent="0.15">
      <c r="A32" s="266">
        <v>125</v>
      </c>
      <c r="B32" s="262" t="s">
        <v>351</v>
      </c>
      <c r="C32" s="262">
        <v>0.69699999999999995</v>
      </c>
      <c r="D32" s="262">
        <v>0.69699999999999995</v>
      </c>
      <c r="E32" s="262">
        <v>0.69699999999999995</v>
      </c>
      <c r="F32" s="262">
        <v>0.69699999999999995</v>
      </c>
      <c r="G32" s="262">
        <v>0.69699999999999995</v>
      </c>
      <c r="H32" s="262">
        <v>0.69699999999999995</v>
      </c>
      <c r="I32" s="262">
        <v>0.69699999999999995</v>
      </c>
      <c r="J32" s="262">
        <v>0.69699999999999995</v>
      </c>
    </row>
    <row r="33" spans="1:10" x14ac:dyDescent="0.15">
      <c r="A33" s="266">
        <v>100</v>
      </c>
      <c r="B33" s="262" t="s">
        <v>352</v>
      </c>
      <c r="C33" s="262">
        <v>0.82199999999999995</v>
      </c>
      <c r="D33" s="262">
        <v>0.82199999999999995</v>
      </c>
      <c r="E33" s="262">
        <v>0.82199999999999995</v>
      </c>
      <c r="F33" s="262">
        <v>0.82199999999999995</v>
      </c>
      <c r="G33" s="262">
        <v>0.82199999999999995</v>
      </c>
      <c r="H33" s="262">
        <v>0.82199999999999995</v>
      </c>
      <c r="I33" s="262">
        <v>0.82199999999999995</v>
      </c>
      <c r="J33" s="262">
        <v>0.82199999999999995</v>
      </c>
    </row>
    <row r="34" spans="1:10" x14ac:dyDescent="0.15">
      <c r="A34" s="266">
        <v>0</v>
      </c>
    </row>
    <row r="35" spans="1:10" x14ac:dyDescent="0.15">
      <c r="A35" s="266"/>
      <c r="B35" s="262" t="s">
        <v>347</v>
      </c>
      <c r="C35" s="262">
        <v>2.802</v>
      </c>
      <c r="D35" s="262">
        <v>2.802</v>
      </c>
      <c r="E35" s="262">
        <v>2.802</v>
      </c>
      <c r="F35" s="262">
        <v>2.802</v>
      </c>
      <c r="G35" s="262">
        <v>2.802</v>
      </c>
      <c r="H35" s="262">
        <v>2.802</v>
      </c>
      <c r="I35" s="262">
        <v>2.802</v>
      </c>
      <c r="J35" s="262">
        <v>2.802</v>
      </c>
    </row>
    <row r="36" spans="1:10" x14ac:dyDescent="0.15">
      <c r="A36" s="266"/>
    </row>
    <row r="37" spans="1:10" x14ac:dyDescent="0.15">
      <c r="A37" s="266"/>
      <c r="B37" s="263" t="s">
        <v>383</v>
      </c>
    </row>
    <row r="38" spans="1:10" x14ac:dyDescent="0.15">
      <c r="A38" s="266"/>
      <c r="B38" s="262" t="s">
        <v>338</v>
      </c>
      <c r="C38" s="262" t="s">
        <v>366</v>
      </c>
      <c r="D38" s="262" t="s">
        <v>339</v>
      </c>
      <c r="E38" s="262" t="s">
        <v>340</v>
      </c>
      <c r="F38" s="262" t="s">
        <v>341</v>
      </c>
      <c r="G38" s="262" t="s">
        <v>342</v>
      </c>
      <c r="H38" s="262" t="s">
        <v>343</v>
      </c>
      <c r="I38" s="262" t="s">
        <v>344</v>
      </c>
      <c r="J38" s="462" t="s">
        <v>707</v>
      </c>
    </row>
    <row r="39" spans="1:10" x14ac:dyDescent="0.15">
      <c r="A39" s="266">
        <v>75</v>
      </c>
      <c r="B39" s="262" t="s">
        <v>345</v>
      </c>
      <c r="C39" s="262">
        <v>0.79300000000000004</v>
      </c>
      <c r="D39" s="262">
        <v>0.79300000000000004</v>
      </c>
      <c r="E39" s="262">
        <v>0.79300000000000004</v>
      </c>
      <c r="F39" s="262">
        <v>0.79300000000000004</v>
      </c>
      <c r="G39" s="262">
        <v>0.79300000000000004</v>
      </c>
      <c r="H39" s="262">
        <v>0.79300000000000004</v>
      </c>
      <c r="I39" s="262">
        <v>0.79300000000000004</v>
      </c>
      <c r="J39" s="262">
        <v>0.79300000000000004</v>
      </c>
    </row>
    <row r="40" spans="1:10" x14ac:dyDescent="0.15">
      <c r="A40" s="266">
        <v>100</v>
      </c>
      <c r="B40" s="262" t="s">
        <v>353</v>
      </c>
      <c r="C40" s="262">
        <v>0.95599999999999996</v>
      </c>
      <c r="D40" s="262">
        <v>0.95599999999999996</v>
      </c>
      <c r="E40" s="262">
        <v>0.95599999999999996</v>
      </c>
      <c r="F40" s="262">
        <v>0.95599999999999996</v>
      </c>
      <c r="G40" s="262">
        <v>0.95599999999999996</v>
      </c>
      <c r="H40" s="262">
        <v>0.95599999999999996</v>
      </c>
      <c r="I40" s="262">
        <v>0.95599999999999996</v>
      </c>
      <c r="J40" s="262">
        <v>0.95599999999999996</v>
      </c>
    </row>
    <row r="41" spans="1:10" x14ac:dyDescent="0.15">
      <c r="A41" s="266">
        <v>0</v>
      </c>
    </row>
    <row r="42" spans="1:10" x14ac:dyDescent="0.15">
      <c r="A42" s="266"/>
      <c r="B42" s="262" t="s">
        <v>347</v>
      </c>
      <c r="C42" s="262">
        <v>2.802</v>
      </c>
      <c r="D42" s="262">
        <v>2.802</v>
      </c>
      <c r="E42" s="262">
        <v>2.802</v>
      </c>
      <c r="F42" s="262">
        <v>2.802</v>
      </c>
      <c r="G42" s="262">
        <v>2.802</v>
      </c>
      <c r="H42" s="262">
        <v>2.802</v>
      </c>
      <c r="I42" s="262">
        <v>2.802</v>
      </c>
      <c r="J42" s="262">
        <v>2.802</v>
      </c>
    </row>
    <row r="43" spans="1:10" x14ac:dyDescent="0.15">
      <c r="A43" s="266"/>
    </row>
    <row r="44" spans="1:10" x14ac:dyDescent="0.15">
      <c r="A44" s="266"/>
      <c r="B44" s="263" t="s">
        <v>377</v>
      </c>
    </row>
    <row r="45" spans="1:10" x14ac:dyDescent="0.15">
      <c r="A45" s="266"/>
      <c r="B45" s="262" t="s">
        <v>338</v>
      </c>
      <c r="C45" s="262" t="s">
        <v>366</v>
      </c>
      <c r="D45" s="262" t="s">
        <v>339</v>
      </c>
      <c r="E45" s="262" t="s">
        <v>340</v>
      </c>
      <c r="F45" s="262" t="s">
        <v>341</v>
      </c>
      <c r="G45" s="262" t="s">
        <v>342</v>
      </c>
      <c r="H45" s="262" t="s">
        <v>343</v>
      </c>
      <c r="I45" s="262" t="s">
        <v>344</v>
      </c>
      <c r="J45" s="262" t="s">
        <v>707</v>
      </c>
    </row>
    <row r="46" spans="1:10" x14ac:dyDescent="0.15">
      <c r="A46" s="266">
        <v>150</v>
      </c>
      <c r="B46" s="262" t="s">
        <v>354</v>
      </c>
      <c r="C46" s="262">
        <v>0.69699999999999995</v>
      </c>
      <c r="D46" s="262">
        <v>0.69699999999999995</v>
      </c>
      <c r="E46" s="262">
        <v>0.69699999999999995</v>
      </c>
      <c r="F46" s="262">
        <v>0.69699999999999995</v>
      </c>
      <c r="G46" s="262">
        <v>0.69699999999999995</v>
      </c>
      <c r="H46" s="262">
        <v>0.69699999999999995</v>
      </c>
      <c r="I46" s="262">
        <v>0.69699999999999995</v>
      </c>
      <c r="J46" s="262">
        <v>0.69699999999999995</v>
      </c>
    </row>
    <row r="47" spans="1:10" x14ac:dyDescent="0.15">
      <c r="A47" s="266">
        <v>150</v>
      </c>
      <c r="B47" s="262" t="s">
        <v>355</v>
      </c>
      <c r="C47" s="262">
        <v>0.82199999999999995</v>
      </c>
      <c r="D47" s="262">
        <v>0.82199999999999995</v>
      </c>
      <c r="E47" s="262">
        <v>0.82199999999999995</v>
      </c>
      <c r="F47" s="262">
        <v>0.82199999999999995</v>
      </c>
      <c r="G47" s="262">
        <v>0.82199999999999995</v>
      </c>
      <c r="H47" s="262">
        <v>0.82199999999999995</v>
      </c>
      <c r="I47" s="262">
        <v>0.82199999999999995</v>
      </c>
      <c r="J47" s="262">
        <v>0.82199999999999995</v>
      </c>
    </row>
    <row r="48" spans="1:10" x14ac:dyDescent="0.15">
      <c r="A48" s="266">
        <v>150</v>
      </c>
      <c r="B48" s="262" t="s">
        <v>356</v>
      </c>
      <c r="C48" s="262">
        <v>1.05</v>
      </c>
      <c r="D48" s="262">
        <v>1.05</v>
      </c>
      <c r="E48" s="262">
        <v>1.05</v>
      </c>
      <c r="F48" s="262">
        <v>1.05</v>
      </c>
      <c r="G48" s="262">
        <v>1.05</v>
      </c>
      <c r="H48" s="262">
        <v>1.05</v>
      </c>
      <c r="I48" s="262">
        <v>1.05</v>
      </c>
      <c r="J48" s="262">
        <v>1.05</v>
      </c>
    </row>
    <row r="49" spans="1:10" x14ac:dyDescent="0.15">
      <c r="A49" s="266"/>
      <c r="B49" s="262" t="s">
        <v>347</v>
      </c>
      <c r="C49" s="262">
        <v>2.802</v>
      </c>
      <c r="D49" s="262">
        <v>2.802</v>
      </c>
      <c r="E49" s="262">
        <v>2.802</v>
      </c>
      <c r="F49" s="262">
        <v>2.802</v>
      </c>
      <c r="G49" s="262">
        <v>2.802</v>
      </c>
      <c r="H49" s="262">
        <v>2.802</v>
      </c>
      <c r="I49" s="262">
        <v>2.802</v>
      </c>
      <c r="J49" s="262">
        <v>2.802</v>
      </c>
    </row>
    <row r="50" spans="1:10" x14ac:dyDescent="0.15">
      <c r="A50" s="266"/>
    </row>
    <row r="51" spans="1:10" x14ac:dyDescent="0.15">
      <c r="A51" s="266"/>
      <c r="B51" s="263" t="s">
        <v>382</v>
      </c>
    </row>
    <row r="52" spans="1:10" x14ac:dyDescent="0.15">
      <c r="A52" s="266"/>
      <c r="B52" s="262" t="s">
        <v>338</v>
      </c>
      <c r="C52" s="262" t="s">
        <v>366</v>
      </c>
      <c r="D52" s="262" t="s">
        <v>339</v>
      </c>
      <c r="E52" s="262" t="s">
        <v>340</v>
      </c>
      <c r="F52" s="262" t="s">
        <v>341</v>
      </c>
      <c r="G52" s="262" t="s">
        <v>342</v>
      </c>
      <c r="H52" s="262" t="s">
        <v>343</v>
      </c>
      <c r="I52" s="262" t="s">
        <v>344</v>
      </c>
      <c r="J52" s="262" t="s">
        <v>707</v>
      </c>
    </row>
    <row r="53" spans="1:10" x14ac:dyDescent="0.15">
      <c r="A53" s="266">
        <v>75</v>
      </c>
      <c r="B53" s="262" t="s">
        <v>345</v>
      </c>
      <c r="C53" s="262">
        <v>0.79300000000000004</v>
      </c>
      <c r="D53" s="262">
        <v>0.79300000000000004</v>
      </c>
      <c r="E53" s="262">
        <v>0.79300000000000004</v>
      </c>
      <c r="F53" s="262">
        <v>0.79300000000000004</v>
      </c>
      <c r="G53" s="262">
        <v>0.79300000000000004</v>
      </c>
      <c r="H53" s="262">
        <v>0.79300000000000004</v>
      </c>
      <c r="I53" s="262">
        <v>0.79300000000000004</v>
      </c>
      <c r="J53" s="262">
        <v>0.79300000000000004</v>
      </c>
    </row>
    <row r="54" spans="1:10" x14ac:dyDescent="0.15">
      <c r="A54" s="266">
        <v>100</v>
      </c>
      <c r="B54" s="262" t="s">
        <v>353</v>
      </c>
      <c r="C54" s="262">
        <v>0.95599999999999996</v>
      </c>
      <c r="D54" s="262">
        <v>0.95599999999999996</v>
      </c>
      <c r="E54" s="262">
        <v>0.95599999999999996</v>
      </c>
      <c r="F54" s="262">
        <v>0.95599999999999996</v>
      </c>
      <c r="G54" s="262">
        <v>0.95599999999999996</v>
      </c>
      <c r="H54" s="262">
        <v>0.95599999999999996</v>
      </c>
      <c r="I54" s="262">
        <v>0.95599999999999996</v>
      </c>
      <c r="J54" s="262">
        <v>0.95599999999999996</v>
      </c>
    </row>
    <row r="55" spans="1:10" x14ac:dyDescent="0.15">
      <c r="A55" s="266">
        <v>0</v>
      </c>
    </row>
    <row r="56" spans="1:10" x14ac:dyDescent="0.15">
      <c r="A56" s="266"/>
      <c r="B56" s="262" t="s">
        <v>347</v>
      </c>
      <c r="C56" s="262">
        <v>2.802</v>
      </c>
      <c r="D56" s="262">
        <v>2.802</v>
      </c>
      <c r="E56" s="262">
        <v>2.802</v>
      </c>
      <c r="F56" s="262">
        <v>2.802</v>
      </c>
      <c r="G56" s="262">
        <v>2.802</v>
      </c>
      <c r="H56" s="262">
        <v>2.802</v>
      </c>
      <c r="I56" s="262">
        <v>2.802</v>
      </c>
      <c r="J56" s="262">
        <v>2.802</v>
      </c>
    </row>
    <row r="57" spans="1:10" x14ac:dyDescent="0.15">
      <c r="A57" s="266"/>
    </row>
    <row r="58" spans="1:10" x14ac:dyDescent="0.15">
      <c r="A58" s="266"/>
      <c r="B58" s="263" t="s">
        <v>375</v>
      </c>
    </row>
    <row r="59" spans="1:10" x14ac:dyDescent="0.15">
      <c r="A59" s="266"/>
      <c r="B59" s="262" t="s">
        <v>338</v>
      </c>
      <c r="C59" s="262" t="s">
        <v>366</v>
      </c>
      <c r="D59" s="262" t="s">
        <v>339</v>
      </c>
      <c r="E59" s="262" t="s">
        <v>340</v>
      </c>
      <c r="F59" s="262" t="s">
        <v>341</v>
      </c>
      <c r="G59" s="262" t="s">
        <v>342</v>
      </c>
      <c r="H59" s="262" t="s">
        <v>343</v>
      </c>
      <c r="I59" s="262" t="s">
        <v>344</v>
      </c>
      <c r="J59" s="262" t="s">
        <v>707</v>
      </c>
    </row>
    <row r="60" spans="1:10" x14ac:dyDescent="0.15">
      <c r="A60" s="266">
        <v>175</v>
      </c>
      <c r="B60" s="262" t="s">
        <v>357</v>
      </c>
      <c r="C60" s="262">
        <v>0.69699999999999995</v>
      </c>
      <c r="D60" s="262">
        <v>0.69699999999999995</v>
      </c>
      <c r="E60" s="262">
        <v>0.69699999999999995</v>
      </c>
      <c r="F60" s="262">
        <v>0.69699999999999995</v>
      </c>
      <c r="G60" s="262">
        <v>0.69699999999999995</v>
      </c>
      <c r="H60" s="262">
        <v>0.69699999999999995</v>
      </c>
      <c r="I60" s="262">
        <v>0.69699999999999995</v>
      </c>
      <c r="J60" s="262">
        <v>0.69699999999999995</v>
      </c>
    </row>
    <row r="61" spans="1:10" x14ac:dyDescent="0.15">
      <c r="A61" s="266">
        <v>225</v>
      </c>
      <c r="B61" s="262" t="s">
        <v>358</v>
      </c>
      <c r="C61" s="262">
        <v>0.82199999999999995</v>
      </c>
      <c r="D61" s="262">
        <v>0.82199999999999995</v>
      </c>
      <c r="E61" s="262">
        <v>0.82199999999999995</v>
      </c>
      <c r="F61" s="262">
        <v>0.82199999999999995</v>
      </c>
      <c r="G61" s="262">
        <v>0.82199999999999995</v>
      </c>
      <c r="H61" s="262">
        <v>0.82199999999999995</v>
      </c>
      <c r="I61" s="262">
        <v>0.82199999999999995</v>
      </c>
      <c r="J61" s="262">
        <v>0.82199999999999995</v>
      </c>
    </row>
    <row r="62" spans="1:10" x14ac:dyDescent="0.15">
      <c r="A62" s="266">
        <v>200</v>
      </c>
      <c r="B62" s="262" t="s">
        <v>359</v>
      </c>
      <c r="C62" s="262">
        <v>1.05</v>
      </c>
      <c r="D62" s="262">
        <v>1.05</v>
      </c>
      <c r="E62" s="262">
        <v>1.05</v>
      </c>
      <c r="F62" s="262">
        <v>1.05</v>
      </c>
      <c r="G62" s="262">
        <v>1.05</v>
      </c>
      <c r="H62" s="262">
        <v>1.05</v>
      </c>
      <c r="I62" s="262">
        <v>1.05</v>
      </c>
      <c r="J62" s="262">
        <v>1.05</v>
      </c>
    </row>
    <row r="63" spans="1:10" x14ac:dyDescent="0.15">
      <c r="A63" s="266"/>
      <c r="B63" s="262" t="s">
        <v>347</v>
      </c>
      <c r="C63" s="262">
        <v>2.802</v>
      </c>
      <c r="D63" s="262">
        <v>2.802</v>
      </c>
      <c r="E63" s="262">
        <v>2.802</v>
      </c>
      <c r="F63" s="262">
        <v>2.802</v>
      </c>
      <c r="G63" s="262">
        <v>2.802</v>
      </c>
      <c r="H63" s="262">
        <v>2.802</v>
      </c>
      <c r="I63" s="262">
        <v>2.802</v>
      </c>
      <c r="J63" s="262">
        <v>2.802</v>
      </c>
    </row>
    <row r="64" spans="1:10" x14ac:dyDescent="0.15">
      <c r="A64" s="266"/>
    </row>
    <row r="65" spans="1:10" x14ac:dyDescent="0.15">
      <c r="A65" s="266"/>
      <c r="B65" s="263" t="s">
        <v>381</v>
      </c>
    </row>
    <row r="66" spans="1:10" x14ac:dyDescent="0.15">
      <c r="A66" s="266"/>
      <c r="B66" s="262" t="s">
        <v>338</v>
      </c>
      <c r="C66" s="262" t="s">
        <v>366</v>
      </c>
      <c r="D66" s="262" t="s">
        <v>339</v>
      </c>
      <c r="E66" s="262" t="s">
        <v>340</v>
      </c>
      <c r="F66" s="262" t="s">
        <v>341</v>
      </c>
      <c r="G66" s="262" t="s">
        <v>342</v>
      </c>
      <c r="H66" s="262" t="s">
        <v>343</v>
      </c>
      <c r="I66" s="262" t="s">
        <v>344</v>
      </c>
      <c r="J66" s="262" t="s">
        <v>707</v>
      </c>
    </row>
    <row r="67" spans="1:10" x14ac:dyDescent="0.15">
      <c r="A67" s="266">
        <v>75</v>
      </c>
      <c r="B67" s="262" t="s">
        <v>345</v>
      </c>
      <c r="C67" s="262">
        <v>0.79300000000000004</v>
      </c>
      <c r="D67" s="262">
        <v>0.79300000000000004</v>
      </c>
      <c r="E67" s="262">
        <v>0.79300000000000004</v>
      </c>
      <c r="F67" s="262">
        <v>0.79300000000000004</v>
      </c>
      <c r="G67" s="262">
        <v>0.79300000000000004</v>
      </c>
      <c r="H67" s="262">
        <v>0.79300000000000004</v>
      </c>
      <c r="I67" s="262">
        <v>0.79300000000000004</v>
      </c>
      <c r="J67" s="262">
        <v>0.79300000000000004</v>
      </c>
    </row>
    <row r="68" spans="1:10" x14ac:dyDescent="0.15">
      <c r="A68" s="266">
        <v>125</v>
      </c>
      <c r="B68" s="262" t="s">
        <v>360</v>
      </c>
      <c r="C68" s="262">
        <v>0.95599999999999996</v>
      </c>
      <c r="D68" s="262">
        <v>0.95599999999999996</v>
      </c>
      <c r="E68" s="262">
        <v>0.95599999999999996</v>
      </c>
      <c r="F68" s="262">
        <v>0.95599999999999996</v>
      </c>
      <c r="G68" s="262">
        <v>0.95599999999999996</v>
      </c>
      <c r="H68" s="262">
        <v>0.95599999999999996</v>
      </c>
      <c r="I68" s="262">
        <v>0.95599999999999996</v>
      </c>
      <c r="J68" s="262">
        <v>0.95599999999999996</v>
      </c>
    </row>
    <row r="69" spans="1:10" x14ac:dyDescent="0.15">
      <c r="A69" s="266">
        <v>0</v>
      </c>
    </row>
    <row r="70" spans="1:10" x14ac:dyDescent="0.15">
      <c r="A70" s="266"/>
      <c r="B70" s="262" t="s">
        <v>347</v>
      </c>
      <c r="C70" s="262">
        <v>2.802</v>
      </c>
      <c r="D70" s="262">
        <v>2.802</v>
      </c>
      <c r="E70" s="262">
        <v>2.802</v>
      </c>
      <c r="F70" s="262">
        <v>2.802</v>
      </c>
      <c r="G70" s="262">
        <v>2.802</v>
      </c>
      <c r="H70" s="262">
        <v>2.802</v>
      </c>
      <c r="I70" s="262">
        <v>2.802</v>
      </c>
      <c r="J70" s="262">
        <v>2.802</v>
      </c>
    </row>
    <row r="71" spans="1:10" x14ac:dyDescent="0.15">
      <c r="A71" s="266"/>
    </row>
    <row r="72" spans="1:10" x14ac:dyDescent="0.15">
      <c r="A72" s="266"/>
      <c r="B72" s="263" t="s">
        <v>374</v>
      </c>
    </row>
    <row r="73" spans="1:10" x14ac:dyDescent="0.15">
      <c r="A73" s="266"/>
      <c r="B73" s="262" t="s">
        <v>338</v>
      </c>
      <c r="C73" s="262" t="s">
        <v>366</v>
      </c>
      <c r="D73" s="262" t="s">
        <v>339</v>
      </c>
      <c r="E73" s="262" t="s">
        <v>340</v>
      </c>
      <c r="F73" s="262" t="s">
        <v>341</v>
      </c>
      <c r="G73" s="262" t="s">
        <v>342</v>
      </c>
      <c r="H73" s="262" t="s">
        <v>343</v>
      </c>
      <c r="I73" s="262" t="s">
        <v>344</v>
      </c>
      <c r="J73" s="262" t="s">
        <v>707</v>
      </c>
    </row>
    <row r="74" spans="1:10" x14ac:dyDescent="0.15">
      <c r="A74" s="266">
        <v>300</v>
      </c>
      <c r="B74" s="262" t="s">
        <v>361</v>
      </c>
      <c r="C74" s="262">
        <v>0.58299999999999996</v>
      </c>
      <c r="D74" s="262">
        <v>0.58299999999999996</v>
      </c>
      <c r="E74" s="262">
        <v>0.58299999999999996</v>
      </c>
      <c r="F74" s="262">
        <v>0.58299999999999996</v>
      </c>
      <c r="G74" s="262">
        <v>0.58299999999999996</v>
      </c>
      <c r="H74" s="262">
        <v>0.58299999999999996</v>
      </c>
      <c r="I74" s="262">
        <v>0.58299999999999996</v>
      </c>
      <c r="J74" s="262">
        <v>0.58299999999999996</v>
      </c>
    </row>
    <row r="75" spans="1:10" x14ac:dyDescent="0.15">
      <c r="A75" s="266">
        <v>450</v>
      </c>
      <c r="B75" s="262" t="s">
        <v>362</v>
      </c>
      <c r="C75" s="262">
        <v>0.72599999999999998</v>
      </c>
      <c r="D75" s="262">
        <v>0.72599999999999998</v>
      </c>
      <c r="E75" s="262">
        <v>0.72599999999999998</v>
      </c>
      <c r="F75" s="262">
        <v>0.72599999999999998</v>
      </c>
      <c r="G75" s="262">
        <v>0.72599999999999998</v>
      </c>
      <c r="H75" s="262">
        <v>0.72599999999999998</v>
      </c>
      <c r="I75" s="262">
        <v>0.72599999999999998</v>
      </c>
      <c r="J75" s="262">
        <v>0.72599999999999998</v>
      </c>
    </row>
    <row r="76" spans="1:10" x14ac:dyDescent="0.15">
      <c r="A76" s="266">
        <v>150</v>
      </c>
      <c r="B76" s="262" t="s">
        <v>363</v>
      </c>
      <c r="C76" s="262">
        <v>0.94799999999999995</v>
      </c>
      <c r="D76" s="262">
        <v>0.94799999999999995</v>
      </c>
      <c r="E76" s="262">
        <v>0.94799999999999995</v>
      </c>
      <c r="F76" s="262">
        <v>0.94799999999999995</v>
      </c>
      <c r="G76" s="262">
        <v>0.94799999999999995</v>
      </c>
      <c r="H76" s="262">
        <v>0.94799999999999995</v>
      </c>
      <c r="I76" s="262">
        <v>0.94799999999999995</v>
      </c>
      <c r="J76" s="262">
        <v>0.94799999999999995</v>
      </c>
    </row>
    <row r="77" spans="1:10" x14ac:dyDescent="0.15">
      <c r="A77" s="266"/>
      <c r="B77" s="262" t="s">
        <v>347</v>
      </c>
      <c r="C77" s="262">
        <v>2.802</v>
      </c>
      <c r="D77" s="262">
        <v>2.802</v>
      </c>
      <c r="E77" s="262">
        <v>2.802</v>
      </c>
      <c r="F77" s="262">
        <v>2.802</v>
      </c>
      <c r="G77" s="262">
        <v>2.802</v>
      </c>
      <c r="H77" s="262">
        <v>2.802</v>
      </c>
      <c r="I77" s="262">
        <v>2.802</v>
      </c>
      <c r="J77" s="262">
        <v>2.802</v>
      </c>
    </row>
    <row r="78" spans="1:10" x14ac:dyDescent="0.15">
      <c r="A78" s="266"/>
    </row>
    <row r="79" spans="1:10" x14ac:dyDescent="0.15">
      <c r="A79" s="266"/>
      <c r="B79" s="263" t="s">
        <v>380</v>
      </c>
    </row>
    <row r="80" spans="1:10" x14ac:dyDescent="0.15">
      <c r="A80" s="266"/>
      <c r="B80" s="262" t="s">
        <v>338</v>
      </c>
      <c r="C80" s="262" t="s">
        <v>366</v>
      </c>
      <c r="D80" s="262" t="s">
        <v>339</v>
      </c>
      <c r="E80" s="262" t="s">
        <v>340</v>
      </c>
      <c r="F80" s="262" t="s">
        <v>341</v>
      </c>
      <c r="G80" s="262" t="s">
        <v>342</v>
      </c>
      <c r="H80" s="262" t="s">
        <v>343</v>
      </c>
      <c r="I80" s="262" t="s">
        <v>344</v>
      </c>
      <c r="J80" s="262" t="s">
        <v>707</v>
      </c>
    </row>
    <row r="81" spans="1:10" x14ac:dyDescent="0.15">
      <c r="A81" s="266">
        <v>75</v>
      </c>
      <c r="B81" s="262" t="s">
        <v>345</v>
      </c>
      <c r="C81" s="262">
        <v>0.79300000000000004</v>
      </c>
      <c r="D81" s="262">
        <v>0.79300000000000004</v>
      </c>
      <c r="E81" s="262">
        <v>0.79300000000000004</v>
      </c>
      <c r="F81" s="262">
        <v>0.79300000000000004</v>
      </c>
      <c r="G81" s="262">
        <v>0.79300000000000004</v>
      </c>
      <c r="H81" s="262">
        <v>0.79300000000000004</v>
      </c>
      <c r="I81" s="262">
        <v>0.79300000000000004</v>
      </c>
      <c r="J81" s="262">
        <v>0.79300000000000004</v>
      </c>
    </row>
    <row r="82" spans="1:10" x14ac:dyDescent="0.15">
      <c r="A82" s="266">
        <v>125</v>
      </c>
      <c r="B82" s="262" t="s">
        <v>360</v>
      </c>
      <c r="C82" s="262">
        <v>0.95599999999999996</v>
      </c>
      <c r="D82" s="262">
        <v>0.95599999999999996</v>
      </c>
      <c r="E82" s="262">
        <v>0.95599999999999996</v>
      </c>
      <c r="F82" s="262">
        <v>0.95599999999999996</v>
      </c>
      <c r="G82" s="262">
        <v>0.95599999999999996</v>
      </c>
      <c r="H82" s="262">
        <v>0.95599999999999996</v>
      </c>
      <c r="I82" s="262">
        <v>0.95599999999999996</v>
      </c>
      <c r="J82" s="262">
        <v>0.95599999999999996</v>
      </c>
    </row>
    <row r="83" spans="1:10" x14ac:dyDescent="0.15">
      <c r="A83" s="266">
        <v>0</v>
      </c>
    </row>
    <row r="84" spans="1:10" x14ac:dyDescent="0.15">
      <c r="A84" s="266"/>
      <c r="B84" s="262" t="s">
        <v>347</v>
      </c>
      <c r="C84" s="262">
        <v>2.802</v>
      </c>
      <c r="D84" s="262">
        <v>2.802</v>
      </c>
      <c r="E84" s="262">
        <v>2.802</v>
      </c>
      <c r="F84" s="262">
        <v>2.802</v>
      </c>
      <c r="G84" s="262">
        <v>2.802</v>
      </c>
      <c r="H84" s="262">
        <v>2.802</v>
      </c>
      <c r="I84" s="262">
        <v>2.802</v>
      </c>
      <c r="J84" s="262">
        <v>2.802</v>
      </c>
    </row>
    <row r="85" spans="1:10" x14ac:dyDescent="0.15">
      <c r="A85" s="266"/>
    </row>
    <row r="86" spans="1:10" x14ac:dyDescent="0.15">
      <c r="A86" s="266"/>
      <c r="B86" s="263" t="s">
        <v>376</v>
      </c>
    </row>
    <row r="87" spans="1:10" x14ac:dyDescent="0.15">
      <c r="A87" s="266"/>
      <c r="B87" s="262" t="s">
        <v>338</v>
      </c>
      <c r="C87" s="262" t="s">
        <v>366</v>
      </c>
      <c r="D87" s="262" t="s">
        <v>339</v>
      </c>
      <c r="E87" s="262" t="s">
        <v>340</v>
      </c>
      <c r="F87" s="262" t="s">
        <v>341</v>
      </c>
      <c r="G87" s="262" t="s">
        <v>342</v>
      </c>
      <c r="H87" s="262" t="s">
        <v>343</v>
      </c>
      <c r="I87" s="262" t="s">
        <v>344</v>
      </c>
      <c r="J87" s="262" t="s">
        <v>707</v>
      </c>
    </row>
    <row r="88" spans="1:10" x14ac:dyDescent="0.15">
      <c r="A88" s="266">
        <v>300</v>
      </c>
      <c r="B88" s="262" t="s">
        <v>361</v>
      </c>
      <c r="C88" s="262">
        <v>0.58299999999999996</v>
      </c>
      <c r="D88" s="262">
        <v>0.58299999999999996</v>
      </c>
      <c r="E88" s="262">
        <v>0.58299999999999996</v>
      </c>
      <c r="F88" s="262">
        <v>0.58299999999999996</v>
      </c>
      <c r="G88" s="262">
        <v>0.58299999999999996</v>
      </c>
      <c r="H88" s="262">
        <v>0.58299999999999996</v>
      </c>
      <c r="I88" s="262">
        <v>0.58299999999999996</v>
      </c>
      <c r="J88" s="262">
        <v>0.58299999999999996</v>
      </c>
    </row>
    <row r="89" spans="1:10" x14ac:dyDescent="0.15">
      <c r="A89" s="266">
        <v>900</v>
      </c>
      <c r="B89" s="262" t="s">
        <v>364</v>
      </c>
      <c r="C89" s="262">
        <v>0.72599999999999998</v>
      </c>
      <c r="D89" s="262">
        <v>0.72599999999999998</v>
      </c>
      <c r="E89" s="262">
        <v>0.72599999999999998</v>
      </c>
      <c r="F89" s="262">
        <v>0.72599999999999998</v>
      </c>
      <c r="G89" s="262">
        <v>0.72599999999999998</v>
      </c>
      <c r="H89" s="262">
        <v>0.72599999999999998</v>
      </c>
      <c r="I89" s="262">
        <v>0.72599999999999998</v>
      </c>
      <c r="J89" s="262">
        <v>0.72599999999999998</v>
      </c>
    </row>
    <row r="90" spans="1:10" x14ac:dyDescent="0.15">
      <c r="A90" s="266">
        <v>1300</v>
      </c>
      <c r="B90" s="262" t="s">
        <v>367</v>
      </c>
      <c r="C90" s="262">
        <v>1.768</v>
      </c>
      <c r="D90" s="262">
        <v>1.768</v>
      </c>
      <c r="E90" s="262">
        <v>1.768</v>
      </c>
      <c r="F90" s="262">
        <v>1.768</v>
      </c>
      <c r="G90" s="262">
        <v>1.768</v>
      </c>
      <c r="H90" s="262">
        <v>1.768</v>
      </c>
      <c r="I90" s="262">
        <v>1.768</v>
      </c>
      <c r="J90" s="262">
        <v>1.768</v>
      </c>
    </row>
    <row r="91" spans="1:10" x14ac:dyDescent="0.15">
      <c r="A91" s="266"/>
      <c r="B91" s="262" t="s">
        <v>347</v>
      </c>
      <c r="C91" s="262">
        <v>2.802</v>
      </c>
      <c r="D91" s="262">
        <v>2.802</v>
      </c>
      <c r="E91" s="262">
        <v>2.802</v>
      </c>
      <c r="F91" s="262">
        <v>2.802</v>
      </c>
      <c r="G91" s="262">
        <v>2.802</v>
      </c>
      <c r="H91" s="262">
        <v>2.802</v>
      </c>
      <c r="I91" s="262">
        <v>2.802</v>
      </c>
      <c r="J91" s="262">
        <v>2.802</v>
      </c>
    </row>
    <row r="92" spans="1:10" x14ac:dyDescent="0.15">
      <c r="A92" s="266"/>
    </row>
    <row r="93" spans="1:10" x14ac:dyDescent="0.15">
      <c r="A93" s="266"/>
      <c r="B93" s="263" t="s">
        <v>379</v>
      </c>
    </row>
    <row r="94" spans="1:10" x14ac:dyDescent="0.15">
      <c r="A94" s="266"/>
      <c r="B94" s="262" t="s">
        <v>338</v>
      </c>
      <c r="C94" s="262" t="s">
        <v>366</v>
      </c>
      <c r="D94" s="262" t="s">
        <v>339</v>
      </c>
      <c r="E94" s="262" t="s">
        <v>340</v>
      </c>
      <c r="F94" s="262" t="s">
        <v>341</v>
      </c>
      <c r="G94" s="262" t="s">
        <v>342</v>
      </c>
      <c r="H94" s="262" t="s">
        <v>343</v>
      </c>
      <c r="I94" s="262" t="s">
        <v>344</v>
      </c>
      <c r="J94" s="262" t="s">
        <v>707</v>
      </c>
    </row>
    <row r="95" spans="1:10" x14ac:dyDescent="0.15">
      <c r="A95" s="266">
        <v>75</v>
      </c>
      <c r="B95" s="262" t="s">
        <v>368</v>
      </c>
      <c r="C95" s="262">
        <v>0.79300000000000004</v>
      </c>
      <c r="D95" s="262">
        <v>0.79300000000000004</v>
      </c>
      <c r="E95" s="262">
        <v>0.79300000000000004</v>
      </c>
      <c r="F95" s="262">
        <v>0.79300000000000004</v>
      </c>
      <c r="G95" s="262">
        <v>0.79300000000000004</v>
      </c>
      <c r="H95" s="262">
        <v>0.79300000000000004</v>
      </c>
      <c r="I95" s="262">
        <v>0.79300000000000004</v>
      </c>
      <c r="J95" s="262">
        <v>0.79300000000000004</v>
      </c>
    </row>
    <row r="96" spans="1:10" x14ac:dyDescent="0.15">
      <c r="A96" s="266">
        <v>125</v>
      </c>
      <c r="B96" s="262" t="s">
        <v>360</v>
      </c>
      <c r="C96" s="262">
        <v>0.95599999999999996</v>
      </c>
      <c r="D96" s="262">
        <v>0.95599999999999996</v>
      </c>
      <c r="E96" s="262">
        <v>0.95599999999999996</v>
      </c>
      <c r="F96" s="262">
        <v>0.95599999999999996</v>
      </c>
      <c r="G96" s="262">
        <v>0.95599999999999996</v>
      </c>
      <c r="H96" s="262">
        <v>0.95599999999999996</v>
      </c>
      <c r="I96" s="262">
        <v>0.95599999999999996</v>
      </c>
      <c r="J96" s="262">
        <v>0.95599999999999996</v>
      </c>
    </row>
    <row r="97" spans="1:10" x14ac:dyDescent="0.15">
      <c r="A97" s="266">
        <v>0</v>
      </c>
    </row>
    <row r="98" spans="1:10" x14ac:dyDescent="0.15">
      <c r="A98" s="266"/>
      <c r="B98" s="262" t="s">
        <v>347</v>
      </c>
      <c r="C98" s="262">
        <v>2.802</v>
      </c>
      <c r="D98" s="262">
        <v>2.802</v>
      </c>
      <c r="E98" s="262">
        <v>2.802</v>
      </c>
      <c r="F98" s="262">
        <v>2.802</v>
      </c>
      <c r="G98" s="262">
        <v>2.802</v>
      </c>
      <c r="H98" s="262">
        <v>2.802</v>
      </c>
      <c r="I98" s="262">
        <v>2.802</v>
      </c>
      <c r="J98" s="262">
        <v>2.802</v>
      </c>
    </row>
  </sheetData>
  <hyperlinks>
    <hyperlink ref="A1" r:id="rId1"/>
  </hyperlinks>
  <pageMargins left="0.7" right="0.7" top="0.75" bottom="0.75" header="0.3" footer="0.3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6"/>
  <sheetViews>
    <sheetView workbookViewId="0">
      <selection sqref="A1:A12"/>
    </sheetView>
  </sheetViews>
  <sheetFormatPr defaultRowHeight="10.5" x14ac:dyDescent="0.15"/>
  <cols>
    <col min="1" max="1" width="3.5703125" style="76" bestFit="1" customWidth="1"/>
    <col min="2" max="2" width="32" style="32" bestFit="1" customWidth="1"/>
    <col min="3" max="3" width="64.85546875" style="32" bestFit="1" customWidth="1"/>
    <col min="4" max="4" width="18.7109375" style="32" bestFit="1" customWidth="1"/>
    <col min="5" max="16384" width="9.140625" style="32"/>
  </cols>
  <sheetData>
    <row r="1" spans="1:4" s="76" customFormat="1" ht="12.75" customHeight="1" x14ac:dyDescent="0.15">
      <c r="A1" s="583" t="s">
        <v>204</v>
      </c>
      <c r="B1" s="89" t="s">
        <v>205</v>
      </c>
      <c r="C1" s="256" t="s">
        <v>206</v>
      </c>
      <c r="D1" s="90" t="s">
        <v>336</v>
      </c>
    </row>
    <row r="2" spans="1:4" ht="10.5" customHeight="1" x14ac:dyDescent="0.15">
      <c r="A2" s="584"/>
      <c r="B2" s="259" t="s">
        <v>175</v>
      </c>
      <c r="C2" s="86" t="s">
        <v>58</v>
      </c>
      <c r="D2" s="87">
        <v>1</v>
      </c>
    </row>
    <row r="3" spans="1:4" x14ac:dyDescent="0.15">
      <c r="A3" s="584"/>
      <c r="B3" s="259" t="s">
        <v>176</v>
      </c>
      <c r="C3" s="86" t="s">
        <v>61</v>
      </c>
      <c r="D3" s="87">
        <v>1</v>
      </c>
    </row>
    <row r="4" spans="1:4" x14ac:dyDescent="0.15">
      <c r="A4" s="584"/>
      <c r="B4" s="259" t="s">
        <v>178</v>
      </c>
      <c r="C4" s="86" t="s">
        <v>62</v>
      </c>
      <c r="D4" s="87">
        <v>3</v>
      </c>
    </row>
    <row r="5" spans="1:4" x14ac:dyDescent="0.15">
      <c r="A5" s="584"/>
      <c r="B5" s="259" t="s">
        <v>179</v>
      </c>
      <c r="C5" s="86" t="s">
        <v>63</v>
      </c>
      <c r="D5" s="87">
        <v>3</v>
      </c>
    </row>
    <row r="6" spans="1:4" x14ac:dyDescent="0.15">
      <c r="A6" s="584"/>
      <c r="B6" s="259" t="s">
        <v>77</v>
      </c>
      <c r="C6" s="86" t="s">
        <v>64</v>
      </c>
      <c r="D6" s="87">
        <v>7</v>
      </c>
    </row>
    <row r="7" spans="1:4" x14ac:dyDescent="0.15">
      <c r="A7" s="584"/>
      <c r="B7" s="259" t="s">
        <v>177</v>
      </c>
      <c r="C7" s="86" t="s">
        <v>65</v>
      </c>
      <c r="D7" s="87">
        <v>4</v>
      </c>
    </row>
    <row r="8" spans="1:4" x14ac:dyDescent="0.15">
      <c r="A8" s="584"/>
      <c r="B8" s="259" t="s">
        <v>318</v>
      </c>
      <c r="C8" s="86" t="s">
        <v>67</v>
      </c>
      <c r="D8" s="87">
        <v>5</v>
      </c>
    </row>
    <row r="9" spans="1:4" s="231" customFormat="1" x14ac:dyDescent="0.15">
      <c r="A9" s="584"/>
      <c r="B9" s="259" t="s">
        <v>319</v>
      </c>
      <c r="C9" s="86" t="s">
        <v>67</v>
      </c>
      <c r="D9" s="87">
        <v>6</v>
      </c>
    </row>
    <row r="10" spans="1:4" x14ac:dyDescent="0.15">
      <c r="A10" s="584"/>
      <c r="B10" s="259" t="s">
        <v>320</v>
      </c>
      <c r="C10" s="86" t="s">
        <v>68</v>
      </c>
      <c r="D10" s="87">
        <v>8</v>
      </c>
    </row>
    <row r="11" spans="1:4" s="231" customFormat="1" x14ac:dyDescent="0.15">
      <c r="A11" s="584"/>
      <c r="B11" s="259" t="s">
        <v>321</v>
      </c>
      <c r="C11" s="86" t="s">
        <v>68</v>
      </c>
      <c r="D11" s="87">
        <v>9</v>
      </c>
    </row>
    <row r="12" spans="1:4" x14ac:dyDescent="0.15">
      <c r="A12" s="585"/>
      <c r="B12" s="260"/>
      <c r="C12" s="38"/>
      <c r="D12" s="88"/>
    </row>
    <row r="14" spans="1:4" x14ac:dyDescent="0.15">
      <c r="A14" s="583" t="s">
        <v>207</v>
      </c>
      <c r="B14" s="90" t="s">
        <v>205</v>
      </c>
    </row>
    <row r="15" spans="1:4" s="76" customFormat="1" x14ac:dyDescent="0.15">
      <c r="A15" s="584"/>
      <c r="B15" s="87" t="s">
        <v>147</v>
      </c>
    </row>
    <row r="16" spans="1:4" s="76" customFormat="1" x14ac:dyDescent="0.15">
      <c r="A16" s="584"/>
      <c r="B16" s="87" t="s">
        <v>69</v>
      </c>
    </row>
    <row r="17" spans="1:2" x14ac:dyDescent="0.15">
      <c r="A17" s="585"/>
      <c r="B17" s="88"/>
    </row>
    <row r="18" spans="1:2" s="231" customFormat="1" x14ac:dyDescent="0.15"/>
    <row r="19" spans="1:2" s="231" customFormat="1" x14ac:dyDescent="0.15">
      <c r="A19" s="583" t="s">
        <v>335</v>
      </c>
      <c r="B19" s="90" t="s">
        <v>205</v>
      </c>
    </row>
    <row r="20" spans="1:2" s="231" customFormat="1" x14ac:dyDescent="0.15">
      <c r="A20" s="584"/>
      <c r="B20" s="258">
        <v>1</v>
      </c>
    </row>
    <row r="21" spans="1:2" s="231" customFormat="1" x14ac:dyDescent="0.15">
      <c r="A21" s="584"/>
      <c r="B21" s="87" t="s">
        <v>44</v>
      </c>
    </row>
    <row r="22" spans="1:2" s="231" customFormat="1" x14ac:dyDescent="0.15">
      <c r="A22" s="584"/>
      <c r="B22" s="87" t="s">
        <v>45</v>
      </c>
    </row>
    <row r="23" spans="1:2" s="231" customFormat="1" x14ac:dyDescent="0.15">
      <c r="A23" s="584"/>
      <c r="B23" s="87" t="s">
        <v>46</v>
      </c>
    </row>
    <row r="24" spans="1:2" s="231" customFormat="1" x14ac:dyDescent="0.15">
      <c r="A24" s="584"/>
      <c r="B24" s="87" t="s">
        <v>47</v>
      </c>
    </row>
    <row r="25" spans="1:2" s="231" customFormat="1" x14ac:dyDescent="0.15">
      <c r="A25" s="584"/>
      <c r="B25" s="87" t="s">
        <v>48</v>
      </c>
    </row>
    <row r="26" spans="1:2" s="231" customFormat="1" x14ac:dyDescent="0.15">
      <c r="A26" s="584"/>
      <c r="B26" s="87" t="s">
        <v>49</v>
      </c>
    </row>
    <row r="27" spans="1:2" s="231" customFormat="1" x14ac:dyDescent="0.15">
      <c r="A27" s="585"/>
      <c r="B27" s="88"/>
    </row>
    <row r="29" spans="1:2" x14ac:dyDescent="0.15">
      <c r="A29" s="586" t="s">
        <v>312</v>
      </c>
      <c r="B29" s="229">
        <v>1</v>
      </c>
    </row>
    <row r="30" spans="1:2" x14ac:dyDescent="0.15">
      <c r="A30" s="587"/>
      <c r="B30" s="228">
        <v>2</v>
      </c>
    </row>
    <row r="31" spans="1:2" s="231" customFormat="1" x14ac:dyDescent="0.15">
      <c r="A31" s="588"/>
      <c r="B31" s="227">
        <v>3</v>
      </c>
    </row>
    <row r="33" spans="1:3" x14ac:dyDescent="0.15">
      <c r="A33" s="580" t="s">
        <v>326</v>
      </c>
      <c r="B33" s="89" t="s">
        <v>316</v>
      </c>
      <c r="C33" s="90" t="s">
        <v>324</v>
      </c>
    </row>
    <row r="34" spans="1:3" x14ac:dyDescent="0.15">
      <c r="A34" s="581"/>
      <c r="B34" s="86" t="s">
        <v>322</v>
      </c>
      <c r="C34" s="87">
        <v>1</v>
      </c>
    </row>
    <row r="35" spans="1:3" s="231" customFormat="1" x14ac:dyDescent="0.15">
      <c r="A35" s="581"/>
      <c r="B35" s="86" t="s">
        <v>323</v>
      </c>
      <c r="C35" s="87">
        <v>2</v>
      </c>
    </row>
    <row r="36" spans="1:3" s="231" customFormat="1" x14ac:dyDescent="0.15">
      <c r="A36" s="581"/>
      <c r="B36" s="86"/>
      <c r="C36" s="87"/>
    </row>
    <row r="37" spans="1:3" x14ac:dyDescent="0.15">
      <c r="A37" s="582"/>
      <c r="B37" s="38"/>
      <c r="C37" s="88"/>
    </row>
    <row r="39" spans="1:3" x14ac:dyDescent="0.15">
      <c r="A39" s="580" t="s">
        <v>327</v>
      </c>
      <c r="B39" s="256" t="s">
        <v>317</v>
      </c>
      <c r="C39" s="90" t="s">
        <v>325</v>
      </c>
    </row>
    <row r="40" spans="1:3" x14ac:dyDescent="0.15">
      <c r="A40" s="581"/>
      <c r="B40" s="86">
        <v>0</v>
      </c>
      <c r="C40" s="87">
        <v>1</v>
      </c>
    </row>
    <row r="41" spans="1:3" x14ac:dyDescent="0.15">
      <c r="A41" s="581"/>
      <c r="B41" s="86">
        <v>5</v>
      </c>
      <c r="C41" s="87">
        <v>2</v>
      </c>
    </row>
    <row r="42" spans="1:3" x14ac:dyDescent="0.15">
      <c r="A42" s="581"/>
      <c r="B42" s="86">
        <v>10</v>
      </c>
      <c r="C42" s="87">
        <v>3</v>
      </c>
    </row>
    <row r="43" spans="1:3" x14ac:dyDescent="0.15">
      <c r="A43" s="581"/>
      <c r="B43" s="86">
        <v>15</v>
      </c>
      <c r="C43" s="87">
        <v>4</v>
      </c>
    </row>
    <row r="44" spans="1:3" x14ac:dyDescent="0.15">
      <c r="A44" s="581"/>
      <c r="B44" s="86">
        <v>20</v>
      </c>
      <c r="C44" s="87">
        <v>5</v>
      </c>
    </row>
    <row r="45" spans="1:3" s="231" customFormat="1" x14ac:dyDescent="0.15">
      <c r="A45" s="581"/>
      <c r="B45" s="86">
        <v>25</v>
      </c>
      <c r="C45" s="87">
        <v>6</v>
      </c>
    </row>
    <row r="46" spans="1:3" x14ac:dyDescent="0.15">
      <c r="A46" s="582"/>
      <c r="B46" s="38"/>
      <c r="C46" s="88"/>
    </row>
  </sheetData>
  <mergeCells count="6">
    <mergeCell ref="A39:A46"/>
    <mergeCell ref="A1:A12"/>
    <mergeCell ref="A14:A17"/>
    <mergeCell ref="A29:A31"/>
    <mergeCell ref="A33:A37"/>
    <mergeCell ref="A19:A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98</vt:i4>
      </vt:variant>
    </vt:vector>
  </HeadingPairs>
  <TitlesOfParts>
    <vt:vector size="111" baseType="lpstr">
      <vt:lpstr>Inputs_MySOL</vt:lpstr>
      <vt:lpstr>Inputs</vt:lpstr>
      <vt:lpstr>Proposal_Eng</vt:lpstr>
      <vt:lpstr>Proposal_Esp</vt:lpstr>
      <vt:lpstr>ContractData</vt:lpstr>
      <vt:lpstr>Unit_Internal</vt:lpstr>
      <vt:lpstr>Model</vt:lpstr>
      <vt:lpstr>Savings</vt:lpstr>
      <vt:lpstr>Components</vt:lpstr>
      <vt:lpstr>CFE_History_DAC</vt:lpstr>
      <vt:lpstr>CFE_History_Tarifa2</vt:lpstr>
      <vt:lpstr>CFE_History_Tarifa1</vt:lpstr>
      <vt:lpstr>ListData</vt:lpstr>
      <vt:lpstr>CFE_CargoFijo</vt:lpstr>
      <vt:lpstr>CFE_Hilos</vt:lpstr>
      <vt:lpstr>CFE_Limite</vt:lpstr>
      <vt:lpstr>CFE_RateCategory</vt:lpstr>
      <vt:lpstr>CFE_RatePeriod</vt:lpstr>
      <vt:lpstr>CFE_RatePreTaxes</vt:lpstr>
      <vt:lpstr>CFE_RateWithDAP</vt:lpstr>
      <vt:lpstr>CFE_Region</vt:lpstr>
      <vt:lpstr>CFE_YrIncreasePct</vt:lpstr>
      <vt:lpstr>CorpTaxRate</vt:lpstr>
      <vt:lpstr>Cust_Address</vt:lpstr>
      <vt:lpstr>Cust_Bank</vt:lpstr>
      <vt:lpstr>Cust_BankAcct</vt:lpstr>
      <vt:lpstr>Cust_CC_Expiry</vt:lpstr>
      <vt:lpstr>Cust_CC_No</vt:lpstr>
      <vt:lpstr>Cust_CC_SecCode</vt:lpstr>
      <vt:lpstr>Cust_CC_Type</vt:lpstr>
      <vt:lpstr>Cust_CfeServNum</vt:lpstr>
      <vt:lpstr>Cust_City</vt:lpstr>
      <vt:lpstr>Cust_Co_DeedDated</vt:lpstr>
      <vt:lpstr>Cust_Co_DeedNo</vt:lpstr>
      <vt:lpstr>Cust_Co_DeedNotaryFolioNo</vt:lpstr>
      <vt:lpstr>Cust_Co_DeedNotaryLoc</vt:lpstr>
      <vt:lpstr>Cust_Co_DeedNotaryName</vt:lpstr>
      <vt:lpstr>Cust_Co_DeedNotaryNo</vt:lpstr>
      <vt:lpstr>Cust_Co_DeedNotaryRegLoc</vt:lpstr>
      <vt:lpstr>Cust_Co_Rep</vt:lpstr>
      <vt:lpstr>Cust_Co_Rep_DeedDated</vt:lpstr>
      <vt:lpstr>Cust_Co_Rep_DeedNo</vt:lpstr>
      <vt:lpstr>Cust_Co_Rep_DeedNotaryFolioNo</vt:lpstr>
      <vt:lpstr>Cust_Co_Rep_DeedNotaryLoc</vt:lpstr>
      <vt:lpstr>Cust_Co_Rep_DeedNotaryName</vt:lpstr>
      <vt:lpstr>Cust_Co_Rep_DeedNotaryNo</vt:lpstr>
      <vt:lpstr>Cust_Co_Rep_DeedNotaryRegLoc</vt:lpstr>
      <vt:lpstr>Cust_Company</vt:lpstr>
      <vt:lpstr>Cust_Email</vt:lpstr>
      <vt:lpstr>Cust_FirstName</vt:lpstr>
      <vt:lpstr>Cust_Ind_ID</vt:lpstr>
      <vt:lpstr>Cust_Ind_Natl</vt:lpstr>
      <vt:lpstr>Cust_InitialPymt</vt:lpstr>
      <vt:lpstr>Cust_LastName</vt:lpstr>
      <vt:lpstr>Cust_LastName2</vt:lpstr>
      <vt:lpstr>Cust_LeaseTermYears</vt:lpstr>
      <vt:lpstr>Cust_SavingsRate</vt:lpstr>
      <vt:lpstr>Cust_State</vt:lpstr>
      <vt:lpstr>Cust_Telephone</vt:lpstr>
      <vt:lpstr>Cust_Zip</vt:lpstr>
      <vt:lpstr>CustUsage_kWhPerYear</vt:lpstr>
      <vt:lpstr>DAP</vt:lpstr>
      <vt:lpstr>EqInv_Equity</vt:lpstr>
      <vt:lpstr>EqInv_ReqIRR</vt:lpstr>
      <vt:lpstr>FinYrIncr</vt:lpstr>
      <vt:lpstr>InflationRate</vt:lpstr>
      <vt:lpstr>InverterLossPct</vt:lpstr>
      <vt:lpstr>IVA</vt:lpstr>
      <vt:lpstr>JO</vt:lpstr>
      <vt:lpstr>JO_Co_DeedDated</vt:lpstr>
      <vt:lpstr>JO_Co_DeedNo</vt:lpstr>
      <vt:lpstr>JO_Co_DeedNotaryFolioNo</vt:lpstr>
      <vt:lpstr>JO_Co_DeedNotaryLoc</vt:lpstr>
      <vt:lpstr>JO_Co_DeedNotaryName</vt:lpstr>
      <vt:lpstr>JO_Co_DeedNotaryNo</vt:lpstr>
      <vt:lpstr>JO_Co_DeedNotaryRegLoc</vt:lpstr>
      <vt:lpstr>JO_Co_Rep</vt:lpstr>
      <vt:lpstr>JO_Co_Rep_DeedDated</vt:lpstr>
      <vt:lpstr>JO_Co_Rep_DeedNo</vt:lpstr>
      <vt:lpstr>JO_Co_Rep_DeedNotaryLoc</vt:lpstr>
      <vt:lpstr>JO_Co_Rep_DeedNotaryName</vt:lpstr>
      <vt:lpstr>JO_Co_Rep_DeedNotaryNo</vt:lpstr>
      <vt:lpstr>JO_Email</vt:lpstr>
      <vt:lpstr>JO_Ind_ID</vt:lpstr>
      <vt:lpstr>JO_Ind_Natl</vt:lpstr>
      <vt:lpstr>MXNperUSD</vt:lpstr>
      <vt:lpstr>MySol_TotalRate</vt:lpstr>
      <vt:lpstr>OpExpensePerKwUSD</vt:lpstr>
      <vt:lpstr>Panel_PTC</vt:lpstr>
      <vt:lpstr>Panel_STC</vt:lpstr>
      <vt:lpstr>priceEGaugeUSD</vt:lpstr>
      <vt:lpstr>Proposal_Eng!Print_Area</vt:lpstr>
      <vt:lpstr>Proposal_Esp!Print_Area</vt:lpstr>
      <vt:lpstr>SolarSvcProvider</vt:lpstr>
      <vt:lpstr>Sys_Factor</vt:lpstr>
      <vt:lpstr>Sys_FundPricePerWatt</vt:lpstr>
      <vt:lpstr>Sys_FundPriceTotal</vt:lpstr>
      <vt:lpstr>Sys_kWhPerYear</vt:lpstr>
      <vt:lpstr>Sys_NumPanels</vt:lpstr>
      <vt:lpstr>Sys_OtherLossPct</vt:lpstr>
      <vt:lpstr>Sys_SizeWatts</vt:lpstr>
      <vt:lpstr>Sys_SunHours</vt:lpstr>
      <vt:lpstr>Sys_YrDegradationRate</vt:lpstr>
      <vt:lpstr>SysSpec_CommAcc_Units</vt:lpstr>
      <vt:lpstr>SysSpec_Inverters_Units</vt:lpstr>
      <vt:lpstr>SysSpec_Optimizers_Units</vt:lpstr>
      <vt:lpstr>SysSpec_PV_Units</vt:lpstr>
      <vt:lpstr>SysSpec_SysMon_Units</vt:lpstr>
      <vt:lpstr>Table_DataStart</vt:lpstr>
      <vt:lpstr>Table_XAxisStart</vt:lpstr>
      <vt:lpstr>Table_YAxisStart</vt:lpstr>
    </vt:vector>
  </TitlesOfParts>
  <Company>Director General Mexenova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Vazquez</dc:creator>
  <cp:lastModifiedBy>Ben Rogers</cp:lastModifiedBy>
  <cp:lastPrinted>2017-06-30T19:47:41Z</cp:lastPrinted>
  <dcterms:created xsi:type="dcterms:W3CDTF">2017-04-20T00:13:46Z</dcterms:created>
  <dcterms:modified xsi:type="dcterms:W3CDTF">2017-07-06T22:43:24Z</dcterms:modified>
</cp:coreProperties>
</file>
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oge\Google Drive\ProjectFinance\"/>
    </mc:Choice>
  </mc:AlternateContent>
  <bookViews>
    <workbookView xWindow="0" yWindow="0" windowWidth="20490" windowHeight="9105" tabRatio="751" activeTab="1"/>
  </bookViews>
  <sheets>
    <sheet name="Inputs_MySOL" sheetId="19" r:id="rId1"/>
    <sheet name="Inputs" sheetId="22" r:id="rId2"/>
    <sheet name="Proposal_Eng" sheetId="26" r:id="rId3"/>
    <sheet name="Proposal_Esp" sheetId="25" r:id="rId4"/>
    <sheet name="ContractData" sheetId="31" r:id="rId5"/>
    <sheet name="SalesSupport" sheetId="32" r:id="rId6"/>
    <sheet name="Unit_Internal" sheetId="1" r:id="rId7"/>
    <sheet name="Model" sheetId="30" r:id="rId8"/>
    <sheet name="Savings" sheetId="4" r:id="rId9"/>
    <sheet name="Components" sheetId="15" r:id="rId10"/>
    <sheet name="CFE_History_DAC" sheetId="9" r:id="rId11"/>
    <sheet name="CFE_History_Tarifa2" sheetId="18" r:id="rId12"/>
    <sheet name="CFE_History_Tarifa1" sheetId="29" r:id="rId13"/>
    <sheet name="ListData" sheetId="17" r:id="rId14"/>
  </sheets>
  <functionGroups builtInGroupCount="18"/>
  <definedNames>
    <definedName name="_Order1" hidden="1">255</definedName>
    <definedName name="_Order2" hidden="1">255</definedName>
    <definedName name="CFE_CargoFijo">Inputs_MySOL!$G$2</definedName>
    <definedName name="CFE_Hilos">Inputs!$B$15</definedName>
    <definedName name="CFE_Limite">Inputs!$B$17</definedName>
    <definedName name="CFE_RateCategory">Inputs!$B$16</definedName>
    <definedName name="CFE_RatePeriod">Inputs_MySOL!$B$25</definedName>
    <definedName name="CFE_RatePreTaxes">Inputs_MySOL!$G$3</definedName>
    <definedName name="CFE_RateWithDAP">Inputs_MySOL!$G$4</definedName>
    <definedName name="CFE_Region">Inputs!$B$18</definedName>
    <definedName name="CFE_YrIncreasePct">Inputs_MySOL!$B$6</definedName>
    <definedName name="CorpTaxRate">Inputs_MySOL!$B$5</definedName>
    <definedName name="Cust_Address">Inputs!$B$10</definedName>
    <definedName name="Cust_Bank">ContractData!$C$12</definedName>
    <definedName name="Cust_BankAcct">ContractData!$C$13</definedName>
    <definedName name="Cust_CC_Expiry">ContractData!$C$16</definedName>
    <definedName name="Cust_CC_No">ContractData!$C$15</definedName>
    <definedName name="Cust_CC_SecCode">ContractData!$C$17</definedName>
    <definedName name="Cust_CC_Type">ContractData!$C$14</definedName>
    <definedName name="Cust_CfeServNum">Inputs!$B$5</definedName>
    <definedName name="Cust_City">Inputs!$B$11</definedName>
    <definedName name="Cust_Co_DeedDated">ContractData!$C$31</definedName>
    <definedName name="Cust_Co_DeedNo">ContractData!$C$30</definedName>
    <definedName name="Cust_Co_DeedNotaryFolioNo">ContractData!$C$36</definedName>
    <definedName name="Cust_Co_DeedNotaryLoc">ContractData!$C$33</definedName>
    <definedName name="Cust_Co_DeedNotaryName">ContractData!$C$34</definedName>
    <definedName name="Cust_Co_DeedNotaryNo">ContractData!$C$32</definedName>
    <definedName name="Cust_Co_DeedNotaryRegLoc">ContractData!$C$35</definedName>
    <definedName name="Cust_Co_Rep">ContractData!$C$37</definedName>
    <definedName name="Cust_Co_Rep_DeedDated">ContractData!$C$39</definedName>
    <definedName name="Cust_Co_Rep_DeedNo">ContractData!$C$38</definedName>
    <definedName name="Cust_Co_Rep_DeedNotaryFolioNo">ContractData!$C$44</definedName>
    <definedName name="Cust_Co_Rep_DeedNotaryLoc">ContractData!$C$41</definedName>
    <definedName name="Cust_Co_Rep_DeedNotaryName">ContractData!$C$42</definedName>
    <definedName name="Cust_Co_Rep_DeedNotaryNo">ContractData!$C$40</definedName>
    <definedName name="Cust_Co_Rep_DeedNotaryRegLoc">ContractData!$C$43</definedName>
    <definedName name="Cust_Company">Inputs!$C$6</definedName>
    <definedName name="Cust_Email">ContractData!$C$7</definedName>
    <definedName name="Cust_FinalPymtAtTermEnd">Inputs_MySOL!$B$18</definedName>
    <definedName name="Cust_FirstName">Inputs!$B$7</definedName>
    <definedName name="Cust_Ind_ID">ContractData!$C$27</definedName>
    <definedName name="Cust_Ind_Natl">ContractData!$C$26</definedName>
    <definedName name="Cust_InitialPymt">Inputs_MySOL!$B$28</definedName>
    <definedName name="Cust_LastName">Inputs!$C$8</definedName>
    <definedName name="Cust_LastName2">Inputs!$C$9</definedName>
    <definedName name="Cust_LeaseTermYears">Inputs!$V$3</definedName>
    <definedName name="Cust_SavingsRate">Inputs!$V$4</definedName>
    <definedName name="Cust_State">Inputs!$B$12</definedName>
    <definedName name="Cust_Telephone">ContractData!$C$6</definedName>
    <definedName name="Cust_Zip">Inputs!$B$13</definedName>
    <definedName name="CustUsage_kWhPerYear">Inputs!$B$24</definedName>
    <definedName name="CustUsage_LimitBasicoNonSummer">Savings!$AV$3</definedName>
    <definedName name="CustUsage_LimitBasicoSummer">Savings!$AQ$3</definedName>
    <definedName name="DAP">Inputs!$B$19</definedName>
    <definedName name="EqInv_Equity">Inputs_MySOL!$B$8</definedName>
    <definedName name="EqInv_ReqIRR">Inputs_MySOL!$D$33</definedName>
    <definedName name="FinYrIncr">Inputs_MySOL!$B$11</definedName>
    <definedName name="InflationRate">Inputs_MySOL!$B$4</definedName>
    <definedName name="InverterLossPct">Inputs_MySOL!$G$15</definedName>
    <definedName name="IVA">Inputs_MySOL!$B$3</definedName>
    <definedName name="JO">ContractData!$C$49</definedName>
    <definedName name="JO_Co_DeedDated">ContractData!$C$58</definedName>
    <definedName name="JO_Co_DeedNo">ContractData!$C$57</definedName>
    <definedName name="JO_Co_DeedNotaryFolioNo">ContractData!$C$63</definedName>
    <definedName name="JO_Co_DeedNotaryLoc">ContractData!$C$60</definedName>
    <definedName name="JO_Co_DeedNotaryName">ContractData!$C$61</definedName>
    <definedName name="JO_Co_DeedNotaryNo">ContractData!$C$59</definedName>
    <definedName name="JO_Co_DeedNotaryRegLoc">ContractData!$C$62</definedName>
    <definedName name="JO_Co_Rep">ContractData!$C$64</definedName>
    <definedName name="JO_Co_Rep_DeedDated">ContractData!$C$66</definedName>
    <definedName name="JO_Co_Rep_DeedNo">ContractData!$C$65</definedName>
    <definedName name="JO_Co_Rep_DeedNotaryLoc">ContractData!$C$68</definedName>
    <definedName name="JO_Co_Rep_DeedNotaryName">ContractData!$C$69</definedName>
    <definedName name="JO_Co_Rep_DeedNotaryNo">ContractData!$C$67</definedName>
    <definedName name="JO_Email">ContractData!$C$50</definedName>
    <definedName name="JO_Ind_ID">ContractData!$C$54</definedName>
    <definedName name="JO_Ind_Natl">ContractData!$C$53</definedName>
    <definedName name="MXNperUSD">Inputs_MySOL!$B$2</definedName>
    <definedName name="MySol_TotalRate">Inputs_MySOL!$G$7</definedName>
    <definedName name="OpExpensePerKwUSD">Inputs_MySOL!$B$19</definedName>
    <definedName name="Panel_PTC">Inputs_MySOL!$G$13</definedName>
    <definedName name="Panel_STC">Inputs_MySOL!$G$12</definedName>
    <definedName name="priceEGaugeUSD">Components!$D$103</definedName>
    <definedName name="_xlnm.Print_Area" localSheetId="2">Proposal_Eng!$A$1:$G$53,Proposal_Eng!$A$65:$G$143,Proposal_Eng!$A$149:$G$227,Proposal_Eng!$A$230:$G$289</definedName>
    <definedName name="_xlnm.Print_Area" localSheetId="3">Proposal_Esp!$A$1:$G$53,Proposal_Esp!$A$65:$G$143,Proposal_Esp!$A$149:$G$227,Proposal_Esp!$A$230:$G$289</definedName>
    <definedName name="PVPanelDefault">Inputs_MySOL!$B$30</definedName>
    <definedName name="Rng_InverterLookupByPhase">Components!$P$24:$R$26</definedName>
    <definedName name="Rng_Inverters">Components!$A$24:$A$94</definedName>
    <definedName name="Rng_Optimizers">Components!$A$17:$A$22</definedName>
    <definedName name="Rng_PVPanels">Components!$A$2:$A$15</definedName>
    <definedName name="Rng_SysMon">Components!$A$96:$A$101</definedName>
    <definedName name="Rng_SysMon_NonMicro">Components!$R$98</definedName>
    <definedName name="Scenario_InitialPymt">Inputs!$G$27</definedName>
    <definedName name="Scenario_InitialPymt_Label">Inputs!$E$27</definedName>
    <definedName name="Scenario_Variable">Inputs!$G$26</definedName>
    <definedName name="Scenario_Variable_Label">Inputs!$L$1</definedName>
    <definedName name="SolarSvcProvider">Inputs!$B$3</definedName>
    <definedName name="Sys_Factor">Inputs_MySOL!$G$19</definedName>
    <definedName name="Sys_FundPricePerWatt">Inputs_MySOL!$G$23</definedName>
    <definedName name="Sys_FundPriceTotal">Inputs_MySOL!$G$24</definedName>
    <definedName name="Sys_kWhPerYear">Inputs_MySOL!$G$18</definedName>
    <definedName name="Sys_NumPanels">Inputs_MySOL!$G$11</definedName>
    <definedName name="Sys_OtherLossPct">Inputs!$B$22</definedName>
    <definedName name="Sys_SizeWatts">Inputs_MySOL!$G$17</definedName>
    <definedName name="Sys_SunHours">Inputs!$B$21</definedName>
    <definedName name="Sys_YrDegradationRate">Inputs_MySOL!$B$17</definedName>
    <definedName name="SysMonDefault_NonMicro">Components!$A$98</definedName>
    <definedName name="SysSpec_CommAcc_Units">Inputs!$J$9</definedName>
    <definedName name="SysSpec_Inverter">Inputs!$G$5</definedName>
    <definedName name="SysSpec_Inverters_Units">Inputs!$J$5</definedName>
    <definedName name="SysSpec_Optimizers_Units">Inputs!$J$6</definedName>
    <definedName name="SysSpec_PV">Inputs!$G$4</definedName>
    <definedName name="SysSpec_PV_Units">Inputs!$J$4</definedName>
    <definedName name="SysSpec_SysMon_Units">Inputs!$J$7</definedName>
    <definedName name="SysSpec_SysMonitor">Inputs!$G$7</definedName>
    <definedName name="Table_DataStart">Inputs!$M$3</definedName>
    <definedName name="Table_XAxisStart">Inputs!$M$2</definedName>
    <definedName name="Table_YAxisStart">Inputs!$L$3</definedName>
  </definedNames>
  <calcPr calcId="152511"/>
</workbook>
</file>

<file path=xl/calcChain.xml><?xml version="1.0" encoding="utf-8"?>
<calcChain xmlns="http://schemas.openxmlformats.org/spreadsheetml/2006/main">
  <c r="F137" i="25" l="1"/>
  <c r="F136" i="25"/>
  <c r="E136" i="25"/>
  <c r="F135" i="25"/>
  <c r="E135" i="25"/>
  <c r="F134" i="25"/>
  <c r="E134" i="25"/>
  <c r="F133" i="25"/>
  <c r="E133" i="25"/>
  <c r="F132" i="25"/>
  <c r="F131" i="25"/>
  <c r="E131" i="25"/>
  <c r="F130" i="25"/>
  <c r="E130" i="25"/>
  <c r="F129" i="25"/>
  <c r="E129" i="25"/>
  <c r="F128" i="25"/>
  <c r="E128" i="25"/>
  <c r="F137" i="26"/>
  <c r="F136" i="26"/>
  <c r="E136" i="26"/>
  <c r="F135" i="26"/>
  <c r="E135" i="26"/>
  <c r="F134" i="26"/>
  <c r="E134" i="26"/>
  <c r="F133" i="26"/>
  <c r="E133" i="26"/>
  <c r="F131" i="26"/>
  <c r="E131" i="26"/>
  <c r="F130" i="26"/>
  <c r="E130" i="26"/>
  <c r="F129" i="26"/>
  <c r="E129" i="26"/>
  <c r="F128" i="26"/>
  <c r="E128" i="26"/>
  <c r="F132" i="26"/>
  <c r="Q26" i="15"/>
  <c r="Q24" i="15"/>
  <c r="Q25" i="15"/>
  <c r="R97" i="15"/>
  <c r="R96" i="15"/>
  <c r="A97" i="15"/>
  <c r="A45" i="15" l="1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26" i="15"/>
  <c r="E27" i="15"/>
  <c r="N25" i="15"/>
  <c r="N26" i="15"/>
  <c r="N27" i="15"/>
  <c r="N29" i="15"/>
  <c r="N33" i="15"/>
  <c r="N37" i="15"/>
  <c r="N41" i="15"/>
  <c r="N45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5" i="15"/>
  <c r="N69" i="15"/>
  <c r="N73" i="15"/>
  <c r="N77" i="15"/>
  <c r="N81" i="15"/>
  <c r="N85" i="15"/>
  <c r="N89" i="15"/>
  <c r="N93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L93" i="15"/>
  <c r="E93" i="15" s="1"/>
  <c r="L92" i="15"/>
  <c r="E92" i="15" s="1"/>
  <c r="L91" i="15"/>
  <c r="E91" i="15" s="1"/>
  <c r="L90" i="15"/>
  <c r="N90" i="15" s="1"/>
  <c r="L89" i="15"/>
  <c r="E89" i="15" s="1"/>
  <c r="L88" i="15"/>
  <c r="E88" i="15" s="1"/>
  <c r="L87" i="15"/>
  <c r="N87" i="15" s="1"/>
  <c r="L86" i="15"/>
  <c r="N86" i="15" s="1"/>
  <c r="L85" i="15"/>
  <c r="E85" i="15" s="1"/>
  <c r="L84" i="15"/>
  <c r="E84" i="15" s="1"/>
  <c r="L83" i="15"/>
  <c r="E83" i="15" s="1"/>
  <c r="L82" i="15"/>
  <c r="N82" i="15" s="1"/>
  <c r="L81" i="15"/>
  <c r="E81" i="15" s="1"/>
  <c r="L80" i="15"/>
  <c r="E80" i="15" s="1"/>
  <c r="L79" i="15"/>
  <c r="N79" i="15" s="1"/>
  <c r="L78" i="15"/>
  <c r="N78" i="15" s="1"/>
  <c r="L77" i="15"/>
  <c r="E77" i="15" s="1"/>
  <c r="L76" i="15"/>
  <c r="E76" i="15" s="1"/>
  <c r="L75" i="15"/>
  <c r="N75" i="15" s="1"/>
  <c r="L74" i="15"/>
  <c r="N74" i="15" s="1"/>
  <c r="L73" i="15"/>
  <c r="E73" i="15" s="1"/>
  <c r="L72" i="15"/>
  <c r="E72" i="15" s="1"/>
  <c r="L71" i="15"/>
  <c r="E71" i="15" s="1"/>
  <c r="L70" i="15"/>
  <c r="N70" i="15" s="1"/>
  <c r="L69" i="15"/>
  <c r="E69" i="15" s="1"/>
  <c r="L68" i="15"/>
  <c r="E68" i="15" s="1"/>
  <c r="L67" i="15"/>
  <c r="N67" i="15" s="1"/>
  <c r="L66" i="15"/>
  <c r="N66" i="15" s="1"/>
  <c r="L65" i="15"/>
  <c r="E65" i="15" s="1"/>
  <c r="L64" i="15"/>
  <c r="E64" i="15" s="1"/>
  <c r="L63" i="15"/>
  <c r="E63" i="15" s="1"/>
  <c r="L62" i="15"/>
  <c r="N62" i="15" s="1"/>
  <c r="L61" i="15"/>
  <c r="E61" i="15" s="1"/>
  <c r="L47" i="15"/>
  <c r="N47" i="15" s="1"/>
  <c r="L46" i="15"/>
  <c r="N46" i="15" s="1"/>
  <c r="L45" i="15"/>
  <c r="E45" i="15" s="1"/>
  <c r="L44" i="15"/>
  <c r="E44" i="15" s="1"/>
  <c r="L43" i="15"/>
  <c r="E43" i="15" s="1"/>
  <c r="L42" i="15"/>
  <c r="N42" i="15" s="1"/>
  <c r="L41" i="15"/>
  <c r="E41" i="15" s="1"/>
  <c r="L40" i="15"/>
  <c r="E40" i="15" s="1"/>
  <c r="L39" i="15"/>
  <c r="E39" i="15" s="1"/>
  <c r="L38" i="15"/>
  <c r="N38" i="15" s="1"/>
  <c r="L37" i="15"/>
  <c r="E37" i="15" s="1"/>
  <c r="L36" i="15"/>
  <c r="E36" i="15" s="1"/>
  <c r="L35" i="15"/>
  <c r="E35" i="15" s="1"/>
  <c r="L34" i="15"/>
  <c r="N34" i="15" s="1"/>
  <c r="L33" i="15"/>
  <c r="E33" i="15" s="1"/>
  <c r="L32" i="15"/>
  <c r="E32" i="15" s="1"/>
  <c r="L31" i="15"/>
  <c r="E31" i="15" s="1"/>
  <c r="L30" i="15"/>
  <c r="N30" i="15" s="1"/>
  <c r="L29" i="15"/>
  <c r="E29" i="15" s="1"/>
  <c r="L28" i="15"/>
  <c r="E28" i="15" s="1"/>
  <c r="L25" i="15"/>
  <c r="E25" i="15" s="1"/>
  <c r="L24" i="15"/>
  <c r="N24" i="15" s="1"/>
  <c r="E38" i="15" l="1"/>
  <c r="E87" i="15"/>
  <c r="E75" i="15"/>
  <c r="E67" i="15"/>
  <c r="N92" i="15"/>
  <c r="N88" i="15"/>
  <c r="N84" i="15"/>
  <c r="N80" i="15"/>
  <c r="N76" i="15"/>
  <c r="N72" i="15"/>
  <c r="N68" i="15"/>
  <c r="N64" i="15"/>
  <c r="N44" i="15"/>
  <c r="N40" i="15"/>
  <c r="N36" i="15"/>
  <c r="N32" i="15"/>
  <c r="N28" i="15"/>
  <c r="E24" i="15"/>
  <c r="E90" i="15"/>
  <c r="E86" i="15"/>
  <c r="E82" i="15"/>
  <c r="E78" i="15"/>
  <c r="E74" i="15"/>
  <c r="E70" i="15"/>
  <c r="E66" i="15"/>
  <c r="E62" i="15"/>
  <c r="E46" i="15"/>
  <c r="E30" i="15"/>
  <c r="E79" i="15"/>
  <c r="N91" i="15"/>
  <c r="N83" i="15"/>
  <c r="N71" i="15"/>
  <c r="N63" i="15"/>
  <c r="N43" i="15"/>
  <c r="N39" i="15"/>
  <c r="N35" i="15"/>
  <c r="N31" i="15"/>
  <c r="E42" i="15"/>
  <c r="E34" i="15"/>
  <c r="C2" i="32"/>
  <c r="C3" i="32"/>
  <c r="C4" i="32"/>
  <c r="C5" i="32"/>
  <c r="B9" i="19" l="1"/>
  <c r="B14" i="19" s="1"/>
  <c r="E21" i="15" l="1"/>
  <c r="E20" i="15"/>
  <c r="E19" i="15"/>
  <c r="E18" i="15"/>
  <c r="E17" i="15"/>
  <c r="B26" i="19" l="1"/>
  <c r="B28" i="19"/>
  <c r="E122" i="26" l="1"/>
  <c r="E122" i="25"/>
  <c r="B2" i="32"/>
  <c r="B17" i="32" s="1"/>
  <c r="C14" i="30"/>
  <c r="C15" i="30" s="1"/>
  <c r="C16" i="30" s="1"/>
  <c r="G32" i="19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24" i="15"/>
  <c r="G33" i="19" l="1"/>
  <c r="G34" i="19" s="1"/>
  <c r="AA61" i="30"/>
  <c r="W61" i="30"/>
  <c r="S61" i="30"/>
  <c r="T61" i="30"/>
  <c r="Z61" i="30"/>
  <c r="V61" i="30"/>
  <c r="R61" i="30"/>
  <c r="P61" i="30"/>
  <c r="Y61" i="30"/>
  <c r="U61" i="30"/>
  <c r="Q61" i="30"/>
  <c r="X61" i="30"/>
  <c r="C17" i="30"/>
  <c r="G74" i="25"/>
  <c r="G73" i="25"/>
  <c r="G10" i="25"/>
  <c r="G9" i="25"/>
  <c r="G74" i="26"/>
  <c r="G73" i="26"/>
  <c r="G9" i="26"/>
  <c r="G10" i="26"/>
  <c r="N3" i="15"/>
  <c r="N4" i="15"/>
  <c r="N5" i="15"/>
  <c r="N6" i="15"/>
  <c r="N7" i="15"/>
  <c r="N8" i="15"/>
  <c r="N9" i="15"/>
  <c r="N10" i="15"/>
  <c r="N11" i="15"/>
  <c r="N12" i="15"/>
  <c r="N13" i="15"/>
  <c r="N14" i="15"/>
  <c r="N2" i="15"/>
  <c r="E12" i="15"/>
  <c r="D12" i="15" s="1"/>
  <c r="E11" i="15"/>
  <c r="D11" i="15" s="1"/>
  <c r="E10" i="15"/>
  <c r="D10" i="15" s="1"/>
  <c r="E9" i="15"/>
  <c r="D9" i="15" s="1"/>
  <c r="E8" i="15"/>
  <c r="D8" i="15" s="1"/>
  <c r="E5" i="15"/>
  <c r="D5" i="15" s="1"/>
  <c r="E4" i="15"/>
  <c r="E3" i="15"/>
  <c r="D3" i="15" s="1"/>
  <c r="E2" i="15"/>
  <c r="D2" i="15" s="1"/>
  <c r="D4" i="15"/>
  <c r="D6" i="15"/>
  <c r="D7" i="15"/>
  <c r="D13" i="15"/>
  <c r="D14" i="15"/>
  <c r="A3" i="15"/>
  <c r="A4" i="15"/>
  <c r="A5" i="15"/>
  <c r="G11" i="19"/>
  <c r="A2" i="15"/>
  <c r="G75" i="25" s="1"/>
  <c r="A6" i="15"/>
  <c r="A7" i="15"/>
  <c r="A8" i="15"/>
  <c r="A9" i="15"/>
  <c r="A10" i="15"/>
  <c r="A11" i="15"/>
  <c r="A12" i="15"/>
  <c r="A13" i="15"/>
  <c r="A14" i="15"/>
  <c r="A24" i="15"/>
  <c r="A25" i="15"/>
  <c r="A26" i="15"/>
  <c r="A27" i="15"/>
  <c r="A28" i="15"/>
  <c r="A29" i="15"/>
  <c r="A30" i="15"/>
  <c r="A31" i="15"/>
  <c r="A41" i="15"/>
  <c r="A42" i="15"/>
  <c r="A43" i="15"/>
  <c r="A44" i="15"/>
  <c r="C19" i="4"/>
  <c r="AK1" i="4"/>
  <c r="AP1" i="4"/>
  <c r="AZ1" i="4" s="1"/>
  <c r="C20" i="4"/>
  <c r="AU1" i="4"/>
  <c r="AZ2" i="4" s="1"/>
  <c r="AV3" i="4" s="1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Q6" i="4"/>
  <c r="G3" i="19"/>
  <c r="G4" i="19" s="1"/>
  <c r="AZ3" i="4"/>
  <c r="AL6" i="4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D50" i="17"/>
  <c r="D51" i="17"/>
  <c r="D52" i="17"/>
  <c r="D53" i="17"/>
  <c r="D54" i="17"/>
  <c r="D55" i="17"/>
  <c r="D49" i="17"/>
  <c r="G2" i="19"/>
  <c r="F7" i="4" s="1"/>
  <c r="T7" i="4" s="1"/>
  <c r="B27" i="19"/>
  <c r="G83" i="25"/>
  <c r="AZ4" i="4"/>
  <c r="BD4" i="4" s="1"/>
  <c r="BE3" i="4"/>
  <c r="BD3" i="4"/>
  <c r="BC3" i="4"/>
  <c r="G4" i="25"/>
  <c r="G68" i="25" s="1"/>
  <c r="G4" i="26"/>
  <c r="G68" i="26" s="1"/>
  <c r="D3" i="1"/>
  <c r="D29" i="1" s="1"/>
  <c r="F3" i="1"/>
  <c r="F29" i="1" s="1"/>
  <c r="D4" i="1"/>
  <c r="A17" i="15"/>
  <c r="A18" i="15"/>
  <c r="A19" i="15"/>
  <c r="A20" i="15"/>
  <c r="A21" i="15"/>
  <c r="F4" i="1"/>
  <c r="F30" i="1" s="1"/>
  <c r="F5" i="1"/>
  <c r="F31" i="1" s="1"/>
  <c r="D6" i="1"/>
  <c r="F6" i="1"/>
  <c r="F32" i="1" s="1"/>
  <c r="D7" i="1"/>
  <c r="F7" i="1"/>
  <c r="F33" i="1" s="1"/>
  <c r="D8" i="1"/>
  <c r="F8" i="1"/>
  <c r="F34" i="1" s="1"/>
  <c r="D36" i="19"/>
  <c r="D40" i="1" s="1"/>
  <c r="C37" i="1"/>
  <c r="C11" i="1" s="1"/>
  <c r="C38" i="1"/>
  <c r="C12" i="1" s="1"/>
  <c r="C39" i="1"/>
  <c r="C13" i="1" s="1"/>
  <c r="D37" i="19"/>
  <c r="D41" i="1" s="1"/>
  <c r="D34" i="19"/>
  <c r="D47" i="1" s="1"/>
  <c r="D35" i="19"/>
  <c r="D48" i="1" s="1"/>
  <c r="B15" i="19"/>
  <c r="AH3" i="4"/>
  <c r="AH2" i="4"/>
  <c r="AI3" i="4"/>
  <c r="AI2" i="4"/>
  <c r="C5" i="31"/>
  <c r="C11" i="31"/>
  <c r="C10" i="31"/>
  <c r="C9" i="31"/>
  <c r="C8" i="31"/>
  <c r="C19" i="31"/>
  <c r="C23" i="31"/>
  <c r="C18" i="31"/>
  <c r="GA40" i="30"/>
  <c r="FZ40" i="30"/>
  <c r="FY40" i="30"/>
  <c r="FX40" i="30"/>
  <c r="FW40" i="30"/>
  <c r="FV40" i="30"/>
  <c r="FU40" i="30"/>
  <c r="FT40" i="30"/>
  <c r="FS40" i="30"/>
  <c r="FR40" i="30"/>
  <c r="FQ40" i="30"/>
  <c r="FP40" i="30"/>
  <c r="FO40" i="30"/>
  <c r="FN40" i="30"/>
  <c r="FM40" i="30"/>
  <c r="FL40" i="30"/>
  <c r="FK40" i="30"/>
  <c r="FJ40" i="30"/>
  <c r="FI40" i="30"/>
  <c r="FH40" i="30"/>
  <c r="FG40" i="30"/>
  <c r="FF40" i="30"/>
  <c r="FE40" i="30"/>
  <c r="FD40" i="30"/>
  <c r="FC40" i="30"/>
  <c r="FB40" i="30"/>
  <c r="FA40" i="30"/>
  <c r="EZ40" i="30"/>
  <c r="EY40" i="30"/>
  <c r="EX40" i="30"/>
  <c r="EW40" i="30"/>
  <c r="EV40" i="30"/>
  <c r="EU40" i="30"/>
  <c r="ET40" i="30"/>
  <c r="ES40" i="30"/>
  <c r="ER40" i="30"/>
  <c r="EQ40" i="30"/>
  <c r="EP40" i="30"/>
  <c r="EO40" i="30"/>
  <c r="EN40" i="30"/>
  <c r="EM40" i="30"/>
  <c r="EL40" i="30"/>
  <c r="EK40" i="30"/>
  <c r="EJ40" i="30"/>
  <c r="EI40" i="30"/>
  <c r="EH40" i="30"/>
  <c r="EG40" i="30"/>
  <c r="EF40" i="30"/>
  <c r="EE40" i="30"/>
  <c r="ED40" i="30"/>
  <c r="EC40" i="30"/>
  <c r="EB40" i="30"/>
  <c r="EA40" i="30"/>
  <c r="DZ40" i="30"/>
  <c r="DY40" i="30"/>
  <c r="DX40" i="30"/>
  <c r="DW40" i="30"/>
  <c r="DV40" i="30"/>
  <c r="DU40" i="30"/>
  <c r="DT40" i="30"/>
  <c r="DS40" i="30"/>
  <c r="DR40" i="30"/>
  <c r="DQ40" i="30"/>
  <c r="DP40" i="30"/>
  <c r="DO40" i="30"/>
  <c r="DN40" i="30"/>
  <c r="DM40" i="30"/>
  <c r="DL40" i="30"/>
  <c r="DK40" i="30"/>
  <c r="DJ40" i="30"/>
  <c r="DI40" i="30"/>
  <c r="DH40" i="30"/>
  <c r="DG40" i="30"/>
  <c r="DF40" i="30"/>
  <c r="DE40" i="30"/>
  <c r="DD40" i="30"/>
  <c r="DC40" i="30"/>
  <c r="DB40" i="30"/>
  <c r="DA40" i="30"/>
  <c r="CZ40" i="30"/>
  <c r="CY40" i="30"/>
  <c r="CX40" i="30"/>
  <c r="CW40" i="30"/>
  <c r="CV40" i="30"/>
  <c r="CU40" i="30"/>
  <c r="CT40" i="30"/>
  <c r="CS40" i="30"/>
  <c r="CR40" i="30"/>
  <c r="CQ40" i="30"/>
  <c r="CP40" i="30"/>
  <c r="CO40" i="30"/>
  <c r="CN40" i="30"/>
  <c r="CM40" i="30"/>
  <c r="CL40" i="30"/>
  <c r="CK40" i="30"/>
  <c r="CJ40" i="30"/>
  <c r="CI40" i="30"/>
  <c r="CH40" i="30"/>
  <c r="CG40" i="30"/>
  <c r="CF40" i="30"/>
  <c r="CE40" i="30"/>
  <c r="CD40" i="30"/>
  <c r="CC40" i="30"/>
  <c r="CB40" i="30"/>
  <c r="CA40" i="30"/>
  <c r="BZ40" i="30"/>
  <c r="BY40" i="30"/>
  <c r="BX40" i="30"/>
  <c r="BW40" i="30"/>
  <c r="BV40" i="30"/>
  <c r="BU40" i="30"/>
  <c r="BT40" i="30"/>
  <c r="BS40" i="30"/>
  <c r="BR40" i="30"/>
  <c r="BQ40" i="30"/>
  <c r="BP40" i="30"/>
  <c r="BO40" i="30"/>
  <c r="BN40" i="30"/>
  <c r="BM40" i="30"/>
  <c r="BL40" i="30"/>
  <c r="BK40" i="30"/>
  <c r="BJ40" i="30"/>
  <c r="BI40" i="30"/>
  <c r="BH40" i="30"/>
  <c r="BG40" i="30"/>
  <c r="BF40" i="30"/>
  <c r="BE40" i="30"/>
  <c r="BD40" i="30"/>
  <c r="BC40" i="30"/>
  <c r="BB40" i="30"/>
  <c r="BA40" i="30"/>
  <c r="AZ40" i="30"/>
  <c r="AY40" i="30"/>
  <c r="AX40" i="30"/>
  <c r="AW40" i="30"/>
  <c r="AV40" i="30"/>
  <c r="AU40" i="30"/>
  <c r="AT40" i="30"/>
  <c r="AS40" i="30"/>
  <c r="AR40" i="30"/>
  <c r="AQ40" i="30"/>
  <c r="AP40" i="30"/>
  <c r="AO40" i="30"/>
  <c r="AN40" i="30"/>
  <c r="AM40" i="30"/>
  <c r="AL40" i="30"/>
  <c r="AK40" i="30"/>
  <c r="AJ40" i="30"/>
  <c r="AI40" i="30"/>
  <c r="AH40" i="30"/>
  <c r="AG40" i="30"/>
  <c r="AF40" i="30"/>
  <c r="AE40" i="30"/>
  <c r="AD40" i="30"/>
  <c r="AC40" i="30"/>
  <c r="AB40" i="30"/>
  <c r="AA40" i="30"/>
  <c r="Z40" i="30"/>
  <c r="Y40" i="30"/>
  <c r="X40" i="30"/>
  <c r="W40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C40" i="30"/>
  <c r="C43" i="30" s="1"/>
  <c r="D33" i="19"/>
  <c r="C41" i="30"/>
  <c r="D26" i="9"/>
  <c r="D23" i="9"/>
  <c r="D20" i="9"/>
  <c r="D17" i="9"/>
  <c r="D14" i="9"/>
  <c r="D11" i="9"/>
  <c r="D8" i="9"/>
  <c r="M7" i="4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A32" i="15"/>
  <c r="A33" i="15"/>
  <c r="A34" i="15"/>
  <c r="A35" i="15"/>
  <c r="A36" i="15"/>
  <c r="A37" i="15"/>
  <c r="A38" i="15"/>
  <c r="A39" i="15"/>
  <c r="A40" i="15"/>
  <c r="D26" i="25"/>
  <c r="A98" i="15"/>
  <c r="A99" i="15"/>
  <c r="A100" i="15"/>
  <c r="A96" i="15"/>
  <c r="A106" i="15"/>
  <c r="A107" i="15"/>
  <c r="Q27" i="15"/>
  <c r="G5" i="25"/>
  <c r="G69" i="25" s="1"/>
  <c r="G6" i="25"/>
  <c r="G70" i="25" s="1"/>
  <c r="G7" i="25"/>
  <c r="G71" i="25" s="1"/>
  <c r="G83" i="26"/>
  <c r="D26" i="26"/>
  <c r="G7" i="26"/>
  <c r="G71" i="26" s="1"/>
  <c r="G6" i="26"/>
  <c r="G70" i="26" s="1"/>
  <c r="G5" i="26"/>
  <c r="G69" i="26" s="1"/>
  <c r="G24" i="26"/>
  <c r="D24" i="26"/>
  <c r="G24" i="25"/>
  <c r="D24" i="25"/>
  <c r="D35" i="1"/>
  <c r="F35" i="1"/>
  <c r="B52" i="1"/>
  <c r="B51" i="1"/>
  <c r="B50" i="1"/>
  <c r="B49" i="1"/>
  <c r="B48" i="1"/>
  <c r="B47" i="1"/>
  <c r="B46" i="1"/>
  <c r="B45" i="1"/>
  <c r="A29" i="1"/>
  <c r="B29" i="1"/>
  <c r="B30" i="1"/>
  <c r="B31" i="1"/>
  <c r="B32" i="1"/>
  <c r="B33" i="1"/>
  <c r="B34" i="1"/>
  <c r="B35" i="1"/>
  <c r="A37" i="1"/>
  <c r="B37" i="1"/>
  <c r="B38" i="1"/>
  <c r="B39" i="1"/>
  <c r="B40" i="1"/>
  <c r="B41" i="1"/>
  <c r="B42" i="1"/>
  <c r="B44" i="1"/>
  <c r="A5" i="4"/>
  <c r="A6" i="4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F7" i="22" l="1"/>
  <c r="R98" i="15"/>
  <c r="R26" i="15"/>
  <c r="BE4" i="4"/>
  <c r="R24" i="15"/>
  <c r="R25" i="15" s="1"/>
  <c r="F5" i="22" s="1"/>
  <c r="G15" i="19"/>
  <c r="G35" i="19"/>
  <c r="BC4" i="4"/>
  <c r="AS4" i="4"/>
  <c r="G11" i="26"/>
  <c r="G11" i="25"/>
  <c r="G75" i="26"/>
  <c r="H6" i="22"/>
  <c r="E7" i="1"/>
  <c r="D5" i="1"/>
  <c r="E5" i="1" s="1"/>
  <c r="H5" i="22"/>
  <c r="I5" i="22"/>
  <c r="H4" i="22"/>
  <c r="I4" i="22"/>
  <c r="E8" i="1"/>
  <c r="G13" i="19"/>
  <c r="G12" i="19"/>
  <c r="G17" i="19" s="1"/>
  <c r="E4" i="1"/>
  <c r="D41" i="30"/>
  <c r="E41" i="30" s="1"/>
  <c r="AQ3" i="4"/>
  <c r="F13" i="4"/>
  <c r="T13" i="4" s="1"/>
  <c r="F9" i="4"/>
  <c r="T9" i="4" s="1"/>
  <c r="F17" i="4"/>
  <c r="T17" i="4" s="1"/>
  <c r="F8" i="4"/>
  <c r="T8" i="4" s="1"/>
  <c r="F16" i="4"/>
  <c r="T16" i="4" s="1"/>
  <c r="G7" i="19"/>
  <c r="AR4" i="4"/>
  <c r="F12" i="4"/>
  <c r="T12" i="4" s="1"/>
  <c r="F20" i="4"/>
  <c r="T20" i="4" s="1"/>
  <c r="AR3" i="4"/>
  <c r="D6" i="4"/>
  <c r="D7" i="4" s="1"/>
  <c r="D8" i="4" s="1"/>
  <c r="D9" i="4" s="1"/>
  <c r="E9" i="4" s="1"/>
  <c r="C21" i="31"/>
  <c r="E3" i="1"/>
  <c r="AT4" i="4"/>
  <c r="D21" i="1"/>
  <c r="D34" i="1"/>
  <c r="D20" i="25"/>
  <c r="G20" i="25" s="1"/>
  <c r="F18" i="4"/>
  <c r="T18" i="4" s="1"/>
  <c r="F14" i="4"/>
  <c r="T14" i="4" s="1"/>
  <c r="F10" i="4"/>
  <c r="T10" i="4" s="1"/>
  <c r="F6" i="4"/>
  <c r="T6" i="4" s="1"/>
  <c r="AT3" i="4"/>
  <c r="AS3" i="4"/>
  <c r="AQ4" i="4"/>
  <c r="AW4" i="4"/>
  <c r="AY4" i="4"/>
  <c r="AW3" i="4"/>
  <c r="D20" i="26"/>
  <c r="G20" i="26" s="1"/>
  <c r="AX4" i="4"/>
  <c r="AV4" i="4"/>
  <c r="D30" i="1"/>
  <c r="D22" i="1"/>
  <c r="F19" i="4"/>
  <c r="T19" i="4" s="1"/>
  <c r="F15" i="4"/>
  <c r="T15" i="4" s="1"/>
  <c r="F11" i="4"/>
  <c r="T11" i="4" s="1"/>
  <c r="AY3" i="4"/>
  <c r="AX3" i="4"/>
  <c r="D33" i="1"/>
  <c r="E6" i="1"/>
  <c r="D32" i="1"/>
  <c r="G18" i="19" l="1"/>
  <c r="G18" i="22" s="1"/>
  <c r="B1" i="1"/>
  <c r="C4" i="1" s="1"/>
  <c r="C30" i="1" s="1"/>
  <c r="E30" i="1" s="1"/>
  <c r="B20" i="19"/>
  <c r="D31" i="30" s="1"/>
  <c r="G48" i="30" s="1"/>
  <c r="G49" i="30" s="1"/>
  <c r="G17" i="22"/>
  <c r="E22" i="22" s="1"/>
  <c r="D31" i="1"/>
  <c r="D10" i="4"/>
  <c r="D11" i="4" s="1"/>
  <c r="D12" i="4" s="1"/>
  <c r="E12" i="4" s="1"/>
  <c r="G12" i="4" s="1"/>
  <c r="G9" i="4"/>
  <c r="H9" i="4" s="1"/>
  <c r="G8" i="26"/>
  <c r="G72" i="26" s="1"/>
  <c r="G8" i="25"/>
  <c r="G72" i="25" s="1"/>
  <c r="E13" i="1"/>
  <c r="E8" i="4"/>
  <c r="G8" i="4" s="1"/>
  <c r="H8" i="4" s="1"/>
  <c r="E6" i="4"/>
  <c r="G6" i="4" s="1"/>
  <c r="E7" i="4"/>
  <c r="G7" i="4" s="1"/>
  <c r="E9" i="1"/>
  <c r="F41" i="30"/>
  <c r="E38" i="1" l="1"/>
  <c r="E11" i="1"/>
  <c r="E39" i="1"/>
  <c r="C8" i="1"/>
  <c r="C34" i="1" s="1"/>
  <c r="E34" i="1" s="1"/>
  <c r="C3" i="1"/>
  <c r="C29" i="1" s="1"/>
  <c r="E29" i="1" s="1"/>
  <c r="C7" i="1"/>
  <c r="C33" i="1" s="1"/>
  <c r="E33" i="1" s="1"/>
  <c r="E12" i="1"/>
  <c r="C5" i="1"/>
  <c r="C31" i="1" s="1"/>
  <c r="E31" i="1" s="1"/>
  <c r="E37" i="1"/>
  <c r="C6" i="1"/>
  <c r="C32" i="1" s="1"/>
  <c r="E32" i="1" s="1"/>
  <c r="D30" i="30"/>
  <c r="O43" i="30" s="1"/>
  <c r="L12" i="4"/>
  <c r="N12" i="4" s="1"/>
  <c r="L19" i="4"/>
  <c r="O19" i="4" s="1"/>
  <c r="AS19" i="4" s="1"/>
  <c r="Z6" i="4"/>
  <c r="AA6" i="4" s="1"/>
  <c r="AB6" i="4" s="1"/>
  <c r="D85" i="26" s="1"/>
  <c r="L14" i="4"/>
  <c r="N14" i="4" s="1"/>
  <c r="L7" i="4"/>
  <c r="O7" i="4" s="1"/>
  <c r="Q8" i="4" s="1"/>
  <c r="L16" i="4"/>
  <c r="N16" i="4" s="1"/>
  <c r="G21" i="19"/>
  <c r="G19" i="19"/>
  <c r="G19" i="22" s="1"/>
  <c r="G20" i="22"/>
  <c r="E23" i="22" s="1"/>
  <c r="L18" i="4"/>
  <c r="N18" i="4" s="1"/>
  <c r="L6" i="4"/>
  <c r="N6" i="4" s="1"/>
  <c r="L17" i="4"/>
  <c r="O17" i="4" s="1"/>
  <c r="Q18" i="4" s="1"/>
  <c r="L15" i="4"/>
  <c r="O15" i="4" s="1"/>
  <c r="BD15" i="4" s="1"/>
  <c r="L10" i="4"/>
  <c r="O10" i="4" s="1"/>
  <c r="AX10" i="4" s="1"/>
  <c r="L8" i="4"/>
  <c r="O8" i="4" s="1"/>
  <c r="AT8" i="4" s="1"/>
  <c r="L11" i="4"/>
  <c r="N11" i="4" s="1"/>
  <c r="L13" i="4"/>
  <c r="N13" i="4" s="1"/>
  <c r="L20" i="4"/>
  <c r="O20" i="4" s="1"/>
  <c r="AT20" i="4" s="1"/>
  <c r="L9" i="4"/>
  <c r="N9" i="4" s="1"/>
  <c r="C20" i="31"/>
  <c r="E11" i="4"/>
  <c r="G11" i="4" s="1"/>
  <c r="I11" i="4" s="1"/>
  <c r="D13" i="4"/>
  <c r="E13" i="4" s="1"/>
  <c r="G13" i="4" s="1"/>
  <c r="E10" i="4"/>
  <c r="G10" i="4" s="1"/>
  <c r="H10" i="4" s="1"/>
  <c r="I9" i="4"/>
  <c r="J9" i="4" s="1"/>
  <c r="I8" i="4"/>
  <c r="J8" i="4" s="1"/>
  <c r="E48" i="30"/>
  <c r="E49" i="30" s="1"/>
  <c r="J48" i="30"/>
  <c r="J49" i="30" s="1"/>
  <c r="H7" i="4"/>
  <c r="I7" i="4"/>
  <c r="L48" i="30"/>
  <c r="L49" i="30" s="1"/>
  <c r="K48" i="30"/>
  <c r="K49" i="30" s="1"/>
  <c r="H48" i="30"/>
  <c r="H49" i="30" s="1"/>
  <c r="M48" i="30"/>
  <c r="M49" i="30" s="1"/>
  <c r="O48" i="30"/>
  <c r="O49" i="30" s="1"/>
  <c r="I48" i="30"/>
  <c r="I49" i="30" s="1"/>
  <c r="N48" i="30"/>
  <c r="N49" i="30" s="1"/>
  <c r="D48" i="30"/>
  <c r="D49" i="30" s="1"/>
  <c r="F48" i="30"/>
  <c r="F49" i="30" s="1"/>
  <c r="E31" i="30"/>
  <c r="V48" i="30" s="1"/>
  <c r="V49" i="30" s="1"/>
  <c r="H6" i="4"/>
  <c r="I6" i="4"/>
  <c r="I12" i="4"/>
  <c r="H12" i="4"/>
  <c r="G41" i="30"/>
  <c r="C125" i="26" l="1"/>
  <c r="C125" i="25"/>
  <c r="C126" i="26"/>
  <c r="C126" i="25"/>
  <c r="E30" i="30"/>
  <c r="S43" i="30" s="1"/>
  <c r="C9" i="1"/>
  <c r="C35" i="1"/>
  <c r="C41" i="1" s="1"/>
  <c r="C15" i="1" s="1"/>
  <c r="E15" i="1" s="1"/>
  <c r="BC17" i="4"/>
  <c r="J43" i="30"/>
  <c r="M43" i="30"/>
  <c r="AQ7" i="4"/>
  <c r="I43" i="30"/>
  <c r="N43" i="30"/>
  <c r="G43" i="30"/>
  <c r="AT17" i="4"/>
  <c r="K43" i="30"/>
  <c r="L43" i="30"/>
  <c r="F43" i="30"/>
  <c r="BD7" i="4"/>
  <c r="AY17" i="4"/>
  <c r="E43" i="30"/>
  <c r="D43" i="30"/>
  <c r="O12" i="4"/>
  <c r="AR12" i="4" s="1"/>
  <c r="H43" i="30"/>
  <c r="O11" i="4"/>
  <c r="AQ11" i="4" s="1"/>
  <c r="AT7" i="4"/>
  <c r="Q20" i="4"/>
  <c r="AT10" i="4"/>
  <c r="N19" i="4"/>
  <c r="D22" i="25"/>
  <c r="AT15" i="4"/>
  <c r="BC19" i="4"/>
  <c r="AT19" i="4"/>
  <c r="AS15" i="4"/>
  <c r="AV19" i="4"/>
  <c r="BD19" i="4"/>
  <c r="AQ19" i="4"/>
  <c r="BE19" i="4"/>
  <c r="AR19" i="4"/>
  <c r="AW19" i="4"/>
  <c r="AX19" i="4"/>
  <c r="AY19" i="4"/>
  <c r="BC10" i="4"/>
  <c r="AS20" i="4"/>
  <c r="D85" i="25"/>
  <c r="AR17" i="4"/>
  <c r="AW17" i="4"/>
  <c r="BE17" i="4"/>
  <c r="AV17" i="4"/>
  <c r="AS17" i="4"/>
  <c r="AQ8" i="4"/>
  <c r="D22" i="26"/>
  <c r="Z7" i="4"/>
  <c r="AA7" i="4" s="1"/>
  <c r="AB7" i="4" s="1"/>
  <c r="N17" i="4"/>
  <c r="O14" i="4"/>
  <c r="AT14" i="4" s="1"/>
  <c r="AQ17" i="4"/>
  <c r="BD17" i="4"/>
  <c r="AX17" i="4"/>
  <c r="BC7" i="4"/>
  <c r="AV7" i="4"/>
  <c r="AW7" i="4"/>
  <c r="AR15" i="4"/>
  <c r="AX15" i="4"/>
  <c r="O13" i="4"/>
  <c r="Q14" i="4" s="1"/>
  <c r="BE7" i="4"/>
  <c r="AR7" i="4"/>
  <c r="AS7" i="4"/>
  <c r="N7" i="4"/>
  <c r="AW15" i="4"/>
  <c r="AX7" i="4"/>
  <c r="AY7" i="4"/>
  <c r="Q16" i="4"/>
  <c r="AQ15" i="4"/>
  <c r="BC15" i="4"/>
  <c r="AV20" i="4"/>
  <c r="BD10" i="4"/>
  <c r="AV10" i="4"/>
  <c r="O16" i="4"/>
  <c r="AY16" i="4" s="1"/>
  <c r="BE20" i="4"/>
  <c r="AQ20" i="4"/>
  <c r="AW10" i="4"/>
  <c r="BD20" i="4"/>
  <c r="AR20" i="4"/>
  <c r="AY10" i="4"/>
  <c r="N20" i="4"/>
  <c r="AV8" i="4"/>
  <c r="BC20" i="4"/>
  <c r="AX20" i="4"/>
  <c r="AW20" i="4"/>
  <c r="AS10" i="4"/>
  <c r="AQ10" i="4"/>
  <c r="AR10" i="4"/>
  <c r="O18" i="4"/>
  <c r="AT18" i="4" s="1"/>
  <c r="AR16" i="4"/>
  <c r="AY20" i="4"/>
  <c r="BE10" i="4"/>
  <c r="Q11" i="4"/>
  <c r="BE8" i="4"/>
  <c r="N15" i="4"/>
  <c r="AY15" i="4"/>
  <c r="BE15" i="4"/>
  <c r="AV15" i="4"/>
  <c r="N10" i="4"/>
  <c r="BC8" i="4"/>
  <c r="AW8" i="4"/>
  <c r="AR8" i="4"/>
  <c r="O6" i="4"/>
  <c r="Q7" i="4" s="1"/>
  <c r="BD8" i="4"/>
  <c r="AS8" i="4"/>
  <c r="AX8" i="4"/>
  <c r="AY8" i="4"/>
  <c r="Q9" i="4"/>
  <c r="N8" i="4"/>
  <c r="O9" i="4"/>
  <c r="Q10" i="4" s="1"/>
  <c r="AV12" i="4"/>
  <c r="D14" i="4"/>
  <c r="D15" i="4" s="1"/>
  <c r="H11" i="4"/>
  <c r="J11" i="4" s="1"/>
  <c r="I10" i="4"/>
  <c r="J10" i="4" s="1"/>
  <c r="Q48" i="30"/>
  <c r="Q49" i="30" s="1"/>
  <c r="Z48" i="30"/>
  <c r="Z49" i="30" s="1"/>
  <c r="Y48" i="30"/>
  <c r="Y49" i="30" s="1"/>
  <c r="T48" i="30"/>
  <c r="T49" i="30" s="1"/>
  <c r="E41" i="1"/>
  <c r="X48" i="30"/>
  <c r="X49" i="30" s="1"/>
  <c r="U48" i="30"/>
  <c r="U49" i="30" s="1"/>
  <c r="F31" i="30"/>
  <c r="AD48" i="30" s="1"/>
  <c r="AD49" i="30" s="1"/>
  <c r="J6" i="4"/>
  <c r="C123" i="25" s="1"/>
  <c r="P48" i="30"/>
  <c r="P49" i="30" s="1"/>
  <c r="S48" i="30"/>
  <c r="S49" i="30" s="1"/>
  <c r="R48" i="30"/>
  <c r="R49" i="30" s="1"/>
  <c r="W48" i="30"/>
  <c r="W49" i="30" s="1"/>
  <c r="AA48" i="30"/>
  <c r="AA49" i="30" s="1"/>
  <c r="J7" i="4"/>
  <c r="J12" i="4"/>
  <c r="H13" i="4"/>
  <c r="I13" i="4"/>
  <c r="H41" i="30"/>
  <c r="U43" i="30" l="1"/>
  <c r="C129" i="26"/>
  <c r="C129" i="25"/>
  <c r="C124" i="26"/>
  <c r="C124" i="25"/>
  <c r="C127" i="26"/>
  <c r="C127" i="25"/>
  <c r="C128" i="26"/>
  <c r="C128" i="25"/>
  <c r="AX12" i="4"/>
  <c r="P43" i="30"/>
  <c r="V43" i="30"/>
  <c r="R43" i="30"/>
  <c r="X43" i="30"/>
  <c r="F30" i="30"/>
  <c r="G30" i="30" s="1"/>
  <c r="H30" i="30" s="1"/>
  <c r="T43" i="30"/>
  <c r="Y43" i="30"/>
  <c r="Q43" i="30"/>
  <c r="AA43" i="30"/>
  <c r="W43" i="30"/>
  <c r="G14" i="22"/>
  <c r="E35" i="1"/>
  <c r="Z43" i="30"/>
  <c r="C40" i="1"/>
  <c r="E40" i="1" s="1"/>
  <c r="AX11" i="4"/>
  <c r="AW12" i="4"/>
  <c r="BD12" i="4"/>
  <c r="AS11" i="4"/>
  <c r="AT11" i="4"/>
  <c r="BC11" i="4"/>
  <c r="AR11" i="4"/>
  <c r="BD11" i="4"/>
  <c r="AV11" i="4"/>
  <c r="BC12" i="4"/>
  <c r="AT12" i="4"/>
  <c r="AS12" i="4"/>
  <c r="AQ12" i="4"/>
  <c r="Q13" i="4"/>
  <c r="BE12" i="4"/>
  <c r="AY12" i="4"/>
  <c r="Q12" i="4"/>
  <c r="BE11" i="4"/>
  <c r="AY11" i="4"/>
  <c r="AW11" i="4"/>
  <c r="AV13" i="4"/>
  <c r="BB17" i="4"/>
  <c r="AM17" i="4" s="1"/>
  <c r="AS13" i="4"/>
  <c r="BB19" i="4"/>
  <c r="AM19" i="4" s="1"/>
  <c r="BB10" i="4"/>
  <c r="AM10" i="4" s="1"/>
  <c r="AP19" i="4"/>
  <c r="Q15" i="4"/>
  <c r="AV14" i="4"/>
  <c r="BE14" i="4"/>
  <c r="AY14" i="4"/>
  <c r="AU19" i="4"/>
  <c r="BB20" i="4"/>
  <c r="AM20" i="4" s="1"/>
  <c r="Q19" i="4"/>
  <c r="AY18" i="4"/>
  <c r="AR13" i="4"/>
  <c r="AP20" i="4"/>
  <c r="AU7" i="4"/>
  <c r="AX13" i="4"/>
  <c r="BC13" i="4"/>
  <c r="AP17" i="4"/>
  <c r="BD14" i="4"/>
  <c r="AP7" i="4"/>
  <c r="AQ14" i="4"/>
  <c r="AR14" i="4"/>
  <c r="AS14" i="4"/>
  <c r="AU10" i="4"/>
  <c r="BB7" i="4"/>
  <c r="AM7" i="4" s="1"/>
  <c r="AU17" i="4"/>
  <c r="AO17" i="4" s="1"/>
  <c r="AK17" i="4" s="1"/>
  <c r="BC14" i="4"/>
  <c r="BB14" i="4" s="1"/>
  <c r="AM14" i="4" s="1"/>
  <c r="AW14" i="4"/>
  <c r="AX14" i="4"/>
  <c r="BE6" i="4"/>
  <c r="BD18" i="4"/>
  <c r="Z8" i="4"/>
  <c r="AA8" i="4" s="1"/>
  <c r="AB8" i="4" s="1"/>
  <c r="BE13" i="4"/>
  <c r="BD13" i="4"/>
  <c r="AY13" i="4"/>
  <c r="AX18" i="4"/>
  <c r="AR18" i="4"/>
  <c r="AQ13" i="4"/>
  <c r="AW13" i="4"/>
  <c r="AT13" i="4"/>
  <c r="AP8" i="4"/>
  <c r="AU15" i="4"/>
  <c r="AP10" i="4"/>
  <c r="BB15" i="4"/>
  <c r="AM15" i="4" s="1"/>
  <c r="AP15" i="4"/>
  <c r="AR9" i="4"/>
  <c r="AQ16" i="4"/>
  <c r="BE9" i="4"/>
  <c r="AV16" i="4"/>
  <c r="AS16" i="4"/>
  <c r="BD16" i="4"/>
  <c r="AS9" i="4"/>
  <c r="BE16" i="4"/>
  <c r="AW16" i="4"/>
  <c r="AU20" i="4"/>
  <c r="AV9" i="4"/>
  <c r="BC9" i="4"/>
  <c r="Q17" i="4"/>
  <c r="BC16" i="4"/>
  <c r="BB8" i="4"/>
  <c r="AM8" i="4" s="1"/>
  <c r="AX9" i="4"/>
  <c r="BD9" i="4"/>
  <c r="AT9" i="4"/>
  <c r="AQ9" i="4"/>
  <c r="AW9" i="4"/>
  <c r="AY9" i="4"/>
  <c r="AT16" i="4"/>
  <c r="AX16" i="4"/>
  <c r="AW18" i="4"/>
  <c r="BC18" i="4"/>
  <c r="AS18" i="4"/>
  <c r="BE18" i="4"/>
  <c r="AV18" i="4"/>
  <c r="AQ18" i="4"/>
  <c r="AU8" i="4"/>
  <c r="BC6" i="4"/>
  <c r="BD6" i="4"/>
  <c r="C84" i="26"/>
  <c r="C86" i="26" s="1"/>
  <c r="C123" i="26"/>
  <c r="E14" i="4"/>
  <c r="G14" i="4" s="1"/>
  <c r="H14" i="4" s="1"/>
  <c r="G5" i="19"/>
  <c r="C84" i="25"/>
  <c r="C86" i="25" s="1"/>
  <c r="AL48" i="30"/>
  <c r="AL49" i="30" s="1"/>
  <c r="AM48" i="30"/>
  <c r="AM49" i="30" s="1"/>
  <c r="AJ48" i="30"/>
  <c r="AJ49" i="30" s="1"/>
  <c r="AK48" i="30"/>
  <c r="AK49" i="30" s="1"/>
  <c r="AB48" i="30"/>
  <c r="AB49" i="30" s="1"/>
  <c r="AG48" i="30"/>
  <c r="AG49" i="30" s="1"/>
  <c r="AC48" i="30"/>
  <c r="AC49" i="30" s="1"/>
  <c r="AE48" i="30"/>
  <c r="AE49" i="30" s="1"/>
  <c r="AH48" i="30"/>
  <c r="AH49" i="30" s="1"/>
  <c r="AI48" i="30"/>
  <c r="AI49" i="30" s="1"/>
  <c r="G31" i="30"/>
  <c r="AS48" i="30" s="1"/>
  <c r="AS49" i="30" s="1"/>
  <c r="AF48" i="30"/>
  <c r="AF49" i="30" s="1"/>
  <c r="J13" i="4"/>
  <c r="D16" i="4"/>
  <c r="E15" i="4"/>
  <c r="G15" i="4" s="1"/>
  <c r="AN43" i="30"/>
  <c r="I41" i="30"/>
  <c r="AV43" i="30" l="1"/>
  <c r="AT43" i="30"/>
  <c r="AG43" i="30"/>
  <c r="C130" i="26"/>
  <c r="C130" i="25"/>
  <c r="AU12" i="4"/>
  <c r="AL43" i="30"/>
  <c r="AB43" i="30"/>
  <c r="AQ43" i="30"/>
  <c r="AH43" i="30"/>
  <c r="AC43" i="30"/>
  <c r="AM43" i="30"/>
  <c r="AD43" i="30"/>
  <c r="AR43" i="30"/>
  <c r="AY43" i="30"/>
  <c r="AW43" i="30"/>
  <c r="AX43" i="30"/>
  <c r="AE43" i="30"/>
  <c r="AF43" i="30"/>
  <c r="AJ43" i="30"/>
  <c r="AP43" i="30"/>
  <c r="AS43" i="30"/>
  <c r="AU43" i="30"/>
  <c r="AO43" i="30"/>
  <c r="AK43" i="30"/>
  <c r="AI43" i="30"/>
  <c r="C14" i="1"/>
  <c r="E14" i="1" s="1"/>
  <c r="C42" i="1"/>
  <c r="E42" i="1" s="1"/>
  <c r="BB11" i="4"/>
  <c r="AM11" i="4" s="1"/>
  <c r="BB12" i="4"/>
  <c r="AM12" i="4" s="1"/>
  <c r="AP12" i="4"/>
  <c r="AP11" i="4"/>
  <c r="AU11" i="4"/>
  <c r="BB13" i="4"/>
  <c r="AM13" i="4" s="1"/>
  <c r="AO19" i="4"/>
  <c r="AK19" i="4" s="1"/>
  <c r="R19" i="4" s="1"/>
  <c r="S19" i="4" s="1"/>
  <c r="U19" i="4" s="1"/>
  <c r="W19" i="4" s="1"/>
  <c r="AO7" i="4"/>
  <c r="AK7" i="4" s="1"/>
  <c r="R7" i="4" s="1"/>
  <c r="S7" i="4" s="1"/>
  <c r="U7" i="4" s="1"/>
  <c r="V7" i="4" s="1"/>
  <c r="AO10" i="4"/>
  <c r="AK10" i="4" s="1"/>
  <c r="R10" i="4" s="1"/>
  <c r="S10" i="4" s="1"/>
  <c r="U10" i="4" s="1"/>
  <c r="V10" i="4" s="1"/>
  <c r="AO20" i="4"/>
  <c r="AK20" i="4" s="1"/>
  <c r="R20" i="4" s="1"/>
  <c r="S20" i="4" s="1"/>
  <c r="U20" i="4" s="1"/>
  <c r="W20" i="4" s="1"/>
  <c r="AU13" i="4"/>
  <c r="Z9" i="4"/>
  <c r="AA9" i="4" s="1"/>
  <c r="AB9" i="4" s="1"/>
  <c r="AP16" i="4"/>
  <c r="AP13" i="4"/>
  <c r="AP14" i="4"/>
  <c r="AU18" i="4"/>
  <c r="BB16" i="4"/>
  <c r="AM16" i="4" s="1"/>
  <c r="AU14" i="4"/>
  <c r="BB9" i="4"/>
  <c r="AM9" i="4" s="1"/>
  <c r="AO15" i="4"/>
  <c r="AK15" i="4" s="1"/>
  <c r="R15" i="4" s="1"/>
  <c r="S15" i="4" s="1"/>
  <c r="U15" i="4" s="1"/>
  <c r="W15" i="4" s="1"/>
  <c r="BB18" i="4"/>
  <c r="AM18" i="4" s="1"/>
  <c r="AP9" i="4"/>
  <c r="R17" i="4"/>
  <c r="S17" i="4" s="1"/>
  <c r="U17" i="4" s="1"/>
  <c r="V17" i="4" s="1"/>
  <c r="AO8" i="4"/>
  <c r="AK8" i="4" s="1"/>
  <c r="R8" i="4" s="1"/>
  <c r="S8" i="4" s="1"/>
  <c r="U8" i="4" s="1"/>
  <c r="W8" i="4" s="1"/>
  <c r="BB6" i="4"/>
  <c r="R6" i="4" s="1"/>
  <c r="S6" i="4" s="1"/>
  <c r="U6" i="4" s="1"/>
  <c r="W6" i="4" s="1"/>
  <c r="AU16" i="4"/>
  <c r="AU9" i="4"/>
  <c r="AP18" i="4"/>
  <c r="I14" i="4"/>
  <c r="J14" i="4" s="1"/>
  <c r="AV48" i="30"/>
  <c r="AV49" i="30" s="1"/>
  <c r="AW48" i="30"/>
  <c r="AW49" i="30" s="1"/>
  <c r="AQ48" i="30"/>
  <c r="AQ49" i="30" s="1"/>
  <c r="AN48" i="30"/>
  <c r="AN49" i="30" s="1"/>
  <c r="AP48" i="30"/>
  <c r="AP49" i="30" s="1"/>
  <c r="AU48" i="30"/>
  <c r="AU49" i="30" s="1"/>
  <c r="AO48" i="30"/>
  <c r="AO49" i="30" s="1"/>
  <c r="AR48" i="30"/>
  <c r="AR49" i="30" s="1"/>
  <c r="AY48" i="30"/>
  <c r="AY49" i="30" s="1"/>
  <c r="AX48" i="30"/>
  <c r="AX49" i="30" s="1"/>
  <c r="H31" i="30"/>
  <c r="BG48" i="30" s="1"/>
  <c r="BG49" i="30" s="1"/>
  <c r="AT48" i="30"/>
  <c r="AT49" i="30" s="1"/>
  <c r="I15" i="4"/>
  <c r="H15" i="4"/>
  <c r="D17" i="4"/>
  <c r="E16" i="4"/>
  <c r="G16" i="4" s="1"/>
  <c r="BF43" i="30"/>
  <c r="BA43" i="30"/>
  <c r="BK43" i="30"/>
  <c r="BB43" i="30"/>
  <c r="BH43" i="30"/>
  <c r="BJ43" i="30"/>
  <c r="BG43" i="30"/>
  <c r="AZ43" i="30"/>
  <c r="I30" i="30"/>
  <c r="BI43" i="30"/>
  <c r="BD43" i="30"/>
  <c r="BC43" i="30"/>
  <c r="BE43" i="30"/>
  <c r="J41" i="30"/>
  <c r="C131" i="26" l="1"/>
  <c r="C131" i="25"/>
  <c r="AO12" i="4"/>
  <c r="AK12" i="4" s="1"/>
  <c r="R12" i="4" s="1"/>
  <c r="S12" i="4" s="1"/>
  <c r="U12" i="4" s="1"/>
  <c r="W12" i="4" s="1"/>
  <c r="C16" i="1"/>
  <c r="C18" i="1" s="1"/>
  <c r="C44" i="1"/>
  <c r="C47" i="1" s="1"/>
  <c r="AO11" i="4"/>
  <c r="AK11" i="4" s="1"/>
  <c r="R11" i="4" s="1"/>
  <c r="S11" i="4" s="1"/>
  <c r="U11" i="4" s="1"/>
  <c r="V11" i="4" s="1"/>
  <c r="V19" i="4"/>
  <c r="X19" i="4" s="1"/>
  <c r="AO16" i="4"/>
  <c r="AK16" i="4" s="1"/>
  <c r="R16" i="4" s="1"/>
  <c r="S16" i="4" s="1"/>
  <c r="U16" i="4" s="1"/>
  <c r="W16" i="4" s="1"/>
  <c r="V20" i="4"/>
  <c r="X20" i="4" s="1"/>
  <c r="W7" i="4"/>
  <c r="X7" i="4" s="1"/>
  <c r="AD7" i="4" s="1"/>
  <c r="AO13" i="4"/>
  <c r="AK13" i="4" s="1"/>
  <c r="R13" i="4" s="1"/>
  <c r="S13" i="4" s="1"/>
  <c r="U13" i="4" s="1"/>
  <c r="V13" i="4" s="1"/>
  <c r="W10" i="4"/>
  <c r="X10" i="4" s="1"/>
  <c r="AO18" i="4"/>
  <c r="AK18" i="4" s="1"/>
  <c r="R18" i="4" s="1"/>
  <c r="S18" i="4" s="1"/>
  <c r="U18" i="4" s="1"/>
  <c r="W18" i="4" s="1"/>
  <c r="AO14" i="4"/>
  <c r="AK14" i="4" s="1"/>
  <c r="R14" i="4" s="1"/>
  <c r="S14" i="4" s="1"/>
  <c r="U14" i="4" s="1"/>
  <c r="W14" i="4" s="1"/>
  <c r="Z10" i="4"/>
  <c r="Z11" i="4" s="1"/>
  <c r="Z12" i="4" s="1"/>
  <c r="V15" i="4"/>
  <c r="X15" i="4" s="1"/>
  <c r="AO9" i="4"/>
  <c r="AK9" i="4" s="1"/>
  <c r="R9" i="4" s="1"/>
  <c r="S9" i="4" s="1"/>
  <c r="U9" i="4" s="1"/>
  <c r="V9" i="4" s="1"/>
  <c r="V6" i="4"/>
  <c r="X6" i="4" s="1"/>
  <c r="D84" i="26" s="1"/>
  <c r="D86" i="26" s="1"/>
  <c r="E86" i="26" s="1"/>
  <c r="V8" i="4"/>
  <c r="X8" i="4" s="1"/>
  <c r="AD8" i="4" s="1"/>
  <c r="W17" i="4"/>
  <c r="X17" i="4" s="1"/>
  <c r="BD48" i="30"/>
  <c r="BD49" i="30" s="1"/>
  <c r="W11" i="4"/>
  <c r="X11" i="4" s="1"/>
  <c r="BJ48" i="30"/>
  <c r="BJ49" i="30" s="1"/>
  <c r="BK48" i="30"/>
  <c r="BK49" i="30" s="1"/>
  <c r="BF48" i="30"/>
  <c r="BF49" i="30" s="1"/>
  <c r="BC48" i="30"/>
  <c r="BC49" i="30" s="1"/>
  <c r="BA48" i="30"/>
  <c r="BA49" i="30" s="1"/>
  <c r="BE48" i="30"/>
  <c r="BE49" i="30" s="1"/>
  <c r="AZ48" i="30"/>
  <c r="AZ49" i="30" s="1"/>
  <c r="I31" i="30"/>
  <c r="BI48" i="30"/>
  <c r="BI49" i="30" s="1"/>
  <c r="BH48" i="30"/>
  <c r="BH49" i="30" s="1"/>
  <c r="BB48" i="30"/>
  <c r="BB49" i="30" s="1"/>
  <c r="J15" i="4"/>
  <c r="H16" i="4"/>
  <c r="I16" i="4"/>
  <c r="D18" i="4"/>
  <c r="E17" i="4"/>
  <c r="G17" i="4" s="1"/>
  <c r="BR43" i="30"/>
  <c r="BM43" i="30"/>
  <c r="BO43" i="30"/>
  <c r="BN43" i="30"/>
  <c r="BT43" i="30"/>
  <c r="BW43" i="30"/>
  <c r="BV43" i="30"/>
  <c r="J30" i="30"/>
  <c r="BU43" i="30"/>
  <c r="BP43" i="30"/>
  <c r="BS43" i="30"/>
  <c r="BQ43" i="30"/>
  <c r="BL43" i="30"/>
  <c r="K41" i="30"/>
  <c r="D42" i="1" l="1"/>
  <c r="C48" i="1"/>
  <c r="E48" i="1" s="1"/>
  <c r="E16" i="1"/>
  <c r="C132" i="26"/>
  <c r="C132" i="25"/>
  <c r="C45" i="1"/>
  <c r="E45" i="1" s="1"/>
  <c r="V12" i="4"/>
  <c r="X12" i="4" s="1"/>
  <c r="E44" i="1"/>
  <c r="D3" i="30" s="1"/>
  <c r="AE7" i="4"/>
  <c r="V16" i="4"/>
  <c r="X16" i="4" s="1"/>
  <c r="W13" i="4"/>
  <c r="X13" i="4" s="1"/>
  <c r="V14" i="4"/>
  <c r="X14" i="4" s="1"/>
  <c r="AA11" i="4"/>
  <c r="AB11" i="4" s="1"/>
  <c r="AD11" i="4" s="1"/>
  <c r="V18" i="4"/>
  <c r="X18" i="4" s="1"/>
  <c r="AA10" i="4"/>
  <c r="AB10" i="4" s="1"/>
  <c r="AD10" i="4" s="1"/>
  <c r="AE10" i="4" s="1"/>
  <c r="AD6" i="4"/>
  <c r="W9" i="4"/>
  <c r="X9" i="4" s="1"/>
  <c r="AD9" i="4" s="1"/>
  <c r="D84" i="25"/>
  <c r="D86" i="25" s="1"/>
  <c r="E86" i="25" s="1"/>
  <c r="AE8" i="4"/>
  <c r="BQ48" i="30"/>
  <c r="BQ49" i="30" s="1"/>
  <c r="BV48" i="30"/>
  <c r="BV49" i="30" s="1"/>
  <c r="BN48" i="30"/>
  <c r="BN49" i="30" s="1"/>
  <c r="J31" i="30"/>
  <c r="BZ48" i="30" s="1"/>
  <c r="BM48" i="30"/>
  <c r="BS48" i="30"/>
  <c r="BU48" i="30"/>
  <c r="BL48" i="30"/>
  <c r="BO48" i="30"/>
  <c r="BR48" i="30"/>
  <c r="BT48" i="30"/>
  <c r="BP48" i="30"/>
  <c r="BW48" i="30"/>
  <c r="C49" i="1"/>
  <c r="E47" i="1"/>
  <c r="C21" i="1"/>
  <c r="C19" i="1"/>
  <c r="E18" i="1"/>
  <c r="C22" i="1"/>
  <c r="E22" i="1" s="1"/>
  <c r="D16" i="1"/>
  <c r="J16" i="4"/>
  <c r="H17" i="4"/>
  <c r="I17" i="4"/>
  <c r="D19" i="4"/>
  <c r="E18" i="4"/>
  <c r="G18" i="4" s="1"/>
  <c r="CI43" i="30"/>
  <c r="CD43" i="30"/>
  <c r="BY43" i="30"/>
  <c r="BZ43" i="30"/>
  <c r="CH43" i="30"/>
  <c r="CE43" i="30"/>
  <c r="CF43" i="30"/>
  <c r="CC43" i="30"/>
  <c r="CA43" i="30"/>
  <c r="CG43" i="30"/>
  <c r="CB43" i="30"/>
  <c r="K30" i="30"/>
  <c r="BX43" i="30"/>
  <c r="Z13" i="4"/>
  <c r="AA12" i="4"/>
  <c r="AB12" i="4" s="1"/>
  <c r="AD12" i="4" s="1"/>
  <c r="L41" i="30"/>
  <c r="C133" i="26" l="1"/>
  <c r="C133" i="25"/>
  <c r="C46" i="1"/>
  <c r="G15" i="22" s="1"/>
  <c r="G124" i="26"/>
  <c r="G124" i="25"/>
  <c r="G127" i="26"/>
  <c r="G127" i="25"/>
  <c r="G125" i="26"/>
  <c r="G125" i="25"/>
  <c r="AF7" i="4"/>
  <c r="E4" i="32"/>
  <c r="E6" i="32"/>
  <c r="C3" i="30"/>
  <c r="E3" i="32"/>
  <c r="C22" i="31"/>
  <c r="AE6" i="4"/>
  <c r="G8" i="19"/>
  <c r="AE9" i="4"/>
  <c r="AF8" i="4"/>
  <c r="AE12" i="4"/>
  <c r="AF10" i="4"/>
  <c r="AE11" i="4"/>
  <c r="BY48" i="30"/>
  <c r="BY49" i="30" s="1"/>
  <c r="CC48" i="30"/>
  <c r="CC49" i="30" s="1"/>
  <c r="CH48" i="30"/>
  <c r="CH49" i="30" s="1"/>
  <c r="CB48" i="30"/>
  <c r="CB49" i="30" s="1"/>
  <c r="CD48" i="30"/>
  <c r="CD49" i="30" s="1"/>
  <c r="CG48" i="30"/>
  <c r="CG49" i="30" s="1"/>
  <c r="BX48" i="30"/>
  <c r="BX49" i="30" s="1"/>
  <c r="CF48" i="30"/>
  <c r="CF49" i="30" s="1"/>
  <c r="CI48" i="30"/>
  <c r="CI49" i="30" s="1"/>
  <c r="K31" i="30"/>
  <c r="CE48" i="30"/>
  <c r="CE49" i="30" s="1"/>
  <c r="CA48" i="30"/>
  <c r="CA49" i="30" s="1"/>
  <c r="BZ49" i="30"/>
  <c r="BW49" i="30"/>
  <c r="BO49" i="30"/>
  <c r="BM49" i="30"/>
  <c r="BP49" i="30"/>
  <c r="BL49" i="30"/>
  <c r="BT49" i="30"/>
  <c r="BU49" i="30"/>
  <c r="BR49" i="30"/>
  <c r="BS49" i="30"/>
  <c r="C50" i="1"/>
  <c r="E50" i="1" s="1"/>
  <c r="E49" i="1"/>
  <c r="D2" i="30" s="1"/>
  <c r="D4" i="30" s="1"/>
  <c r="D5" i="30" s="1"/>
  <c r="D52" i="1"/>
  <c r="E19" i="1"/>
  <c r="C20" i="1"/>
  <c r="J17" i="4"/>
  <c r="C23" i="1"/>
  <c r="E21" i="1"/>
  <c r="H18" i="4"/>
  <c r="I18" i="4"/>
  <c r="D20" i="4"/>
  <c r="E20" i="4" s="1"/>
  <c r="G20" i="4" s="1"/>
  <c r="E19" i="4"/>
  <c r="G19" i="4" s="1"/>
  <c r="CU43" i="30"/>
  <c r="CP43" i="30"/>
  <c r="CK43" i="30"/>
  <c r="CL43" i="30"/>
  <c r="CR43" i="30"/>
  <c r="L30" i="30"/>
  <c r="CO43" i="30"/>
  <c r="CQ43" i="30"/>
  <c r="CT43" i="30"/>
  <c r="CM43" i="30"/>
  <c r="CS43" i="30"/>
  <c r="CN43" i="30"/>
  <c r="CJ43" i="30"/>
  <c r="Z14" i="4"/>
  <c r="AA13" i="4"/>
  <c r="AB13" i="4" s="1"/>
  <c r="AD13" i="4" s="1"/>
  <c r="M41" i="30"/>
  <c r="C134" i="26" l="1"/>
  <c r="C134" i="25"/>
  <c r="G123" i="26"/>
  <c r="G123" i="25"/>
  <c r="G128" i="26"/>
  <c r="G128" i="25"/>
  <c r="G126" i="26"/>
  <c r="G126" i="25"/>
  <c r="G129" i="26"/>
  <c r="G129" i="25"/>
  <c r="AF11" i="4"/>
  <c r="AF6" i="4"/>
  <c r="G9" i="19" s="1"/>
  <c r="E8" i="32"/>
  <c r="E5" i="32"/>
  <c r="E2" i="32"/>
  <c r="AF9" i="4"/>
  <c r="E7" i="32"/>
  <c r="AF12" i="4"/>
  <c r="AE13" i="4"/>
  <c r="CS48" i="30"/>
  <c r="CS49" i="30" s="1"/>
  <c r="CR48" i="30"/>
  <c r="CR49" i="30" s="1"/>
  <c r="CQ48" i="30"/>
  <c r="CQ49" i="30" s="1"/>
  <c r="CJ48" i="30"/>
  <c r="CJ49" i="30" s="1"/>
  <c r="CO48" i="30"/>
  <c r="CO49" i="30" s="1"/>
  <c r="L31" i="30"/>
  <c r="CT48" i="30"/>
  <c r="CT49" i="30" s="1"/>
  <c r="CU48" i="30"/>
  <c r="CU49" i="30" s="1"/>
  <c r="CL48" i="30"/>
  <c r="CL49" i="30" s="1"/>
  <c r="CM48" i="30"/>
  <c r="CM49" i="30" s="1"/>
  <c r="CN48" i="30"/>
  <c r="CN49" i="30" s="1"/>
  <c r="CP48" i="30"/>
  <c r="CP49" i="30" s="1"/>
  <c r="CK48" i="30"/>
  <c r="CK49" i="30" s="1"/>
  <c r="D26" i="1"/>
  <c r="C24" i="1"/>
  <c r="E24" i="1" s="1"/>
  <c r="C51" i="1"/>
  <c r="C52" i="1" s="1"/>
  <c r="J18" i="4"/>
  <c r="H20" i="4"/>
  <c r="I20" i="4"/>
  <c r="I19" i="4"/>
  <c r="H19" i="4"/>
  <c r="DC43" i="30"/>
  <c r="CX43" i="30"/>
  <c r="DD43" i="30"/>
  <c r="DE43" i="30"/>
  <c r="DG43" i="30"/>
  <c r="CY43" i="30"/>
  <c r="CZ43" i="30"/>
  <c r="DB43" i="30"/>
  <c r="M30" i="30"/>
  <c r="DF43" i="30"/>
  <c r="DA43" i="30"/>
  <c r="CV43" i="30"/>
  <c r="CW43" i="30"/>
  <c r="Z15" i="4"/>
  <c r="AA14" i="4"/>
  <c r="AB14" i="4" s="1"/>
  <c r="AD14" i="4" s="1"/>
  <c r="N41" i="30"/>
  <c r="C135" i="26" l="1"/>
  <c r="C135" i="25"/>
  <c r="G130" i="26"/>
  <c r="G130" i="25"/>
  <c r="D5" i="32"/>
  <c r="E9" i="32"/>
  <c r="D3" i="32"/>
  <c r="D4" i="32"/>
  <c r="D2" i="32"/>
  <c r="AF13" i="4"/>
  <c r="AE14" i="4"/>
  <c r="DB48" i="30"/>
  <c r="DB49" i="30" s="1"/>
  <c r="CW48" i="30"/>
  <c r="CW49" i="30" s="1"/>
  <c r="M31" i="30"/>
  <c r="CZ48" i="30"/>
  <c r="CZ49" i="30" s="1"/>
  <c r="DC48" i="30"/>
  <c r="DC49" i="30" s="1"/>
  <c r="DD48" i="30"/>
  <c r="DD49" i="30" s="1"/>
  <c r="DF48" i="30"/>
  <c r="DF49" i="30" s="1"/>
  <c r="DG48" i="30"/>
  <c r="DG49" i="30" s="1"/>
  <c r="CY48" i="30"/>
  <c r="CY49" i="30" s="1"/>
  <c r="DA48" i="30"/>
  <c r="DA49" i="30" s="1"/>
  <c r="CX48" i="30"/>
  <c r="CX49" i="30" s="1"/>
  <c r="CV48" i="30"/>
  <c r="CV49" i="30" s="1"/>
  <c r="DE48" i="30"/>
  <c r="DE49" i="30" s="1"/>
  <c r="C25" i="1"/>
  <c r="C26" i="1" s="1"/>
  <c r="C27" i="1" s="1"/>
  <c r="G23" i="19"/>
  <c r="G24" i="19" s="1"/>
  <c r="E52" i="1"/>
  <c r="C2" i="30" s="1"/>
  <c r="J20" i="4"/>
  <c r="J19" i="4"/>
  <c r="DS48" i="30"/>
  <c r="N30" i="30"/>
  <c r="DR43" i="30"/>
  <c r="DM43" i="30"/>
  <c r="DH43" i="30"/>
  <c r="DI43" i="30"/>
  <c r="DS43" i="30"/>
  <c r="DN43" i="30"/>
  <c r="DK43" i="30"/>
  <c r="DO43" i="30"/>
  <c r="DJ43" i="30"/>
  <c r="DP43" i="30"/>
  <c r="DQ43" i="30"/>
  <c r="DL43" i="30"/>
  <c r="Z16" i="4"/>
  <c r="AA15" i="4"/>
  <c r="AB15" i="4" s="1"/>
  <c r="AD15" i="4" s="1"/>
  <c r="O41" i="30"/>
  <c r="C137" i="26" l="1"/>
  <c r="C137" i="25"/>
  <c r="C136" i="26"/>
  <c r="C136" i="25"/>
  <c r="G131" i="26"/>
  <c r="G131" i="25"/>
  <c r="E10" i="32"/>
  <c r="AF14" i="4"/>
  <c r="AE15" i="4"/>
  <c r="DK48" i="30"/>
  <c r="DK49" i="30" s="1"/>
  <c r="DL48" i="30"/>
  <c r="DL49" i="30" s="1"/>
  <c r="DJ48" i="30"/>
  <c r="DJ49" i="30" s="1"/>
  <c r="N31" i="30"/>
  <c r="DH48" i="30"/>
  <c r="DH49" i="30" s="1"/>
  <c r="DO48" i="30"/>
  <c r="DO49" i="30" s="1"/>
  <c r="DI48" i="30"/>
  <c r="DI49" i="30" s="1"/>
  <c r="DN48" i="30"/>
  <c r="DN49" i="30" s="1"/>
  <c r="DR48" i="30"/>
  <c r="DR49" i="30" s="1"/>
  <c r="DM48" i="30"/>
  <c r="DM49" i="30" s="1"/>
  <c r="DQ48" i="30"/>
  <c r="DQ49" i="30" s="1"/>
  <c r="DP48" i="30"/>
  <c r="DP49" i="30" s="1"/>
  <c r="DS49" i="30"/>
  <c r="E26" i="1"/>
  <c r="C25" i="30"/>
  <c r="C11" i="30"/>
  <c r="C4" i="30"/>
  <c r="C26" i="30"/>
  <c r="C32" i="30" s="1"/>
  <c r="C33" i="30" s="1"/>
  <c r="C12" i="30"/>
  <c r="DW43" i="30"/>
  <c r="EC43" i="30"/>
  <c r="DX43" i="30"/>
  <c r="EB43" i="30"/>
  <c r="O30" i="30"/>
  <c r="ED43" i="30"/>
  <c r="DY43" i="30"/>
  <c r="DT43" i="30"/>
  <c r="EA43" i="30"/>
  <c r="EE43" i="30"/>
  <c r="DZ43" i="30"/>
  <c r="DU43" i="30"/>
  <c r="DV43" i="30"/>
  <c r="Z17" i="4"/>
  <c r="AA16" i="4"/>
  <c r="AB16" i="4" s="1"/>
  <c r="AD16" i="4" s="1"/>
  <c r="P41" i="30"/>
  <c r="C138" i="26" l="1"/>
  <c r="C138" i="25"/>
  <c r="G132" i="26"/>
  <c r="G132" i="25"/>
  <c r="E11" i="32"/>
  <c r="AF15" i="4"/>
  <c r="AE16" i="4"/>
  <c r="ED48" i="30"/>
  <c r="ED49" i="30" s="1"/>
  <c r="DV48" i="30"/>
  <c r="DV49" i="30" s="1"/>
  <c r="DX48" i="30"/>
  <c r="DX49" i="30" s="1"/>
  <c r="EB48" i="30"/>
  <c r="EB49" i="30" s="1"/>
  <c r="DT48" i="30"/>
  <c r="DT49" i="30" s="1"/>
  <c r="O31" i="30"/>
  <c r="EN48" i="30" s="1"/>
  <c r="DZ48" i="30"/>
  <c r="DZ49" i="30" s="1"/>
  <c r="EA48" i="30"/>
  <c r="EA49" i="30" s="1"/>
  <c r="DW48" i="30"/>
  <c r="DW49" i="30" s="1"/>
  <c r="DY48" i="30"/>
  <c r="DY49" i="30" s="1"/>
  <c r="EC48" i="30"/>
  <c r="EC49" i="30" s="1"/>
  <c r="EE48" i="30"/>
  <c r="EE49" i="30" s="1"/>
  <c r="DU48" i="30"/>
  <c r="DU49" i="30" s="1"/>
  <c r="C34" i="30"/>
  <c r="C35" i="30" s="1"/>
  <c r="D32" i="30"/>
  <c r="D33" i="30" s="1"/>
  <c r="C5" i="30"/>
  <c r="G27" i="19" s="1"/>
  <c r="G26" i="19"/>
  <c r="C6" i="30"/>
  <c r="D6" i="30"/>
  <c r="EQ43" i="30"/>
  <c r="EL43" i="30"/>
  <c r="EG43" i="30"/>
  <c r="EH43" i="30"/>
  <c r="P30" i="30"/>
  <c r="EK43" i="30"/>
  <c r="EM43" i="30"/>
  <c r="EN43" i="30"/>
  <c r="EI43" i="30"/>
  <c r="EO43" i="30"/>
  <c r="EJ43" i="30"/>
  <c r="EP43" i="30"/>
  <c r="EF43" i="30"/>
  <c r="Z18" i="4"/>
  <c r="AA17" i="4"/>
  <c r="AB17" i="4" s="1"/>
  <c r="AD17" i="4" s="1"/>
  <c r="Q41" i="30"/>
  <c r="G133" i="26" l="1"/>
  <c r="G133" i="25"/>
  <c r="E12" i="32"/>
  <c r="EL48" i="30"/>
  <c r="EL49" i="30" s="1"/>
  <c r="AF16" i="4"/>
  <c r="AE17" i="4"/>
  <c r="EH48" i="30"/>
  <c r="EH49" i="30" s="1"/>
  <c r="EK48" i="30"/>
  <c r="EK49" i="30" s="1"/>
  <c r="P31" i="30"/>
  <c r="EU48" i="30" s="1"/>
  <c r="EQ48" i="30"/>
  <c r="EQ49" i="30" s="1"/>
  <c r="EP48" i="30"/>
  <c r="EP49" i="30" s="1"/>
  <c r="EM48" i="30"/>
  <c r="EM49" i="30" s="1"/>
  <c r="EJ48" i="30"/>
  <c r="EJ49" i="30" s="1"/>
  <c r="EG48" i="30"/>
  <c r="EG49" i="30" s="1"/>
  <c r="EI48" i="30"/>
  <c r="EI49" i="30" s="1"/>
  <c r="EF48" i="30"/>
  <c r="EF49" i="30" s="1"/>
  <c r="EO48" i="30"/>
  <c r="EO49" i="30" s="1"/>
  <c r="EN49" i="30"/>
  <c r="D34" i="30"/>
  <c r="D35" i="30" s="1"/>
  <c r="E32" i="30"/>
  <c r="E33" i="30" s="1"/>
  <c r="EY43" i="30"/>
  <c r="ET43" i="30"/>
  <c r="EZ43" i="30"/>
  <c r="EV43" i="30"/>
  <c r="FC43" i="30"/>
  <c r="ES43" i="30"/>
  <c r="EU43" i="30"/>
  <c r="FA43" i="30"/>
  <c r="Q30" i="30"/>
  <c r="FB43" i="30"/>
  <c r="EW43" i="30"/>
  <c r="ER43" i="30"/>
  <c r="EX43" i="30"/>
  <c r="Z19" i="4"/>
  <c r="AA18" i="4"/>
  <c r="AB18" i="4" s="1"/>
  <c r="AD18" i="4" s="1"/>
  <c r="R41" i="30"/>
  <c r="G134" i="26" l="1"/>
  <c r="G134" i="25"/>
  <c r="E13" i="32"/>
  <c r="EZ48" i="30"/>
  <c r="EZ49" i="30" s="1"/>
  <c r="EV48" i="30"/>
  <c r="EV49" i="30" s="1"/>
  <c r="FC48" i="30"/>
  <c r="FC49" i="30" s="1"/>
  <c r="EW48" i="30"/>
  <c r="EW49" i="30" s="1"/>
  <c r="ET48" i="30"/>
  <c r="ET49" i="30" s="1"/>
  <c r="Q31" i="30"/>
  <c r="FF48" i="30" s="1"/>
  <c r="AF17" i="4"/>
  <c r="ER48" i="30"/>
  <c r="ER49" i="30" s="1"/>
  <c r="ES48" i="30"/>
  <c r="ES49" i="30" s="1"/>
  <c r="AE18" i="4"/>
  <c r="EY48" i="30"/>
  <c r="EY49" i="30" s="1"/>
  <c r="FA48" i="30"/>
  <c r="FA49" i="30" s="1"/>
  <c r="EX48" i="30"/>
  <c r="EX49" i="30" s="1"/>
  <c r="FB48" i="30"/>
  <c r="FB49" i="30" s="1"/>
  <c r="EU49" i="30"/>
  <c r="F32" i="30"/>
  <c r="F33" i="30" s="1"/>
  <c r="E34" i="30"/>
  <c r="E35" i="30" s="1"/>
  <c r="H44" i="30"/>
  <c r="H47" i="30" s="1"/>
  <c r="H50" i="30" s="1"/>
  <c r="F44" i="30"/>
  <c r="F47" i="30" s="1"/>
  <c r="F50" i="30" s="1"/>
  <c r="O44" i="30"/>
  <c r="O47" i="30" s="1"/>
  <c r="O50" i="30" s="1"/>
  <c r="K44" i="30"/>
  <c r="K47" i="30" s="1"/>
  <c r="K50" i="30" s="1"/>
  <c r="G44" i="30"/>
  <c r="G47" i="30" s="1"/>
  <c r="G50" i="30" s="1"/>
  <c r="L44" i="30"/>
  <c r="L47" i="30" s="1"/>
  <c r="L50" i="30" s="1"/>
  <c r="D44" i="30"/>
  <c r="E44" i="30"/>
  <c r="E47" i="30" s="1"/>
  <c r="E50" i="30" s="1"/>
  <c r="N44" i="30"/>
  <c r="N47" i="30" s="1"/>
  <c r="N50" i="30" s="1"/>
  <c r="M44" i="30"/>
  <c r="M47" i="30" s="1"/>
  <c r="M50" i="30" s="1"/>
  <c r="I44" i="30"/>
  <c r="I47" i="30" s="1"/>
  <c r="I50" i="30" s="1"/>
  <c r="J44" i="30"/>
  <c r="J47" i="30" s="1"/>
  <c r="J50" i="30" s="1"/>
  <c r="FG43" i="30"/>
  <c r="FM43" i="30"/>
  <c r="FH43" i="30"/>
  <c r="FF43" i="30"/>
  <c r="R30" i="30"/>
  <c r="FN43" i="30"/>
  <c r="FI43" i="30"/>
  <c r="FD43" i="30"/>
  <c r="FL43" i="30"/>
  <c r="FO43" i="30"/>
  <c r="FJ43" i="30"/>
  <c r="FE43" i="30"/>
  <c r="FK43" i="30"/>
  <c r="Z20" i="4"/>
  <c r="AA19" i="4"/>
  <c r="AB19" i="4" s="1"/>
  <c r="AD19" i="4" s="1"/>
  <c r="S41" i="30"/>
  <c r="G135" i="26" l="1"/>
  <c r="G135" i="25"/>
  <c r="E14" i="32"/>
  <c r="FE48" i="30"/>
  <c r="FE49" i="30" s="1"/>
  <c r="FD48" i="30"/>
  <c r="FD49" i="30" s="1"/>
  <c r="AF18" i="4"/>
  <c r="FM48" i="30"/>
  <c r="FM49" i="30" s="1"/>
  <c r="FN48" i="30"/>
  <c r="FN49" i="30" s="1"/>
  <c r="FL48" i="30"/>
  <c r="FL49" i="30" s="1"/>
  <c r="FK48" i="30"/>
  <c r="FK49" i="30" s="1"/>
  <c r="FO48" i="30"/>
  <c r="FO49" i="30" s="1"/>
  <c r="R31" i="30"/>
  <c r="FT48" i="30" s="1"/>
  <c r="FH48" i="30"/>
  <c r="FH49" i="30" s="1"/>
  <c r="FJ48" i="30"/>
  <c r="FJ49" i="30" s="1"/>
  <c r="FG48" i="30"/>
  <c r="FG49" i="30" s="1"/>
  <c r="FI48" i="30"/>
  <c r="FI49" i="30" s="1"/>
  <c r="AE19" i="4"/>
  <c r="FF49" i="30"/>
  <c r="D47" i="30"/>
  <c r="D50" i="30" s="1"/>
  <c r="F46" i="30"/>
  <c r="L46" i="30"/>
  <c r="N46" i="30"/>
  <c r="G46" i="30"/>
  <c r="H46" i="30"/>
  <c r="J46" i="30"/>
  <c r="E46" i="30"/>
  <c r="K46" i="30"/>
  <c r="AA44" i="30"/>
  <c r="AA47" i="30" s="1"/>
  <c r="AA50" i="30" s="1"/>
  <c r="V44" i="30"/>
  <c r="V47" i="30" s="1"/>
  <c r="V50" i="30" s="1"/>
  <c r="P44" i="30"/>
  <c r="P47" i="30" s="1"/>
  <c r="P50" i="30" s="1"/>
  <c r="T44" i="30"/>
  <c r="T47" i="30" s="1"/>
  <c r="T50" i="30" s="1"/>
  <c r="W44" i="30"/>
  <c r="W47" i="30" s="1"/>
  <c r="W50" i="30" s="1"/>
  <c r="R44" i="30"/>
  <c r="R47" i="30" s="1"/>
  <c r="R50" i="30" s="1"/>
  <c r="Y44" i="30"/>
  <c r="Y47" i="30" s="1"/>
  <c r="Y50" i="30" s="1"/>
  <c r="Q44" i="30"/>
  <c r="Q47" i="30" s="1"/>
  <c r="Q50" i="30" s="1"/>
  <c r="S44" i="30"/>
  <c r="S47" i="30" s="1"/>
  <c r="S50" i="30" s="1"/>
  <c r="X44" i="30"/>
  <c r="X47" i="30" s="1"/>
  <c r="X50" i="30" s="1"/>
  <c r="U44" i="30"/>
  <c r="U47" i="30" s="1"/>
  <c r="U50" i="30" s="1"/>
  <c r="Z44" i="30"/>
  <c r="Z47" i="30" s="1"/>
  <c r="Z50" i="30" s="1"/>
  <c r="M46" i="30"/>
  <c r="I46" i="30"/>
  <c r="D46" i="30"/>
  <c r="O46" i="30"/>
  <c r="G32" i="30"/>
  <c r="G33" i="30" s="1"/>
  <c r="F34" i="30"/>
  <c r="F35" i="30" s="1"/>
  <c r="GA43" i="30"/>
  <c r="FV43" i="30"/>
  <c r="FQ43" i="30"/>
  <c r="FW43" i="30"/>
  <c r="FR43" i="30"/>
  <c r="FX43" i="30"/>
  <c r="FS43" i="30"/>
  <c r="FY43" i="30"/>
  <c r="FT43" i="30"/>
  <c r="FZ43" i="30"/>
  <c r="FU43" i="30"/>
  <c r="FP43" i="30"/>
  <c r="AA20" i="4"/>
  <c r="AB20" i="4" s="1"/>
  <c r="AD20" i="4" s="1"/>
  <c r="T41" i="30"/>
  <c r="G36" i="19" l="1"/>
  <c r="G38" i="19" s="1"/>
  <c r="C18" i="30"/>
  <c r="C19" i="30" s="1"/>
  <c r="G136" i="26"/>
  <c r="G136" i="25"/>
  <c r="E15" i="32"/>
  <c r="FX48" i="30"/>
  <c r="FX49" i="30" s="1"/>
  <c r="GA48" i="30"/>
  <c r="GA49" i="30" s="1"/>
  <c r="FU48" i="30"/>
  <c r="FU49" i="30" s="1"/>
  <c r="FZ48" i="30"/>
  <c r="FZ49" i="30" s="1"/>
  <c r="FS48" i="30"/>
  <c r="FS49" i="30" s="1"/>
  <c r="FP48" i="30"/>
  <c r="FP49" i="30" s="1"/>
  <c r="FQ48" i="30"/>
  <c r="FQ49" i="30" s="1"/>
  <c r="FY48" i="30"/>
  <c r="FY49" i="30" s="1"/>
  <c r="FV48" i="30"/>
  <c r="FV49" i="30" s="1"/>
  <c r="FR48" i="30"/>
  <c r="FR49" i="30" s="1"/>
  <c r="FW48" i="30"/>
  <c r="FW49" i="30" s="1"/>
  <c r="AF19" i="4"/>
  <c r="AE20" i="4"/>
  <c r="FT49" i="30"/>
  <c r="Z46" i="30"/>
  <c r="Q46" i="30"/>
  <c r="T46" i="30"/>
  <c r="U46" i="30"/>
  <c r="Y46" i="30"/>
  <c r="P46" i="30"/>
  <c r="AG44" i="30"/>
  <c r="AG47" i="30" s="1"/>
  <c r="AG50" i="30" s="1"/>
  <c r="AB44" i="30"/>
  <c r="AB47" i="30" s="1"/>
  <c r="AB50" i="30" s="1"/>
  <c r="AM44" i="30"/>
  <c r="AM47" i="30" s="1"/>
  <c r="AM50" i="30" s="1"/>
  <c r="AF44" i="30"/>
  <c r="AF47" i="30" s="1"/>
  <c r="AF50" i="30" s="1"/>
  <c r="AC44" i="30"/>
  <c r="AC47" i="30" s="1"/>
  <c r="AC50" i="30" s="1"/>
  <c r="AL44" i="30"/>
  <c r="AL47" i="30" s="1"/>
  <c r="AL50" i="30" s="1"/>
  <c r="AI44" i="30"/>
  <c r="AI47" i="30" s="1"/>
  <c r="AI50" i="30" s="1"/>
  <c r="AD44" i="30"/>
  <c r="AD47" i="30" s="1"/>
  <c r="AD50" i="30" s="1"/>
  <c r="AJ44" i="30"/>
  <c r="AJ47" i="30" s="1"/>
  <c r="AJ50" i="30" s="1"/>
  <c r="AH44" i="30"/>
  <c r="AH47" i="30" s="1"/>
  <c r="AH50" i="30" s="1"/>
  <c r="AE44" i="30"/>
  <c r="AE47" i="30" s="1"/>
  <c r="AE50" i="30" s="1"/>
  <c r="AK44" i="30"/>
  <c r="AK47" i="30" s="1"/>
  <c r="AK50" i="30" s="1"/>
  <c r="X46" i="30"/>
  <c r="R46" i="30"/>
  <c r="V46" i="30"/>
  <c r="H32" i="30"/>
  <c r="H33" i="30" s="1"/>
  <c r="G34" i="30"/>
  <c r="G35" i="30" s="1"/>
  <c r="S46" i="30"/>
  <c r="W46" i="30"/>
  <c r="AA46" i="30"/>
  <c r="U41" i="30"/>
  <c r="C20" i="30" l="1"/>
  <c r="C23" i="30" s="1"/>
  <c r="C50" i="30" s="1"/>
  <c r="Q55" i="30" s="1"/>
  <c r="G37" i="19"/>
  <c r="G137" i="26"/>
  <c r="G138" i="26" s="1"/>
  <c r="G137" i="25"/>
  <c r="G138" i="25" s="1"/>
  <c r="G85" i="25" s="1"/>
  <c r="E16" i="32"/>
  <c r="E17" i="32" s="1"/>
  <c r="AF20" i="4"/>
  <c r="G84" i="25" s="1"/>
  <c r="AK46" i="30"/>
  <c r="AD46" i="30"/>
  <c r="AF46" i="30"/>
  <c r="AE46" i="30"/>
  <c r="AI46" i="30"/>
  <c r="AM46" i="30"/>
  <c r="AX44" i="30"/>
  <c r="AX47" i="30" s="1"/>
  <c r="AX50" i="30" s="1"/>
  <c r="AV44" i="30"/>
  <c r="AV47" i="30" s="1"/>
  <c r="AV50" i="30" s="1"/>
  <c r="AO44" i="30"/>
  <c r="AO47" i="30" s="1"/>
  <c r="AO50" i="30" s="1"/>
  <c r="AW44" i="30"/>
  <c r="AW47" i="30" s="1"/>
  <c r="AW50" i="30" s="1"/>
  <c r="AY44" i="30"/>
  <c r="AY47" i="30" s="1"/>
  <c r="AY50" i="30" s="1"/>
  <c r="AT44" i="30"/>
  <c r="AT47" i="30" s="1"/>
  <c r="AT50" i="30" s="1"/>
  <c r="AR44" i="30"/>
  <c r="AR47" i="30" s="1"/>
  <c r="AR50" i="30" s="1"/>
  <c r="AQ44" i="30"/>
  <c r="AQ47" i="30" s="1"/>
  <c r="AQ50" i="30" s="1"/>
  <c r="AU44" i="30"/>
  <c r="AU47" i="30" s="1"/>
  <c r="AU50" i="30" s="1"/>
  <c r="AP44" i="30"/>
  <c r="AP47" i="30" s="1"/>
  <c r="AP50" i="30" s="1"/>
  <c r="AN44" i="30"/>
  <c r="AN47" i="30" s="1"/>
  <c r="AN50" i="30" s="1"/>
  <c r="AS44" i="30"/>
  <c r="AS47" i="30" s="1"/>
  <c r="AS50" i="30" s="1"/>
  <c r="AH46" i="30"/>
  <c r="AL46" i="30"/>
  <c r="AB46" i="30"/>
  <c r="H34" i="30"/>
  <c r="H35" i="30" s="1"/>
  <c r="I32" i="30"/>
  <c r="I33" i="30" s="1"/>
  <c r="AJ46" i="30"/>
  <c r="AC46" i="30"/>
  <c r="AG46" i="30"/>
  <c r="V41" i="30"/>
  <c r="C47" i="30" l="1"/>
  <c r="U54" i="30" s="1"/>
  <c r="C7" i="30"/>
  <c r="C8" i="30" s="1"/>
  <c r="G29" i="19" s="1"/>
  <c r="D7" i="30"/>
  <c r="D8" i="30" s="1"/>
  <c r="D9" i="30" s="1"/>
  <c r="C22" i="30"/>
  <c r="C44" i="30" s="1"/>
  <c r="U52" i="30" s="1"/>
  <c r="G84" i="26"/>
  <c r="G55" i="30"/>
  <c r="I55" i="30"/>
  <c r="H55" i="30"/>
  <c r="O55" i="30"/>
  <c r="E55" i="30"/>
  <c r="F55" i="30"/>
  <c r="N55" i="30"/>
  <c r="K55" i="30"/>
  <c r="M55" i="30"/>
  <c r="L55" i="30"/>
  <c r="T55" i="30"/>
  <c r="J55" i="30"/>
  <c r="D55" i="30"/>
  <c r="T54" i="30"/>
  <c r="K54" i="30"/>
  <c r="M54" i="30"/>
  <c r="R55" i="30"/>
  <c r="P55" i="30"/>
  <c r="U55" i="30"/>
  <c r="S55" i="30"/>
  <c r="V55" i="30"/>
  <c r="AS46" i="30"/>
  <c r="AQ46" i="30"/>
  <c r="AW46" i="30"/>
  <c r="AN46" i="30"/>
  <c r="AR46" i="30"/>
  <c r="AO46" i="30"/>
  <c r="I34" i="30"/>
  <c r="I35" i="30" s="1"/>
  <c r="J32" i="30"/>
  <c r="J33" i="30" s="1"/>
  <c r="BH44" i="30"/>
  <c r="BH47" i="30" s="1"/>
  <c r="BH50" i="30" s="1"/>
  <c r="BB44" i="30"/>
  <c r="BB47" i="30" s="1"/>
  <c r="BB50" i="30" s="1"/>
  <c r="BI44" i="30"/>
  <c r="BI47" i="30" s="1"/>
  <c r="BI50" i="30" s="1"/>
  <c r="BD44" i="30"/>
  <c r="BD47" i="30" s="1"/>
  <c r="BD50" i="30" s="1"/>
  <c r="BC44" i="30"/>
  <c r="BC47" i="30" s="1"/>
  <c r="BC50" i="30" s="1"/>
  <c r="BE44" i="30"/>
  <c r="BE47" i="30" s="1"/>
  <c r="BE50" i="30" s="1"/>
  <c r="AZ44" i="30"/>
  <c r="AZ47" i="30" s="1"/>
  <c r="AZ50" i="30" s="1"/>
  <c r="BJ44" i="30"/>
  <c r="BJ47" i="30" s="1"/>
  <c r="BJ50" i="30" s="1"/>
  <c r="BA44" i="30"/>
  <c r="BA47" i="30" s="1"/>
  <c r="BA50" i="30" s="1"/>
  <c r="BK44" i="30"/>
  <c r="BF44" i="30"/>
  <c r="BF47" i="30" s="1"/>
  <c r="BF50" i="30" s="1"/>
  <c r="BG44" i="30"/>
  <c r="BG47" i="30" s="1"/>
  <c r="BG50" i="30" s="1"/>
  <c r="AP46" i="30"/>
  <c r="AT46" i="30"/>
  <c r="AV46" i="30"/>
  <c r="AU46" i="30"/>
  <c r="AY46" i="30"/>
  <c r="AX46" i="30"/>
  <c r="W41" i="30"/>
  <c r="G54" i="30" l="1"/>
  <c r="E54" i="30"/>
  <c r="V54" i="30"/>
  <c r="P54" i="30"/>
  <c r="F54" i="30"/>
  <c r="Q54" i="30"/>
  <c r="D54" i="30"/>
  <c r="I54" i="30"/>
  <c r="O54" i="30"/>
  <c r="H54" i="30"/>
  <c r="S54" i="30"/>
  <c r="R54" i="30"/>
  <c r="L54" i="30"/>
  <c r="J54" i="30"/>
  <c r="N54" i="30"/>
  <c r="C9" i="30"/>
  <c r="G30" i="19" s="1"/>
  <c r="K52" i="30"/>
  <c r="R52" i="30"/>
  <c r="I52" i="30"/>
  <c r="P52" i="30"/>
  <c r="G52" i="30"/>
  <c r="H52" i="30"/>
  <c r="T52" i="30"/>
  <c r="L52" i="30"/>
  <c r="J52" i="30"/>
  <c r="S52" i="30"/>
  <c r="O52" i="30"/>
  <c r="D52" i="30"/>
  <c r="F52" i="30"/>
  <c r="W52" i="30"/>
  <c r="Q52" i="30"/>
  <c r="M52" i="30"/>
  <c r="E52" i="30"/>
  <c r="N52" i="30"/>
  <c r="V52" i="30"/>
  <c r="C46" i="30"/>
  <c r="S53" i="30" s="1"/>
  <c r="BK47" i="30"/>
  <c r="BK50" i="30" s="1"/>
  <c r="BK46" i="30"/>
  <c r="W55" i="30"/>
  <c r="W54" i="30"/>
  <c r="BE46" i="30"/>
  <c r="BB46" i="30"/>
  <c r="BA46" i="30"/>
  <c r="BC46" i="30"/>
  <c r="BH46" i="30"/>
  <c r="BG46" i="30"/>
  <c r="BJ46" i="30"/>
  <c r="BD46" i="30"/>
  <c r="K32" i="30"/>
  <c r="K33" i="30" s="1"/>
  <c r="J34" i="30"/>
  <c r="J35" i="30" s="1"/>
  <c r="BF46" i="30"/>
  <c r="AZ46" i="30"/>
  <c r="BI46" i="30"/>
  <c r="BO44" i="30"/>
  <c r="BO47" i="30" s="1"/>
  <c r="BO50" i="30" s="1"/>
  <c r="BU44" i="30"/>
  <c r="BU47" i="30" s="1"/>
  <c r="BU50" i="30" s="1"/>
  <c r="BP44" i="30"/>
  <c r="BP47" i="30" s="1"/>
  <c r="BP50" i="30" s="1"/>
  <c r="BS44" i="30"/>
  <c r="BS47" i="30" s="1"/>
  <c r="BS50" i="30" s="1"/>
  <c r="BT44" i="30"/>
  <c r="BT47" i="30" s="1"/>
  <c r="BT50" i="30" s="1"/>
  <c r="BV44" i="30"/>
  <c r="BV47" i="30" s="1"/>
  <c r="BV50" i="30" s="1"/>
  <c r="BQ44" i="30"/>
  <c r="BQ47" i="30" s="1"/>
  <c r="BQ50" i="30" s="1"/>
  <c r="BL44" i="30"/>
  <c r="BW44" i="30"/>
  <c r="BW47" i="30" s="1"/>
  <c r="BW50" i="30" s="1"/>
  <c r="BR44" i="30"/>
  <c r="BR47" i="30" s="1"/>
  <c r="BR50" i="30" s="1"/>
  <c r="BM44" i="30"/>
  <c r="BM47" i="30" s="1"/>
  <c r="BM50" i="30" s="1"/>
  <c r="BN44" i="30"/>
  <c r="BN47" i="30" s="1"/>
  <c r="BN50" i="30" s="1"/>
  <c r="X41" i="30"/>
  <c r="X52" i="30" s="1"/>
  <c r="D53" i="30" l="1"/>
  <c r="O53" i="30"/>
  <c r="Q53" i="30"/>
  <c r="H53" i="30"/>
  <c r="N53" i="30"/>
  <c r="W53" i="30"/>
  <c r="T53" i="30"/>
  <c r="K53" i="30"/>
  <c r="L53" i="30"/>
  <c r="U53" i="30"/>
  <c r="J53" i="30"/>
  <c r="V53" i="30"/>
  <c r="P53" i="30"/>
  <c r="R53" i="30"/>
  <c r="I53" i="30"/>
  <c r="G53" i="30"/>
  <c r="E53" i="30"/>
  <c r="M53" i="30"/>
  <c r="F53" i="30"/>
  <c r="BL47" i="30"/>
  <c r="BL50" i="30" s="1"/>
  <c r="BL46" i="30"/>
  <c r="X55" i="30"/>
  <c r="X54" i="30"/>
  <c r="BR46" i="30"/>
  <c r="BV46" i="30"/>
  <c r="BU46" i="30"/>
  <c r="CG44" i="30"/>
  <c r="CG47" i="30" s="1"/>
  <c r="CG50" i="30" s="1"/>
  <c r="CB44" i="30"/>
  <c r="CB47" i="30" s="1"/>
  <c r="CB50" i="30" s="1"/>
  <c r="CA44" i="30"/>
  <c r="CA47" i="30" s="1"/>
  <c r="CA50" i="30" s="1"/>
  <c r="CC44" i="30"/>
  <c r="CC47" i="30" s="1"/>
  <c r="CC50" i="30" s="1"/>
  <c r="BX44" i="30"/>
  <c r="BX47" i="30" s="1"/>
  <c r="BX50" i="30" s="1"/>
  <c r="CH44" i="30"/>
  <c r="CH47" i="30" s="1"/>
  <c r="CH50" i="30" s="1"/>
  <c r="CI44" i="30"/>
  <c r="CI47" i="30" s="1"/>
  <c r="CI50" i="30" s="1"/>
  <c r="CE44" i="30"/>
  <c r="CE47" i="30" s="1"/>
  <c r="CE50" i="30" s="1"/>
  <c r="BY44" i="30"/>
  <c r="BY47" i="30" s="1"/>
  <c r="BY50" i="30" s="1"/>
  <c r="CD44" i="30"/>
  <c r="CD47" i="30" s="1"/>
  <c r="CD50" i="30" s="1"/>
  <c r="CF44" i="30"/>
  <c r="CF47" i="30" s="1"/>
  <c r="CF50" i="30" s="1"/>
  <c r="BZ44" i="30"/>
  <c r="BZ47" i="30" s="1"/>
  <c r="BZ50" i="30" s="1"/>
  <c r="BW46" i="30"/>
  <c r="BT46" i="30"/>
  <c r="BO46" i="30"/>
  <c r="L32" i="30"/>
  <c r="L33" i="30" s="1"/>
  <c r="K34" i="30"/>
  <c r="K35" i="30" s="1"/>
  <c r="BN46" i="30"/>
  <c r="BS46" i="30"/>
  <c r="BM46" i="30"/>
  <c r="BQ46" i="30"/>
  <c r="BP46" i="30"/>
  <c r="Y41" i="30"/>
  <c r="Y52" i="30" s="1"/>
  <c r="X53" i="30"/>
  <c r="Y55" i="30" l="1"/>
  <c r="Y54" i="30"/>
  <c r="M32" i="30"/>
  <c r="M33" i="30" s="1"/>
  <c r="L34" i="30"/>
  <c r="L35" i="30" s="1"/>
  <c r="CF46" i="30"/>
  <c r="CI46" i="30"/>
  <c r="CD46" i="30"/>
  <c r="CH46" i="30"/>
  <c r="CB46" i="30"/>
  <c r="BY46" i="30"/>
  <c r="BX46" i="30"/>
  <c r="CG46" i="30"/>
  <c r="CU44" i="30"/>
  <c r="CU47" i="30" s="1"/>
  <c r="CU50" i="30" s="1"/>
  <c r="CP44" i="30"/>
  <c r="CP47" i="30" s="1"/>
  <c r="CP50" i="30" s="1"/>
  <c r="CK44" i="30"/>
  <c r="CK47" i="30" s="1"/>
  <c r="CK50" i="30" s="1"/>
  <c r="CQ44" i="30"/>
  <c r="CQ47" i="30" s="1"/>
  <c r="CQ50" i="30" s="1"/>
  <c r="CL44" i="30"/>
  <c r="CL47" i="30" s="1"/>
  <c r="CL50" i="30" s="1"/>
  <c r="CR44" i="30"/>
  <c r="CR47" i="30" s="1"/>
  <c r="CR50" i="30" s="1"/>
  <c r="CM44" i="30"/>
  <c r="CM47" i="30" s="1"/>
  <c r="CM50" i="30" s="1"/>
  <c r="CS44" i="30"/>
  <c r="CS47" i="30" s="1"/>
  <c r="CS50" i="30" s="1"/>
  <c r="CN44" i="30"/>
  <c r="CN47" i="30" s="1"/>
  <c r="CN50" i="30" s="1"/>
  <c r="CT44" i="30"/>
  <c r="CT47" i="30" s="1"/>
  <c r="CT50" i="30" s="1"/>
  <c r="CO44" i="30"/>
  <c r="CO47" i="30" s="1"/>
  <c r="CO50" i="30" s="1"/>
  <c r="CJ44" i="30"/>
  <c r="CJ47" i="30" s="1"/>
  <c r="CJ50" i="30" s="1"/>
  <c r="BZ46" i="30"/>
  <c r="CE46" i="30"/>
  <c r="CC46" i="30"/>
  <c r="CA46" i="30"/>
  <c r="Z41" i="30"/>
  <c r="Z52" i="30" s="1"/>
  <c r="Y53" i="30"/>
  <c r="Z55" i="30" l="1"/>
  <c r="Z54" i="30"/>
  <c r="CT46" i="30"/>
  <c r="CR46" i="30"/>
  <c r="CP46" i="30"/>
  <c r="CN46" i="30"/>
  <c r="CL46" i="30"/>
  <c r="CU46" i="30"/>
  <c r="CJ46" i="30"/>
  <c r="CS46" i="30"/>
  <c r="CQ46" i="30"/>
  <c r="CW44" i="30"/>
  <c r="CW47" i="30" s="1"/>
  <c r="CW50" i="30" s="1"/>
  <c r="DG44" i="30"/>
  <c r="DG47" i="30" s="1"/>
  <c r="DG50" i="30" s="1"/>
  <c r="DB44" i="30"/>
  <c r="DB47" i="30" s="1"/>
  <c r="DB50" i="30" s="1"/>
  <c r="DD44" i="30"/>
  <c r="DD47" i="30" s="1"/>
  <c r="DD50" i="30" s="1"/>
  <c r="DC44" i="30"/>
  <c r="DC47" i="30" s="1"/>
  <c r="DC50" i="30" s="1"/>
  <c r="CX44" i="30"/>
  <c r="CX47" i="30" s="1"/>
  <c r="CX50" i="30" s="1"/>
  <c r="DE44" i="30"/>
  <c r="DE47" i="30" s="1"/>
  <c r="DE50" i="30" s="1"/>
  <c r="CZ44" i="30"/>
  <c r="CZ47" i="30" s="1"/>
  <c r="CZ50" i="30" s="1"/>
  <c r="CY44" i="30"/>
  <c r="CY47" i="30" s="1"/>
  <c r="CY50" i="30" s="1"/>
  <c r="DA44" i="30"/>
  <c r="DA47" i="30" s="1"/>
  <c r="DA50" i="30" s="1"/>
  <c r="CV44" i="30"/>
  <c r="CV47" i="30" s="1"/>
  <c r="CV50" i="30" s="1"/>
  <c r="DF44" i="30"/>
  <c r="DF47" i="30" s="1"/>
  <c r="DF50" i="30" s="1"/>
  <c r="CO46" i="30"/>
  <c r="CM46" i="30"/>
  <c r="CK46" i="30"/>
  <c r="M34" i="30"/>
  <c r="M35" i="30" s="1"/>
  <c r="N32" i="30"/>
  <c r="N33" i="30" s="1"/>
  <c r="AA41" i="30"/>
  <c r="AA52" i="30" s="1"/>
  <c r="Z53" i="30"/>
  <c r="AA55" i="30" l="1"/>
  <c r="AA54" i="30"/>
  <c r="DK44" i="30"/>
  <c r="DK47" i="30" s="1"/>
  <c r="DK50" i="30" s="1"/>
  <c r="DL44" i="30"/>
  <c r="DL47" i="30" s="1"/>
  <c r="DL50" i="30" s="1"/>
  <c r="DI44" i="30"/>
  <c r="DI47" i="30" s="1"/>
  <c r="DI50" i="30" s="1"/>
  <c r="DR44" i="30"/>
  <c r="DR47" i="30" s="1"/>
  <c r="DR50" i="30" s="1"/>
  <c r="DM44" i="30"/>
  <c r="DM47" i="30" s="1"/>
  <c r="DM50" i="30" s="1"/>
  <c r="DH44" i="30"/>
  <c r="DH47" i="30" s="1"/>
  <c r="DH50" i="30" s="1"/>
  <c r="DS44" i="30"/>
  <c r="DS47" i="30" s="1"/>
  <c r="DS50" i="30" s="1"/>
  <c r="DN44" i="30"/>
  <c r="DN47" i="30" s="1"/>
  <c r="DN50" i="30" s="1"/>
  <c r="DO44" i="30"/>
  <c r="DO47" i="30" s="1"/>
  <c r="DO50" i="30" s="1"/>
  <c r="DJ44" i="30"/>
  <c r="DJ47" i="30" s="1"/>
  <c r="DJ50" i="30" s="1"/>
  <c r="DP44" i="30"/>
  <c r="DP47" i="30" s="1"/>
  <c r="DP50" i="30" s="1"/>
  <c r="DQ44" i="30"/>
  <c r="DQ47" i="30" s="1"/>
  <c r="DQ50" i="30" s="1"/>
  <c r="CV46" i="30"/>
  <c r="DE46" i="30"/>
  <c r="DB46" i="30"/>
  <c r="DA46" i="30"/>
  <c r="CX46" i="30"/>
  <c r="DG46" i="30"/>
  <c r="DC46" i="30"/>
  <c r="CW46" i="30"/>
  <c r="O32" i="30"/>
  <c r="O33" i="30" s="1"/>
  <c r="N34" i="30"/>
  <c r="N35" i="30" s="1"/>
  <c r="DF46" i="30"/>
  <c r="CZ46" i="30"/>
  <c r="DD46" i="30"/>
  <c r="CY46" i="30"/>
  <c r="AB41" i="30"/>
  <c r="AB52" i="30" s="1"/>
  <c r="AA53" i="30"/>
  <c r="AB55" i="30" l="1"/>
  <c r="AB54" i="30"/>
  <c r="DS46" i="30"/>
  <c r="P32" i="30"/>
  <c r="P33" i="30" s="1"/>
  <c r="O34" i="30"/>
  <c r="O35" i="30" s="1"/>
  <c r="DO46" i="30"/>
  <c r="DM46" i="30"/>
  <c r="DK46" i="30"/>
  <c r="DQ46" i="30"/>
  <c r="DN46" i="30"/>
  <c r="DR46" i="30"/>
  <c r="DI46" i="30"/>
  <c r="EC44" i="30"/>
  <c r="EC47" i="30" s="1"/>
  <c r="EC50" i="30" s="1"/>
  <c r="DW44" i="30"/>
  <c r="DW47" i="30" s="1"/>
  <c r="DW50" i="30" s="1"/>
  <c r="DY44" i="30"/>
  <c r="DY47" i="30" s="1"/>
  <c r="DY50" i="30" s="1"/>
  <c r="DT44" i="30"/>
  <c r="DT47" i="30" s="1"/>
  <c r="DT50" i="30" s="1"/>
  <c r="ED44" i="30"/>
  <c r="ED47" i="30" s="1"/>
  <c r="ED50" i="30" s="1"/>
  <c r="DU44" i="30"/>
  <c r="DU47" i="30" s="1"/>
  <c r="DU50" i="30" s="1"/>
  <c r="EE44" i="30"/>
  <c r="EE47" i="30" s="1"/>
  <c r="EE50" i="30" s="1"/>
  <c r="DZ44" i="30"/>
  <c r="DZ47" i="30" s="1"/>
  <c r="DZ50" i="30" s="1"/>
  <c r="EB44" i="30"/>
  <c r="EB47" i="30" s="1"/>
  <c r="EB50" i="30" s="1"/>
  <c r="EA44" i="30"/>
  <c r="EA47" i="30" s="1"/>
  <c r="EA50" i="30" s="1"/>
  <c r="DV44" i="30"/>
  <c r="DV47" i="30" s="1"/>
  <c r="DV50" i="30" s="1"/>
  <c r="DX44" i="30"/>
  <c r="DX47" i="30" s="1"/>
  <c r="DX50" i="30" s="1"/>
  <c r="DJ46" i="30"/>
  <c r="DH46" i="30"/>
  <c r="DL46" i="30"/>
  <c r="DP46" i="30"/>
  <c r="AC41" i="30"/>
  <c r="AC52" i="30" s="1"/>
  <c r="AB53" i="30"/>
  <c r="AC55" i="30" l="1"/>
  <c r="AC54" i="30"/>
  <c r="EA46" i="30"/>
  <c r="DU46" i="30"/>
  <c r="DW46" i="30"/>
  <c r="EL44" i="30"/>
  <c r="EL47" i="30" s="1"/>
  <c r="EL50" i="30" s="1"/>
  <c r="EI44" i="30"/>
  <c r="EI47" i="30" s="1"/>
  <c r="EI50" i="30" s="1"/>
  <c r="EM44" i="30"/>
  <c r="EM47" i="30" s="1"/>
  <c r="EM50" i="30" s="1"/>
  <c r="EH44" i="30"/>
  <c r="EH47" i="30" s="1"/>
  <c r="EH50" i="30" s="1"/>
  <c r="EN44" i="30"/>
  <c r="EN47" i="30" s="1"/>
  <c r="EN50" i="30" s="1"/>
  <c r="EO44" i="30"/>
  <c r="EO47" i="30" s="1"/>
  <c r="EO50" i="30" s="1"/>
  <c r="EP44" i="30"/>
  <c r="EP47" i="30" s="1"/>
  <c r="EP50" i="30" s="1"/>
  <c r="EK44" i="30"/>
  <c r="EK47" i="30" s="1"/>
  <c r="EK50" i="30" s="1"/>
  <c r="EF44" i="30"/>
  <c r="EF47" i="30" s="1"/>
  <c r="EF50" i="30" s="1"/>
  <c r="EQ44" i="30"/>
  <c r="EQ47" i="30" s="1"/>
  <c r="EQ50" i="30" s="1"/>
  <c r="EG44" i="30"/>
  <c r="EG47" i="30" s="1"/>
  <c r="EG50" i="30" s="1"/>
  <c r="EJ44" i="30"/>
  <c r="EJ47" i="30" s="1"/>
  <c r="EJ50" i="30" s="1"/>
  <c r="ED46" i="30"/>
  <c r="EB46" i="30"/>
  <c r="EC46" i="30"/>
  <c r="P34" i="30"/>
  <c r="P35" i="30" s="1"/>
  <c r="Q32" i="30"/>
  <c r="Q33" i="30" s="1"/>
  <c r="DX46" i="30"/>
  <c r="DZ46" i="30"/>
  <c r="DT46" i="30"/>
  <c r="DV46" i="30"/>
  <c r="EE46" i="30"/>
  <c r="DY46" i="30"/>
  <c r="AD41" i="30"/>
  <c r="AD52" i="30" s="1"/>
  <c r="AC53" i="30"/>
  <c r="AD55" i="30" l="1"/>
  <c r="AD54" i="30"/>
  <c r="EQ46" i="30"/>
  <c r="EO46" i="30"/>
  <c r="EI46" i="30"/>
  <c r="EY44" i="30"/>
  <c r="EY47" i="30" s="1"/>
  <c r="EY50" i="30" s="1"/>
  <c r="EW44" i="30"/>
  <c r="EW47" i="30" s="1"/>
  <c r="EW50" i="30" s="1"/>
  <c r="ER44" i="30"/>
  <c r="ER47" i="30" s="1"/>
  <c r="ER50" i="30" s="1"/>
  <c r="ET44" i="30"/>
  <c r="ET47" i="30" s="1"/>
  <c r="ET50" i="30" s="1"/>
  <c r="FB44" i="30"/>
  <c r="FB47" i="30" s="1"/>
  <c r="FB50" i="30" s="1"/>
  <c r="EZ44" i="30"/>
  <c r="EZ47" i="30" s="1"/>
  <c r="EZ50" i="30" s="1"/>
  <c r="EU44" i="30"/>
  <c r="EU47" i="30" s="1"/>
  <c r="EU50" i="30" s="1"/>
  <c r="FA44" i="30"/>
  <c r="FA47" i="30" s="1"/>
  <c r="FA50" i="30" s="1"/>
  <c r="EV44" i="30"/>
  <c r="EV47" i="30" s="1"/>
  <c r="EV50" i="30" s="1"/>
  <c r="EX44" i="30"/>
  <c r="EX47" i="30" s="1"/>
  <c r="EX50" i="30" s="1"/>
  <c r="FC44" i="30"/>
  <c r="FC47" i="30" s="1"/>
  <c r="FC50" i="30" s="1"/>
  <c r="ES44" i="30"/>
  <c r="ES47" i="30" s="1"/>
  <c r="ES50" i="30" s="1"/>
  <c r="EG46" i="30"/>
  <c r="EM46" i="30"/>
  <c r="EF46" i="30"/>
  <c r="EN46" i="30"/>
  <c r="EL46" i="30"/>
  <c r="Q34" i="30"/>
  <c r="Q35" i="30" s="1"/>
  <c r="R32" i="30"/>
  <c r="R33" i="30" s="1"/>
  <c r="R34" i="30" s="1"/>
  <c r="R35" i="30" s="1"/>
  <c r="GA44" i="30" s="1"/>
  <c r="EJ46" i="30"/>
  <c r="EK46" i="30"/>
  <c r="EH46" i="30"/>
  <c r="EP46" i="30"/>
  <c r="AE41" i="30"/>
  <c r="AE52" i="30" s="1"/>
  <c r="AD53" i="30"/>
  <c r="AE55" i="30" l="1"/>
  <c r="AE54" i="30"/>
  <c r="EX46" i="30"/>
  <c r="EZ46" i="30"/>
  <c r="EW46" i="30"/>
  <c r="FD44" i="30"/>
  <c r="FD47" i="30" s="1"/>
  <c r="FD50" i="30" s="1"/>
  <c r="FM44" i="30"/>
  <c r="FM47" i="30" s="1"/>
  <c r="FM50" i="30" s="1"/>
  <c r="FN44" i="30"/>
  <c r="FN47" i="30" s="1"/>
  <c r="FN50" i="30" s="1"/>
  <c r="FG44" i="30"/>
  <c r="FG47" i="30" s="1"/>
  <c r="FG50" i="30" s="1"/>
  <c r="FE44" i="30"/>
  <c r="FE47" i="30" s="1"/>
  <c r="FE50" i="30" s="1"/>
  <c r="FL44" i="30"/>
  <c r="FL47" i="30" s="1"/>
  <c r="FL50" i="30" s="1"/>
  <c r="FJ44" i="30"/>
  <c r="FJ47" i="30" s="1"/>
  <c r="FJ50" i="30" s="1"/>
  <c r="FI44" i="30"/>
  <c r="FI47" i="30" s="1"/>
  <c r="FI50" i="30" s="1"/>
  <c r="FO44" i="30"/>
  <c r="FO47" i="30" s="1"/>
  <c r="FO50" i="30" s="1"/>
  <c r="FH44" i="30"/>
  <c r="FH47" i="30" s="1"/>
  <c r="FH50" i="30" s="1"/>
  <c r="FF44" i="30"/>
  <c r="FF47" i="30" s="1"/>
  <c r="FF50" i="30" s="1"/>
  <c r="FK44" i="30"/>
  <c r="FK47" i="30" s="1"/>
  <c r="FK50" i="30" s="1"/>
  <c r="EV46" i="30"/>
  <c r="FB46" i="30"/>
  <c r="EY46" i="30"/>
  <c r="FC46" i="30"/>
  <c r="EU46" i="30"/>
  <c r="ER46" i="30"/>
  <c r="FX44" i="30"/>
  <c r="FX47" i="30" s="1"/>
  <c r="FX50" i="30" s="1"/>
  <c r="FZ44" i="30"/>
  <c r="FZ47" i="30" s="1"/>
  <c r="FZ50" i="30" s="1"/>
  <c r="FT44" i="30"/>
  <c r="FT47" i="30" s="1"/>
  <c r="FT50" i="30" s="1"/>
  <c r="FS44" i="30"/>
  <c r="FS47" i="30" s="1"/>
  <c r="FS50" i="30" s="1"/>
  <c r="FV44" i="30"/>
  <c r="FV47" i="30" s="1"/>
  <c r="FV50" i="30" s="1"/>
  <c r="FU44" i="30"/>
  <c r="FU47" i="30" s="1"/>
  <c r="FU50" i="30" s="1"/>
  <c r="FQ44" i="30"/>
  <c r="FQ47" i="30" s="1"/>
  <c r="FQ50" i="30" s="1"/>
  <c r="FP44" i="30"/>
  <c r="FP47" i="30" s="1"/>
  <c r="FP50" i="30" s="1"/>
  <c r="GA47" i="30"/>
  <c r="GA50" i="30" s="1"/>
  <c r="FR44" i="30"/>
  <c r="FR47" i="30" s="1"/>
  <c r="FR50" i="30" s="1"/>
  <c r="FY44" i="30"/>
  <c r="FY47" i="30" s="1"/>
  <c r="FY50" i="30" s="1"/>
  <c r="FW44" i="30"/>
  <c r="FW47" i="30" s="1"/>
  <c r="FW50" i="30" s="1"/>
  <c r="ES46" i="30"/>
  <c r="FA46" i="30"/>
  <c r="ET46" i="30"/>
  <c r="AF41" i="30"/>
  <c r="AF52" i="30" s="1"/>
  <c r="AE53" i="30"/>
  <c r="AF55" i="30" l="1"/>
  <c r="AF54" i="30"/>
  <c r="FR46" i="30"/>
  <c r="FU46" i="30"/>
  <c r="FZ46" i="30"/>
  <c r="FH46" i="30"/>
  <c r="FL46" i="30"/>
  <c r="FM46" i="30"/>
  <c r="GA46" i="30"/>
  <c r="FV46" i="30"/>
  <c r="FX46" i="30"/>
  <c r="FO46" i="30"/>
  <c r="FE46" i="30"/>
  <c r="FD46" i="30"/>
  <c r="FI46" i="30"/>
  <c r="FW46" i="30"/>
  <c r="FP46" i="30"/>
  <c r="FS46" i="30"/>
  <c r="FK46" i="30"/>
  <c r="FG46" i="30"/>
  <c r="FY46" i="30"/>
  <c r="FQ46" i="30"/>
  <c r="FT46" i="30"/>
  <c r="FF46" i="30"/>
  <c r="FJ46" i="30"/>
  <c r="FN46" i="30"/>
  <c r="AG41" i="30"/>
  <c r="AG52" i="30" s="1"/>
  <c r="AF53" i="30"/>
  <c r="AG55" i="30" l="1"/>
  <c r="AG54" i="30"/>
  <c r="AH41" i="30"/>
  <c r="AH52" i="30" s="1"/>
  <c r="AG53" i="30"/>
  <c r="AH55" i="30" l="1"/>
  <c r="AH54" i="30"/>
  <c r="AI41" i="30"/>
  <c r="AI52" i="30" s="1"/>
  <c r="AH53" i="30"/>
  <c r="AI55" i="30" l="1"/>
  <c r="AI54" i="30"/>
  <c r="AJ41" i="30"/>
  <c r="AJ52" i="30" s="1"/>
  <c r="AI53" i="30"/>
  <c r="AJ55" i="30" l="1"/>
  <c r="AJ54" i="30"/>
  <c r="AK41" i="30"/>
  <c r="AK52" i="30" s="1"/>
  <c r="AJ53" i="30"/>
  <c r="AK55" i="30" l="1"/>
  <c r="AK54" i="30"/>
  <c r="AL41" i="30"/>
  <c r="AL52" i="30" s="1"/>
  <c r="AK53" i="30"/>
  <c r="AL55" i="30" l="1"/>
  <c r="AL54" i="30"/>
  <c r="AM41" i="30"/>
  <c r="AM52" i="30" s="1"/>
  <c r="AL53" i="30"/>
  <c r="AM55" i="30" l="1"/>
  <c r="AM54" i="30"/>
  <c r="AN41" i="30"/>
  <c r="AN52" i="30" s="1"/>
  <c r="AM53" i="30"/>
  <c r="AN55" i="30" l="1"/>
  <c r="AN54" i="30"/>
  <c r="AO41" i="30"/>
  <c r="AO52" i="30" s="1"/>
  <c r="AN53" i="30"/>
  <c r="AO55" i="30" l="1"/>
  <c r="AO54" i="30"/>
  <c r="AP41" i="30"/>
  <c r="AP52" i="30" s="1"/>
  <c r="AO53" i="30"/>
  <c r="AP55" i="30" l="1"/>
  <c r="AP54" i="30"/>
  <c r="AQ41" i="30"/>
  <c r="AQ52" i="30" s="1"/>
  <c r="AP53" i="30"/>
  <c r="AQ55" i="30" l="1"/>
  <c r="AQ54" i="30"/>
  <c r="AR41" i="30"/>
  <c r="AR52" i="30" s="1"/>
  <c r="AQ53" i="30"/>
  <c r="AR55" i="30" l="1"/>
  <c r="AR54" i="30"/>
  <c r="AS41" i="30"/>
  <c r="AS52" i="30" s="1"/>
  <c r="AR53" i="30"/>
  <c r="AS55" i="30" l="1"/>
  <c r="AS54" i="30"/>
  <c r="AT41" i="30"/>
  <c r="AT52" i="30" s="1"/>
  <c r="AS53" i="30"/>
  <c r="AT55" i="30" l="1"/>
  <c r="AT54" i="30"/>
  <c r="AU41" i="30"/>
  <c r="AU52" i="30" s="1"/>
  <c r="AT53" i="30"/>
  <c r="AU55" i="30" l="1"/>
  <c r="AU54" i="30"/>
  <c r="AV41" i="30"/>
  <c r="AV52" i="30" s="1"/>
  <c r="AU53" i="30"/>
  <c r="AV55" i="30" l="1"/>
  <c r="AV54" i="30"/>
  <c r="AW41" i="30"/>
  <c r="AW52" i="30" s="1"/>
  <c r="AV53" i="30"/>
  <c r="AW55" i="30" l="1"/>
  <c r="AW54" i="30"/>
  <c r="AX41" i="30"/>
  <c r="AX52" i="30" s="1"/>
  <c r="AW53" i="30"/>
  <c r="AX55" i="30" l="1"/>
  <c r="AX54" i="30"/>
  <c r="AY41" i="30"/>
  <c r="AY52" i="30" s="1"/>
  <c r="AX53" i="30"/>
  <c r="AY55" i="30" l="1"/>
  <c r="AY54" i="30"/>
  <c r="AZ41" i="30"/>
  <c r="AZ52" i="30" s="1"/>
  <c r="AY53" i="30"/>
  <c r="AZ55" i="30" l="1"/>
  <c r="AZ54" i="30"/>
  <c r="BA41" i="30"/>
  <c r="BA52" i="30" s="1"/>
  <c r="AZ53" i="30"/>
  <c r="BA55" i="30" l="1"/>
  <c r="BA54" i="30"/>
  <c r="BB41" i="30"/>
  <c r="BB52" i="30" s="1"/>
  <c r="BA53" i="30"/>
  <c r="BB55" i="30" l="1"/>
  <c r="BB54" i="30"/>
  <c r="BC41" i="30"/>
  <c r="BC52" i="30" s="1"/>
  <c r="BB53" i="30"/>
  <c r="BC55" i="30" l="1"/>
  <c r="BC54" i="30"/>
  <c r="BD41" i="30"/>
  <c r="BD52" i="30" s="1"/>
  <c r="BC53" i="30"/>
  <c r="BD55" i="30" l="1"/>
  <c r="BD54" i="30"/>
  <c r="BE41" i="30"/>
  <c r="BE52" i="30" s="1"/>
  <c r="BD53" i="30"/>
  <c r="BE55" i="30" l="1"/>
  <c r="BE54" i="30"/>
  <c r="BF41" i="30"/>
  <c r="BF52" i="30" s="1"/>
  <c r="BE53" i="30"/>
  <c r="BF55" i="30" l="1"/>
  <c r="BF54" i="30"/>
  <c r="BG41" i="30"/>
  <c r="BG52" i="30" s="1"/>
  <c r="BF53" i="30"/>
  <c r="BG55" i="30" l="1"/>
  <c r="BG54" i="30"/>
  <c r="BH41" i="30"/>
  <c r="BH52" i="30" s="1"/>
  <c r="BG53" i="30"/>
  <c r="BH55" i="30" l="1"/>
  <c r="BH54" i="30"/>
  <c r="BI41" i="30"/>
  <c r="BI52" i="30" s="1"/>
  <c r="BH53" i="30"/>
  <c r="BI55" i="30" l="1"/>
  <c r="BI54" i="30"/>
  <c r="BJ41" i="30"/>
  <c r="BJ52" i="30" s="1"/>
  <c r="BI53" i="30"/>
  <c r="BJ55" i="30" l="1"/>
  <c r="BJ54" i="30"/>
  <c r="BK41" i="30"/>
  <c r="BK58" i="30" s="1"/>
  <c r="BJ53" i="30"/>
  <c r="C6" i="32" l="1"/>
  <c r="D6" i="32" s="1"/>
  <c r="BK52" i="30"/>
  <c r="BK55" i="30"/>
  <c r="BK54" i="30"/>
  <c r="BL41" i="30"/>
  <c r="BL58" i="30" s="1"/>
  <c r="BL52" i="30" l="1"/>
  <c r="BK59" i="30"/>
  <c r="BL55" i="30"/>
  <c r="BL54" i="30"/>
  <c r="BM41" i="30"/>
  <c r="BM58" i="30" s="1"/>
  <c r="BM52" i="30" l="1"/>
  <c r="BM55" i="30"/>
  <c r="BM54" i="30"/>
  <c r="BN41" i="30"/>
  <c r="BN58" i="30" s="1"/>
  <c r="BN52" i="30" l="1"/>
  <c r="BN55" i="30"/>
  <c r="BN54" i="30"/>
  <c r="BO41" i="30"/>
  <c r="BO58" i="30" s="1"/>
  <c r="BO52" i="30" l="1"/>
  <c r="BO55" i="30"/>
  <c r="BO54" i="30"/>
  <c r="BP41" i="30"/>
  <c r="BP58" i="30" s="1"/>
  <c r="BP52" i="30" l="1"/>
  <c r="BP55" i="30"/>
  <c r="BP54" i="30"/>
  <c r="BQ41" i="30"/>
  <c r="BQ58" i="30" s="1"/>
  <c r="BQ52" i="30" l="1"/>
  <c r="BQ55" i="30"/>
  <c r="BQ54" i="30"/>
  <c r="BR41" i="30"/>
  <c r="BR58" i="30" s="1"/>
  <c r="BR52" i="30" l="1"/>
  <c r="BR55" i="30"/>
  <c r="BR54" i="30"/>
  <c r="BS41" i="30"/>
  <c r="BS58" i="30" s="1"/>
  <c r="BS52" i="30" l="1"/>
  <c r="BS55" i="30"/>
  <c r="BS54" i="30"/>
  <c r="BT41" i="30"/>
  <c r="BT58" i="30" s="1"/>
  <c r="BT52" i="30" l="1"/>
  <c r="BT55" i="30"/>
  <c r="BT54" i="30"/>
  <c r="BU41" i="30"/>
  <c r="BU58" i="30" s="1"/>
  <c r="BU52" i="30" l="1"/>
  <c r="BU55" i="30"/>
  <c r="BU54" i="30"/>
  <c r="BV41" i="30"/>
  <c r="BV58" i="30" s="1"/>
  <c r="BV52" i="30" l="1"/>
  <c r="BV55" i="30"/>
  <c r="BV54" i="30"/>
  <c r="BW41" i="30"/>
  <c r="BW58" i="30" s="1"/>
  <c r="C7" i="32" l="1"/>
  <c r="D7" i="32" s="1"/>
  <c r="BW52" i="30"/>
  <c r="BW55" i="30"/>
  <c r="BW54" i="30"/>
  <c r="BX41" i="30"/>
  <c r="BX58" i="30" s="1"/>
  <c r="BX52" i="30" l="1"/>
  <c r="BX55" i="30"/>
  <c r="BX54" i="30"/>
  <c r="BY41" i="30"/>
  <c r="BY58" i="30" s="1"/>
  <c r="BY52" i="30" l="1"/>
  <c r="BY55" i="30"/>
  <c r="BY54" i="30"/>
  <c r="BZ41" i="30"/>
  <c r="BZ58" i="30" s="1"/>
  <c r="BZ52" i="30" l="1"/>
  <c r="BZ55" i="30"/>
  <c r="BZ54" i="30"/>
  <c r="CA41" i="30"/>
  <c r="CA58" i="30" s="1"/>
  <c r="CA52" i="30" l="1"/>
  <c r="CA55" i="30"/>
  <c r="CA54" i="30"/>
  <c r="CB41" i="30"/>
  <c r="CB58" i="30" s="1"/>
  <c r="CB52" i="30" l="1"/>
  <c r="CB55" i="30"/>
  <c r="CB54" i="30"/>
  <c r="CC41" i="30"/>
  <c r="CC58" i="30" s="1"/>
  <c r="CC52" i="30" l="1"/>
  <c r="CC55" i="30"/>
  <c r="CC54" i="30"/>
  <c r="CD41" i="30"/>
  <c r="CD58" i="30" s="1"/>
  <c r="CD52" i="30" l="1"/>
  <c r="CD55" i="30"/>
  <c r="CD54" i="30"/>
  <c r="CE41" i="30"/>
  <c r="CE58" i="30" s="1"/>
  <c r="CE52" i="30" l="1"/>
  <c r="CE55" i="30"/>
  <c r="CE54" i="30"/>
  <c r="CF41" i="30"/>
  <c r="CF58" i="30" s="1"/>
  <c r="CF52" i="30" l="1"/>
  <c r="CF55" i="30"/>
  <c r="CF54" i="30"/>
  <c r="CG41" i="30"/>
  <c r="CG58" i="30" s="1"/>
  <c r="CG52" i="30" l="1"/>
  <c r="CG55" i="30"/>
  <c r="CG54" i="30"/>
  <c r="CH41" i="30"/>
  <c r="CH58" i="30" s="1"/>
  <c r="CH52" i="30" l="1"/>
  <c r="CH55" i="30"/>
  <c r="CH54" i="30"/>
  <c r="CI41" i="30"/>
  <c r="CI58" i="30" s="1"/>
  <c r="C8" i="32" l="1"/>
  <c r="D8" i="32" s="1"/>
  <c r="CI52" i="30"/>
  <c r="CI55" i="30"/>
  <c r="CI54" i="30"/>
  <c r="CJ41" i="30"/>
  <c r="CJ58" i="30" s="1"/>
  <c r="CJ52" i="30" l="1"/>
  <c r="CJ55" i="30"/>
  <c r="CJ54" i="30"/>
  <c r="CK41" i="30"/>
  <c r="CK58" i="30" s="1"/>
  <c r="CK52" i="30" l="1"/>
  <c r="CK55" i="30"/>
  <c r="CK54" i="30"/>
  <c r="CL41" i="30"/>
  <c r="CL58" i="30" s="1"/>
  <c r="CL52" i="30" l="1"/>
  <c r="CL55" i="30"/>
  <c r="CL54" i="30"/>
  <c r="CM41" i="30"/>
  <c r="CM58" i="30" s="1"/>
  <c r="CM52" i="30" l="1"/>
  <c r="CM55" i="30"/>
  <c r="CM54" i="30"/>
  <c r="CN41" i="30"/>
  <c r="CN58" i="30" s="1"/>
  <c r="CN52" i="30" l="1"/>
  <c r="CN55" i="30"/>
  <c r="CN54" i="30"/>
  <c r="CO41" i="30"/>
  <c r="CO58" i="30" s="1"/>
  <c r="CO52" i="30" l="1"/>
  <c r="CO55" i="30"/>
  <c r="CO54" i="30"/>
  <c r="CP41" i="30"/>
  <c r="CP58" i="30" s="1"/>
  <c r="CP52" i="30" l="1"/>
  <c r="CP55" i="30"/>
  <c r="CP54" i="30"/>
  <c r="CQ41" i="30"/>
  <c r="CQ58" i="30" s="1"/>
  <c r="CQ52" i="30" l="1"/>
  <c r="CQ55" i="30"/>
  <c r="CQ54" i="30"/>
  <c r="CR41" i="30"/>
  <c r="CR58" i="30" s="1"/>
  <c r="CR52" i="30" l="1"/>
  <c r="CR55" i="30"/>
  <c r="CR54" i="30"/>
  <c r="CS41" i="30"/>
  <c r="CS58" i="30" s="1"/>
  <c r="CS52" i="30" l="1"/>
  <c r="CS55" i="30"/>
  <c r="CS54" i="30"/>
  <c r="CT41" i="30"/>
  <c r="CT58" i="30" s="1"/>
  <c r="CT52" i="30" l="1"/>
  <c r="CT55" i="30"/>
  <c r="CT54" i="30"/>
  <c r="CU41" i="30"/>
  <c r="CU58" i="30" s="1"/>
  <c r="C9" i="32" l="1"/>
  <c r="D9" i="32" s="1"/>
  <c r="CU52" i="30"/>
  <c r="CU55" i="30"/>
  <c r="CU54" i="30"/>
  <c r="CV41" i="30"/>
  <c r="CV58" i="30" s="1"/>
  <c r="CV52" i="30" l="1"/>
  <c r="CV55" i="30"/>
  <c r="CV54" i="30"/>
  <c r="CW41" i="30"/>
  <c r="CW58" i="30" s="1"/>
  <c r="CW52" i="30" l="1"/>
  <c r="CW55" i="30"/>
  <c r="CW54" i="30"/>
  <c r="CX41" i="30"/>
  <c r="CX58" i="30" s="1"/>
  <c r="CX52" i="30" l="1"/>
  <c r="CX55" i="30"/>
  <c r="CX54" i="30"/>
  <c r="CY41" i="30"/>
  <c r="CY58" i="30" s="1"/>
  <c r="CY52" i="30" l="1"/>
  <c r="CY55" i="30"/>
  <c r="CY54" i="30"/>
  <c r="CZ41" i="30"/>
  <c r="CZ58" i="30" s="1"/>
  <c r="CZ52" i="30" l="1"/>
  <c r="CZ55" i="30"/>
  <c r="CZ54" i="30"/>
  <c r="DA41" i="30"/>
  <c r="DA58" i="30" s="1"/>
  <c r="DA52" i="30" l="1"/>
  <c r="DA55" i="30"/>
  <c r="DA54" i="30"/>
  <c r="DB41" i="30"/>
  <c r="DB58" i="30" s="1"/>
  <c r="DB52" i="30" l="1"/>
  <c r="DB55" i="30"/>
  <c r="DB54" i="30"/>
  <c r="DC41" i="30"/>
  <c r="DC58" i="30" s="1"/>
  <c r="DC52" i="30" l="1"/>
  <c r="DC55" i="30"/>
  <c r="DC54" i="30"/>
  <c r="DD41" i="30"/>
  <c r="DD58" i="30" s="1"/>
  <c r="DD52" i="30" l="1"/>
  <c r="DD55" i="30"/>
  <c r="DD54" i="30"/>
  <c r="DE41" i="30"/>
  <c r="DE58" i="30" s="1"/>
  <c r="DE52" i="30" l="1"/>
  <c r="DE55" i="30"/>
  <c r="DE54" i="30"/>
  <c r="DF41" i="30"/>
  <c r="DF58" i="30" s="1"/>
  <c r="DF52" i="30" l="1"/>
  <c r="DF55" i="30"/>
  <c r="DF54" i="30"/>
  <c r="DG41" i="30"/>
  <c r="DG58" i="30" s="1"/>
  <c r="C10" i="32" l="1"/>
  <c r="D10" i="32" s="1"/>
  <c r="DG52" i="30"/>
  <c r="DG55" i="30"/>
  <c r="DG54" i="30"/>
  <c r="DH41" i="30"/>
  <c r="DH58" i="30" s="1"/>
  <c r="DH52" i="30" l="1"/>
  <c r="DH55" i="30"/>
  <c r="DH54" i="30"/>
  <c r="DI41" i="30"/>
  <c r="DI58" i="30" s="1"/>
  <c r="DI52" i="30" l="1"/>
  <c r="DI55" i="30"/>
  <c r="DI54" i="30"/>
  <c r="DJ41" i="30"/>
  <c r="DJ58" i="30" s="1"/>
  <c r="DJ52" i="30" l="1"/>
  <c r="DJ55" i="30"/>
  <c r="DJ54" i="30"/>
  <c r="DK41" i="30"/>
  <c r="DK58" i="30" s="1"/>
  <c r="DK52" i="30" l="1"/>
  <c r="DK55" i="30"/>
  <c r="DK54" i="30"/>
  <c r="DL41" i="30"/>
  <c r="DL58" i="30" s="1"/>
  <c r="DL52" i="30" l="1"/>
  <c r="DL55" i="30"/>
  <c r="DL54" i="30"/>
  <c r="DM41" i="30"/>
  <c r="DM58" i="30" s="1"/>
  <c r="DM52" i="30" l="1"/>
  <c r="DM55" i="30"/>
  <c r="DM54" i="30"/>
  <c r="DN41" i="30"/>
  <c r="DN58" i="30" s="1"/>
  <c r="DN52" i="30" l="1"/>
  <c r="DN55" i="30"/>
  <c r="DN54" i="30"/>
  <c r="DO41" i="30"/>
  <c r="DO58" i="30" s="1"/>
  <c r="DO52" i="30" l="1"/>
  <c r="DO55" i="30"/>
  <c r="DO54" i="30"/>
  <c r="DP41" i="30"/>
  <c r="DP58" i="30" s="1"/>
  <c r="DP52" i="30" l="1"/>
  <c r="DP55" i="30"/>
  <c r="DP54" i="30"/>
  <c r="DQ41" i="30"/>
  <c r="DQ58" i="30" s="1"/>
  <c r="DQ52" i="30" l="1"/>
  <c r="DQ55" i="30"/>
  <c r="DQ54" i="30"/>
  <c r="DR41" i="30"/>
  <c r="DR58" i="30" s="1"/>
  <c r="DR52" i="30" l="1"/>
  <c r="DR55" i="30"/>
  <c r="DR54" i="30"/>
  <c r="DS41" i="30"/>
  <c r="DS58" i="30" s="1"/>
  <c r="E132" i="26" l="1"/>
  <c r="G85" i="26" s="1"/>
  <c r="E132" i="25"/>
  <c r="C11" i="32"/>
  <c r="D11" i="32" s="1"/>
  <c r="DS52" i="30"/>
  <c r="DS55" i="30"/>
  <c r="DS54" i="30"/>
  <c r="DT41" i="30"/>
  <c r="DT58" i="30" s="1"/>
  <c r="DT52" i="30" l="1"/>
  <c r="DT55" i="30"/>
  <c r="DT54" i="30"/>
  <c r="DU41" i="30"/>
  <c r="DU58" i="30" s="1"/>
  <c r="DU52" i="30" l="1"/>
  <c r="DU55" i="30"/>
  <c r="DU54" i="30"/>
  <c r="DV41" i="30"/>
  <c r="DV58" i="30" s="1"/>
  <c r="DV52" i="30" l="1"/>
  <c r="DV55" i="30"/>
  <c r="DV54" i="30"/>
  <c r="DW41" i="30"/>
  <c r="DW58" i="30" s="1"/>
  <c r="DW52" i="30" l="1"/>
  <c r="DW55" i="30"/>
  <c r="DW54" i="30"/>
  <c r="DX41" i="30"/>
  <c r="DX58" i="30" s="1"/>
  <c r="DX52" i="30" l="1"/>
  <c r="DX55" i="30"/>
  <c r="DX54" i="30"/>
  <c r="DY41" i="30"/>
  <c r="DY58" i="30" s="1"/>
  <c r="DY52" i="30" l="1"/>
  <c r="DY55" i="30"/>
  <c r="DY54" i="30"/>
  <c r="DZ41" i="30"/>
  <c r="DZ58" i="30" s="1"/>
  <c r="DZ52" i="30" l="1"/>
  <c r="DZ55" i="30"/>
  <c r="DZ54" i="30"/>
  <c r="EA41" i="30"/>
  <c r="EA58" i="30" s="1"/>
  <c r="EA52" i="30" l="1"/>
  <c r="EA55" i="30"/>
  <c r="EA54" i="30"/>
  <c r="EB41" i="30"/>
  <c r="EB58" i="30" s="1"/>
  <c r="EB52" i="30" l="1"/>
  <c r="EB55" i="30"/>
  <c r="EB54" i="30"/>
  <c r="EC41" i="30"/>
  <c r="EC58" i="30" s="1"/>
  <c r="EC52" i="30" l="1"/>
  <c r="EC55" i="30"/>
  <c r="EC54" i="30"/>
  <c r="ED41" i="30"/>
  <c r="ED58" i="30" s="1"/>
  <c r="ED52" i="30" l="1"/>
  <c r="ED55" i="30"/>
  <c r="ED54" i="30"/>
  <c r="EE41" i="30"/>
  <c r="EE58" i="30" s="1"/>
  <c r="C12" i="32" l="1"/>
  <c r="D12" i="32" s="1"/>
  <c r="EE52" i="30"/>
  <c r="EE55" i="30"/>
  <c r="EE54" i="30"/>
  <c r="EF41" i="30"/>
  <c r="EF58" i="30" s="1"/>
  <c r="EF52" i="30" l="1"/>
  <c r="EF55" i="30"/>
  <c r="EF54" i="30"/>
  <c r="EG41" i="30"/>
  <c r="EG58" i="30" s="1"/>
  <c r="EG52" i="30" l="1"/>
  <c r="EG55" i="30"/>
  <c r="EG54" i="30"/>
  <c r="EH41" i="30"/>
  <c r="EH58" i="30" s="1"/>
  <c r="EH52" i="30" l="1"/>
  <c r="EH55" i="30"/>
  <c r="EH54" i="30"/>
  <c r="EI41" i="30"/>
  <c r="EI58" i="30" s="1"/>
  <c r="EI52" i="30" l="1"/>
  <c r="EI55" i="30"/>
  <c r="EI54" i="30"/>
  <c r="EJ41" i="30"/>
  <c r="EJ58" i="30" s="1"/>
  <c r="EJ52" i="30" l="1"/>
  <c r="EJ55" i="30"/>
  <c r="EJ54" i="30"/>
  <c r="EK41" i="30"/>
  <c r="EK58" i="30" s="1"/>
  <c r="EK52" i="30" l="1"/>
  <c r="EK55" i="30"/>
  <c r="EK54" i="30"/>
  <c r="EL41" i="30"/>
  <c r="EL58" i="30" s="1"/>
  <c r="EL52" i="30" l="1"/>
  <c r="EL55" i="30"/>
  <c r="EL54" i="30"/>
  <c r="EM41" i="30"/>
  <c r="EM58" i="30" s="1"/>
  <c r="EM52" i="30" l="1"/>
  <c r="EM55" i="30"/>
  <c r="EM54" i="30"/>
  <c r="EN41" i="30"/>
  <c r="EN58" i="30" s="1"/>
  <c r="EN52" i="30" l="1"/>
  <c r="EN55" i="30"/>
  <c r="EN54" i="30"/>
  <c r="EO41" i="30"/>
  <c r="EO58" i="30" s="1"/>
  <c r="EO52" i="30" l="1"/>
  <c r="EO55" i="30"/>
  <c r="EO54" i="30"/>
  <c r="EP41" i="30"/>
  <c r="EP58" i="30" s="1"/>
  <c r="EP52" i="30" l="1"/>
  <c r="EP55" i="30"/>
  <c r="EP54" i="30"/>
  <c r="EQ41" i="30"/>
  <c r="EQ58" i="30" s="1"/>
  <c r="C13" i="32" l="1"/>
  <c r="D13" i="32" s="1"/>
  <c r="EQ52" i="30"/>
  <c r="EQ55" i="30"/>
  <c r="EQ54" i="30"/>
  <c r="ER41" i="30"/>
  <c r="ER58" i="30" s="1"/>
  <c r="ER52" i="30" l="1"/>
  <c r="ER55" i="30"/>
  <c r="ER54" i="30"/>
  <c r="ES41" i="30"/>
  <c r="ES58" i="30" s="1"/>
  <c r="ES52" i="30" l="1"/>
  <c r="ES55" i="30"/>
  <c r="ES54" i="30"/>
  <c r="ET41" i="30"/>
  <c r="ET58" i="30" s="1"/>
  <c r="ET52" i="30" l="1"/>
  <c r="ET55" i="30"/>
  <c r="ET54" i="30"/>
  <c r="EU41" i="30"/>
  <c r="EU58" i="30" s="1"/>
  <c r="EU52" i="30" l="1"/>
  <c r="EU55" i="30"/>
  <c r="EU54" i="30"/>
  <c r="EV41" i="30"/>
  <c r="EV58" i="30" s="1"/>
  <c r="EV52" i="30" l="1"/>
  <c r="EV55" i="30"/>
  <c r="EV54" i="30"/>
  <c r="EW41" i="30"/>
  <c r="EW58" i="30" s="1"/>
  <c r="EW52" i="30" l="1"/>
  <c r="EW55" i="30"/>
  <c r="EW54" i="30"/>
  <c r="EX41" i="30"/>
  <c r="EX58" i="30" s="1"/>
  <c r="EX52" i="30" l="1"/>
  <c r="EX55" i="30"/>
  <c r="EX54" i="30"/>
  <c r="EY41" i="30"/>
  <c r="EY58" i="30" s="1"/>
  <c r="EY52" i="30" l="1"/>
  <c r="EY55" i="30"/>
  <c r="EY54" i="30"/>
  <c r="EZ41" i="30"/>
  <c r="EZ58" i="30" s="1"/>
  <c r="EZ52" i="30" l="1"/>
  <c r="EZ55" i="30"/>
  <c r="EZ54" i="30"/>
  <c r="FA41" i="30"/>
  <c r="FA58" i="30" s="1"/>
  <c r="FA52" i="30" l="1"/>
  <c r="FA55" i="30"/>
  <c r="FA54" i="30"/>
  <c r="FB41" i="30"/>
  <c r="FB58" i="30" s="1"/>
  <c r="FB52" i="30" l="1"/>
  <c r="FB55" i="30"/>
  <c r="FB54" i="30"/>
  <c r="FC41" i="30"/>
  <c r="FC58" i="30" s="1"/>
  <c r="C14" i="32" l="1"/>
  <c r="D14" i="32" s="1"/>
  <c r="FC52" i="30"/>
  <c r="FC55" i="30"/>
  <c r="FC54" i="30"/>
  <c r="FD41" i="30"/>
  <c r="FD58" i="30" s="1"/>
  <c r="FD52" i="30" l="1"/>
  <c r="FD55" i="30"/>
  <c r="FD54" i="30"/>
  <c r="FE41" i="30"/>
  <c r="FE58" i="30" s="1"/>
  <c r="FE52" i="30" l="1"/>
  <c r="FE55" i="30"/>
  <c r="FE54" i="30"/>
  <c r="FF41" i="30"/>
  <c r="FF58" i="30" s="1"/>
  <c r="FF52" i="30" l="1"/>
  <c r="FF55" i="30"/>
  <c r="FF54" i="30"/>
  <c r="FG41" i="30"/>
  <c r="FG58" i="30" s="1"/>
  <c r="FG52" i="30" l="1"/>
  <c r="FG55" i="30"/>
  <c r="FG54" i="30"/>
  <c r="FH41" i="30"/>
  <c r="FH58" i="30" s="1"/>
  <c r="FH52" i="30" l="1"/>
  <c r="FH55" i="30"/>
  <c r="FH54" i="30"/>
  <c r="FI41" i="30"/>
  <c r="FI58" i="30" s="1"/>
  <c r="FI52" i="30" l="1"/>
  <c r="FI55" i="30"/>
  <c r="FI54" i="30"/>
  <c r="FJ41" i="30"/>
  <c r="FJ58" i="30" s="1"/>
  <c r="FJ52" i="30" l="1"/>
  <c r="FJ55" i="30"/>
  <c r="FJ54" i="30"/>
  <c r="FK41" i="30"/>
  <c r="FK58" i="30" s="1"/>
  <c r="FK52" i="30" l="1"/>
  <c r="FK55" i="30"/>
  <c r="FK54" i="30"/>
  <c r="FL41" i="30"/>
  <c r="FL58" i="30" s="1"/>
  <c r="FL52" i="30" l="1"/>
  <c r="FL55" i="30"/>
  <c r="FL54" i="30"/>
  <c r="FM41" i="30"/>
  <c r="FM58" i="30" s="1"/>
  <c r="FM52" i="30" l="1"/>
  <c r="FM55" i="30"/>
  <c r="FM54" i="30"/>
  <c r="FN41" i="30"/>
  <c r="FN58" i="30" s="1"/>
  <c r="FN52" i="30" l="1"/>
  <c r="FN55" i="30"/>
  <c r="FN54" i="30"/>
  <c r="FO41" i="30"/>
  <c r="FO58" i="30" s="1"/>
  <c r="C15" i="32" l="1"/>
  <c r="D15" i="32" s="1"/>
  <c r="FO52" i="30"/>
  <c r="FO55" i="30"/>
  <c r="FO54" i="30"/>
  <c r="FP41" i="30"/>
  <c r="FP58" i="30" s="1"/>
  <c r="FP52" i="30" l="1"/>
  <c r="FP55" i="30"/>
  <c r="FP54" i="30"/>
  <c r="FQ41" i="30"/>
  <c r="FQ58" i="30" s="1"/>
  <c r="FQ52" i="30" l="1"/>
  <c r="FQ55" i="30"/>
  <c r="FQ54" i="30"/>
  <c r="FR41" i="30"/>
  <c r="FR58" i="30" s="1"/>
  <c r="FR52" i="30" l="1"/>
  <c r="FR55" i="30"/>
  <c r="FR54" i="30"/>
  <c r="FS41" i="30"/>
  <c r="FS58" i="30" s="1"/>
  <c r="FS52" i="30" l="1"/>
  <c r="FS55" i="30"/>
  <c r="FS54" i="30"/>
  <c r="FT41" i="30"/>
  <c r="FT58" i="30" s="1"/>
  <c r="FT52" i="30" l="1"/>
  <c r="FT55" i="30"/>
  <c r="FT54" i="30"/>
  <c r="FU41" i="30"/>
  <c r="FU58" i="30" s="1"/>
  <c r="FU52" i="30" l="1"/>
  <c r="FU55" i="30"/>
  <c r="FU54" i="30"/>
  <c r="FV41" i="30"/>
  <c r="FV58" i="30" s="1"/>
  <c r="FV52" i="30" l="1"/>
  <c r="FV55" i="30"/>
  <c r="FV54" i="30"/>
  <c r="FW41" i="30"/>
  <c r="FW58" i="30" s="1"/>
  <c r="FW52" i="30" l="1"/>
  <c r="FW55" i="30"/>
  <c r="FW54" i="30"/>
  <c r="FX41" i="30"/>
  <c r="FX58" i="30" s="1"/>
  <c r="FX52" i="30" l="1"/>
  <c r="FX55" i="30"/>
  <c r="FX54" i="30"/>
  <c r="FY41" i="30"/>
  <c r="FY58" i="30" s="1"/>
  <c r="FY52" i="30" l="1"/>
  <c r="FY55" i="30"/>
  <c r="FY54" i="30"/>
  <c r="FZ41" i="30"/>
  <c r="FZ58" i="30" s="1"/>
  <c r="FZ52" i="30" l="1"/>
  <c r="FZ55" i="30"/>
  <c r="FZ54" i="30"/>
  <c r="GA41" i="30"/>
  <c r="GA58" i="30" s="1"/>
  <c r="E137" i="26" l="1"/>
  <c r="E138" i="26" s="1"/>
  <c r="E137" i="25"/>
  <c r="E138" i="25" s="1"/>
  <c r="C16" i="32"/>
  <c r="D16" i="32" s="1"/>
  <c r="GA52" i="30"/>
  <c r="GA54" i="30"/>
  <c r="GA55" i="30"/>
  <c r="BK53" i="30" l="1"/>
  <c r="BO53" i="30"/>
  <c r="BS53" i="30"/>
  <c r="BW53" i="30"/>
  <c r="CA53" i="30"/>
  <c r="CE53" i="30"/>
  <c r="CI53" i="30"/>
  <c r="CM53" i="30"/>
  <c r="CQ53" i="30"/>
  <c r="CU53" i="30"/>
  <c r="CY53" i="30"/>
  <c r="DC53" i="30"/>
  <c r="DG53" i="30"/>
  <c r="DK53" i="30"/>
  <c r="DO53" i="30"/>
  <c r="DS53" i="30"/>
  <c r="DW53" i="30"/>
  <c r="EA53" i="30"/>
  <c r="EE53" i="30"/>
  <c r="EI53" i="30"/>
  <c r="EM53" i="30"/>
  <c r="EQ53" i="30"/>
  <c r="EU53" i="30"/>
  <c r="EY53" i="30"/>
  <c r="FC53" i="30"/>
  <c r="FG53" i="30"/>
  <c r="FK53" i="30"/>
  <c r="FO53" i="30"/>
  <c r="FS53" i="30"/>
  <c r="FW53" i="30"/>
  <c r="BL53" i="30"/>
  <c r="BP53" i="30"/>
  <c r="BT53" i="30"/>
  <c r="BX53" i="30"/>
  <c r="CB53" i="30"/>
  <c r="CF53" i="30"/>
  <c r="CJ53" i="30"/>
  <c r="CN53" i="30"/>
  <c r="CR53" i="30"/>
  <c r="CV53" i="30"/>
  <c r="CZ53" i="30"/>
  <c r="DD53" i="30"/>
  <c r="DH53" i="30"/>
  <c r="DL53" i="30"/>
  <c r="DP53" i="30"/>
  <c r="DT53" i="30"/>
  <c r="DX53" i="30"/>
  <c r="EB53" i="30"/>
  <c r="EF53" i="30"/>
  <c r="EJ53" i="30"/>
  <c r="EN53" i="30"/>
  <c r="ER53" i="30"/>
  <c r="EV53" i="30"/>
  <c r="EZ53" i="30"/>
  <c r="FD53" i="30"/>
  <c r="FH53" i="30"/>
  <c r="FL53" i="30"/>
  <c r="FP53" i="30"/>
  <c r="FT53" i="30"/>
  <c r="FX53" i="30"/>
  <c r="BM53" i="30"/>
  <c r="BQ53" i="30"/>
  <c r="BU53" i="30"/>
  <c r="BY53" i="30"/>
  <c r="CC53" i="30"/>
  <c r="CG53" i="30"/>
  <c r="CK53" i="30"/>
  <c r="CO53" i="30"/>
  <c r="CS53" i="30"/>
  <c r="CW53" i="30"/>
  <c r="DA53" i="30"/>
  <c r="DE53" i="30"/>
  <c r="DI53" i="30"/>
  <c r="DM53" i="30"/>
  <c r="DQ53" i="30"/>
  <c r="DU53" i="30"/>
  <c r="DY53" i="30"/>
  <c r="EC53" i="30"/>
  <c r="EG53" i="30"/>
  <c r="EK53" i="30"/>
  <c r="EO53" i="30"/>
  <c r="ES53" i="30"/>
  <c r="EW53" i="30"/>
  <c r="FA53" i="30"/>
  <c r="FE53" i="30"/>
  <c r="FI53" i="30"/>
  <c r="FM53" i="30"/>
  <c r="FQ53" i="30"/>
  <c r="FU53" i="30"/>
  <c r="FY53" i="30"/>
  <c r="BN53" i="30"/>
  <c r="BR53" i="30"/>
  <c r="BV53" i="30"/>
  <c r="BZ53" i="30"/>
  <c r="CD53" i="30"/>
  <c r="CH53" i="30"/>
  <c r="CL53" i="30"/>
  <c r="CP53" i="30"/>
  <c r="CT53" i="30"/>
  <c r="CX53" i="30"/>
  <c r="DB53" i="30"/>
  <c r="DF53" i="30"/>
  <c r="DJ53" i="30"/>
  <c r="DN53" i="30"/>
  <c r="DR53" i="30"/>
  <c r="DV53" i="30"/>
  <c r="DZ53" i="30"/>
  <c r="ED53" i="30"/>
  <c r="EH53" i="30"/>
  <c r="EL53" i="30"/>
  <c r="EP53" i="30"/>
  <c r="ET53" i="30"/>
  <c r="EX53" i="30"/>
  <c r="FB53" i="30"/>
  <c r="FF53" i="30"/>
  <c r="FJ53" i="30"/>
  <c r="FN53" i="30"/>
  <c r="FR53" i="30"/>
  <c r="FV53" i="30"/>
  <c r="FZ53" i="30"/>
  <c r="GA53" i="30"/>
  <c r="BO59" i="30"/>
  <c r="BW59" i="30"/>
  <c r="CE59" i="30"/>
  <c r="CM59" i="30"/>
  <c r="CU59" i="30"/>
  <c r="DC59" i="30"/>
  <c r="DK59" i="30"/>
  <c r="DS59" i="30"/>
  <c r="EA59" i="30"/>
  <c r="EI59" i="30"/>
  <c r="EQ59" i="30"/>
  <c r="EY59" i="30"/>
  <c r="FG59" i="30"/>
  <c r="FO59" i="30"/>
  <c r="FW59" i="30"/>
  <c r="FB59" i="30"/>
  <c r="BL59" i="30"/>
  <c r="BT59" i="30"/>
  <c r="CB59" i="30"/>
  <c r="CJ59" i="30"/>
  <c r="CR59" i="30"/>
  <c r="CZ59" i="30"/>
  <c r="DH59" i="30"/>
  <c r="DP59" i="30"/>
  <c r="DX59" i="30"/>
  <c r="EF59" i="30"/>
  <c r="EN59" i="30"/>
  <c r="EV59" i="30"/>
  <c r="FD59" i="30"/>
  <c r="FL59" i="30"/>
  <c r="FT59" i="30"/>
  <c r="FY59" i="30"/>
  <c r="FZ59" i="30"/>
  <c r="BQ59" i="30"/>
  <c r="BY59" i="30"/>
  <c r="CG59" i="30"/>
  <c r="CO59" i="30"/>
  <c r="CW59" i="30"/>
  <c r="DE59" i="30"/>
  <c r="DM59" i="30"/>
  <c r="DU59" i="30"/>
  <c r="EC59" i="30"/>
  <c r="EK59" i="30"/>
  <c r="ES59" i="30"/>
  <c r="FA59" i="30"/>
  <c r="FI59" i="30"/>
  <c r="FQ59" i="30"/>
  <c r="FF59" i="30"/>
  <c r="BN59" i="30"/>
  <c r="BV59" i="30"/>
  <c r="CD59" i="30"/>
  <c r="CL59" i="30"/>
  <c r="CT59" i="30"/>
  <c r="DB59" i="30"/>
  <c r="DJ59" i="30"/>
  <c r="CA59" i="30"/>
  <c r="DG59" i="30"/>
  <c r="EM59" i="30"/>
  <c r="FS59" i="30"/>
  <c r="BX59" i="30"/>
  <c r="DD59" i="30"/>
  <c r="EJ59" i="30"/>
  <c r="FP59" i="30"/>
  <c r="BU59" i="30"/>
  <c r="DA59" i="30"/>
  <c r="EG59" i="30"/>
  <c r="FM59" i="30"/>
  <c r="BZ59" i="30"/>
  <c r="BS59" i="30"/>
  <c r="CY59" i="30"/>
  <c r="EE59" i="30"/>
  <c r="FK59" i="30"/>
  <c r="BP59" i="30"/>
  <c r="CV59" i="30"/>
  <c r="EB59" i="30"/>
  <c r="FH59" i="30"/>
  <c r="BM59" i="30"/>
  <c r="CS59" i="30"/>
  <c r="DY59" i="30"/>
  <c r="FE59" i="30"/>
  <c r="BR59" i="30"/>
  <c r="CX59" i="30"/>
  <c r="DR59" i="30"/>
  <c r="DZ59" i="30"/>
  <c r="EH59" i="30"/>
  <c r="EP59" i="30"/>
  <c r="EX59" i="30"/>
  <c r="CQ59" i="30"/>
  <c r="DW59" i="30"/>
  <c r="FC59" i="30"/>
  <c r="FR59" i="30"/>
  <c r="CN59" i="30"/>
  <c r="DT59" i="30"/>
  <c r="EZ59" i="30"/>
  <c r="FJ59" i="30"/>
  <c r="CK59" i="30"/>
  <c r="DQ59" i="30"/>
  <c r="EW59" i="30"/>
  <c r="FV59" i="30"/>
  <c r="CP59" i="30"/>
  <c r="FN59" i="30"/>
  <c r="CI59" i="30"/>
  <c r="DO59" i="30"/>
  <c r="EU59" i="30"/>
  <c r="GA59" i="30"/>
  <c r="CF59" i="30"/>
  <c r="DL59" i="30"/>
  <c r="ER59" i="30"/>
  <c r="FX59" i="30"/>
  <c r="CC59" i="30"/>
  <c r="DI59" i="30"/>
  <c r="EO59" i="30"/>
  <c r="FU59" i="30"/>
  <c r="CH59" i="30"/>
  <c r="DN59" i="30"/>
  <c r="DV59" i="30"/>
  <c r="ED59" i="30"/>
  <c r="EL59" i="30"/>
  <c r="ET59" i="30"/>
  <c r="DF59" i="30"/>
</calcChain>
</file>

<file path=xl/comments1.xml><?xml version="1.0" encoding="utf-8"?>
<comments xmlns="http://schemas.openxmlformats.org/spreadsheetml/2006/main">
  <authors>
    <author>Ben Rogers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6.4794641% historical calculated for DAC, Region Central over period 200704 - 201704.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minimum:
Outside DFE &gt; 1600
Inside DFE &gt; 1450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includes Distribution (and Storage?)</t>
        </r>
      </text>
    </comment>
  </commentList>
</comments>
</file>

<file path=xl/comments2.xml><?xml version="1.0" encoding="utf-8"?>
<comments xmlns="http://schemas.openxmlformats.org/spreadsheetml/2006/main">
  <authors>
    <author>Ben</author>
    <author>Ben Rogers</author>
  </authors>
  <commentList>
    <comment ref="J5" authorId="0" shapeId="0">
      <text>
        <r>
          <rPr>
            <sz val="9"/>
            <color indexed="81"/>
            <rFont val="Tahoma"/>
            <family val="2"/>
          </rPr>
          <t>&lt; 3 kWp(DC): use Micro-Inverter
&gt; 3 KWp(DC): use Central Inverter and, for installations with significant shading, an Optimizer</t>
        </r>
      </text>
    </comment>
    <comment ref="J7" authorId="1" shapeId="0">
      <text>
        <r>
          <rPr>
            <sz val="9"/>
            <color indexed="81"/>
            <rFont val="Tahoma"/>
            <family val="2"/>
          </rPr>
          <t>required only with Micro-Inverters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>Comes standard on all systems, no input required.</t>
        </r>
      </text>
    </comment>
  </commentList>
</comments>
</file>

<file path=xl/comments3.xml><?xml version="1.0" encoding="utf-8"?>
<comments xmlns="http://schemas.openxmlformats.org/spreadsheetml/2006/main">
  <authors>
    <author>Ben Rogers</author>
  </authors>
  <commentList>
    <comment ref="A58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Payment necessary to make Equity Investor IRR at time of buyout equal to IRR at end of year 15</t>
        </r>
      </text>
    </comment>
  </commentList>
</comments>
</file>

<file path=xl/comments4.xml><?xml version="1.0" encoding="utf-8"?>
<comments xmlns="http://schemas.openxmlformats.org/spreadsheetml/2006/main">
  <authors>
    <author>Ben Rogers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=IFERROR(VLOOKUP(A2,PV_Module_List!$A$5:$G$20265,7,FALSE),"NaN")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Ben Rogers:</t>
        </r>
        <r>
          <rPr>
            <sz val="9"/>
            <color indexed="81"/>
            <rFont val="Tahoma"/>
            <family val="2"/>
          </rPr>
          <t xml:space="preserve">
=IFERROR(VLOOKUP(A26,Inverter_List!$A$5:$G$20265,7,FALSE)/100,"NaN")</t>
        </r>
      </text>
    </comment>
  </commentList>
</comments>
</file>

<file path=xl/comments5.xml><?xml version="1.0" encoding="utf-8"?>
<comments xmlns="http://schemas.openxmlformats.org/spreadsheetml/2006/main">
  <authors>
    <author>Ben Rogers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For Tarifa 1, there is no separate rate schedule for "de verano" and "fuera de verano", but structuring it like this to make uniform with other Tarifa 1 rate categories for Savings formula logic</t>
        </r>
      </text>
    </comment>
  </commentList>
</comments>
</file>

<file path=xl/sharedStrings.xml><?xml version="1.0" encoding="utf-8"?>
<sst xmlns="http://schemas.openxmlformats.org/spreadsheetml/2006/main" count="1580" uniqueCount="865">
  <si>
    <t>System Size</t>
  </si>
  <si>
    <t>USD</t>
  </si>
  <si>
    <t>PV Panels</t>
  </si>
  <si>
    <t>Import Duty</t>
  </si>
  <si>
    <t>Inverters</t>
  </si>
  <si>
    <t>Optimizer</t>
  </si>
  <si>
    <t>Consumption Monitoring</t>
  </si>
  <si>
    <t>Solar Installer</t>
  </si>
  <si>
    <t>Labor</t>
  </si>
  <si>
    <t>BOS-electrical</t>
  </si>
  <si>
    <t>BOS-mechanical</t>
  </si>
  <si>
    <t>Installer Total Price</t>
  </si>
  <si>
    <t>Overall</t>
  </si>
  <si>
    <t>Performance Guarantee</t>
  </si>
  <si>
    <t>FUND PRICE</t>
  </si>
  <si>
    <t>DAP</t>
  </si>
  <si>
    <t>IVA</t>
  </si>
  <si>
    <t>CFE Annual Increase</t>
  </si>
  <si>
    <t>CFE Bill</t>
  </si>
  <si>
    <t>%</t>
  </si>
  <si>
    <t>Year</t>
  </si>
  <si>
    <t>Inputs</t>
  </si>
  <si>
    <t>First Name</t>
  </si>
  <si>
    <t>Last Name</t>
  </si>
  <si>
    <t>Address</t>
  </si>
  <si>
    <t>City</t>
  </si>
  <si>
    <t>State</t>
  </si>
  <si>
    <t>Zip Code</t>
  </si>
  <si>
    <t>Total</t>
  </si>
  <si>
    <t>Savings from CFE</t>
  </si>
  <si>
    <t>Initial Payment</t>
  </si>
  <si>
    <t>Included</t>
  </si>
  <si>
    <t>Annual Payment Increase</t>
  </si>
  <si>
    <t>Term (years)</t>
  </si>
  <si>
    <t>Long term for immediate savings</t>
  </si>
  <si>
    <t>Totals</t>
  </si>
  <si>
    <t>Remote Monitoring</t>
  </si>
  <si>
    <t># Panels</t>
  </si>
  <si>
    <t>Repair Service</t>
  </si>
  <si>
    <t>Before Solar</t>
  </si>
  <si>
    <t>After Solar</t>
  </si>
  <si>
    <t xml:space="preserve">            ----</t>
  </si>
  <si>
    <t>Tarifa DAC</t>
  </si>
  <si>
    <t>1A</t>
  </si>
  <si>
    <t>1B</t>
  </si>
  <si>
    <t>1C</t>
  </si>
  <si>
    <t>1D</t>
  </si>
  <si>
    <t>1E</t>
  </si>
  <si>
    <t>1F</t>
  </si>
  <si>
    <t>CARGOS POR</t>
  </si>
  <si>
    <t>Dic.</t>
  </si>
  <si>
    <t>Ene.</t>
  </si>
  <si>
    <t>Feb.</t>
  </si>
  <si>
    <t>Mar.</t>
  </si>
  <si>
    <t>Abr.</t>
  </si>
  <si>
    <t>May.</t>
  </si>
  <si>
    <t>Jun.</t>
  </si>
  <si>
    <t>REGION BAJA CALIFORNIA - CUOTAS MENSUALES EN VERANO</t>
  </si>
  <si>
    <t>Cargo fijo ($/mes)</t>
  </si>
  <si>
    <t>($/kWh)</t>
  </si>
  <si>
    <t>REGION BAJA CALIFORNIA - CUOTAS MENSUALES FUERA EN VERANO</t>
  </si>
  <si>
    <t xml:space="preserve">REGION BAJA CALIFORNIA SUR - CUOTAS MENSUALES EN VERANO </t>
  </si>
  <si>
    <t xml:space="preserve">REGION BAJA CALIFORNIA SUR - CUOTAS MENSUALES FUERA EN VERANO </t>
  </si>
  <si>
    <t xml:space="preserve">REGION CENTRAL </t>
  </si>
  <si>
    <t xml:space="preserve">REGION NOROESTE </t>
  </si>
  <si>
    <t>energía ($/kWh)</t>
  </si>
  <si>
    <t xml:space="preserve">REGION NORTE Y NORESTE </t>
  </si>
  <si>
    <t xml:space="preserve">REGION SUR Y PENINSULAR </t>
  </si>
  <si>
    <t>Tarifa 2</t>
  </si>
  <si>
    <t xml:space="preserve">Cargo por energía ($/kWh) </t>
  </si>
  <si>
    <t>Range</t>
  </si>
  <si>
    <t>1-50</t>
  </si>
  <si>
    <t>51 - 100</t>
  </si>
  <si>
    <t>Adic.</t>
  </si>
  <si>
    <t>Cargo fijo ($)</t>
  </si>
  <si>
    <t>Mensual</t>
  </si>
  <si>
    <t>Central</t>
  </si>
  <si>
    <t>Unit Price</t>
  </si>
  <si>
    <t># Units</t>
  </si>
  <si>
    <t>SubTotal</t>
  </si>
  <si>
    <t>Inflation Rate</t>
  </si>
  <si>
    <t>Financing Escalator</t>
  </si>
  <si>
    <t>Wp rating</t>
  </si>
  <si>
    <t>$/Wp</t>
  </si>
  <si>
    <t>Supplier</t>
  </si>
  <si>
    <t>Notes</t>
  </si>
  <si>
    <t>PV Solar Modules</t>
  </si>
  <si>
    <t>Model</t>
  </si>
  <si>
    <t>Trina</t>
  </si>
  <si>
    <t>Exel</t>
  </si>
  <si>
    <t>320Wp poly</t>
  </si>
  <si>
    <t>CSI</t>
  </si>
  <si>
    <t>DM Solar</t>
  </si>
  <si>
    <t>EXW: GDL, MTY, DF</t>
  </si>
  <si>
    <t>GSL</t>
  </si>
  <si>
    <t>ET Solar</t>
  </si>
  <si>
    <t>Recom</t>
  </si>
  <si>
    <t>Jinko</t>
  </si>
  <si>
    <t>JA Solar</t>
  </si>
  <si>
    <t>SunPreme</t>
  </si>
  <si>
    <t>Tigo</t>
  </si>
  <si>
    <t>TS4-D</t>
  </si>
  <si>
    <t>EXW: MER, GDL, MTY, DF</t>
  </si>
  <si>
    <t>TS4-M</t>
  </si>
  <si>
    <t>Monitoring</t>
  </si>
  <si>
    <t>TS4-S</t>
  </si>
  <si>
    <t>Safety - shut off</t>
  </si>
  <si>
    <t>TS4-O</t>
  </si>
  <si>
    <t>Optimize - shading</t>
  </si>
  <si>
    <t>TS4-L</t>
  </si>
  <si>
    <t>Long strings</t>
  </si>
  <si>
    <t>Enphase</t>
  </si>
  <si>
    <t>TIGO</t>
  </si>
  <si>
    <t>CCA-PS-INT</t>
  </si>
  <si>
    <t>Cloud connect - interior</t>
  </si>
  <si>
    <t>CCAK-IGDIN</t>
  </si>
  <si>
    <t>Cloud connect - interior DIN</t>
  </si>
  <si>
    <t>CCA-DINOUT</t>
  </si>
  <si>
    <t>Cloud connect - exterior DIN</t>
  </si>
  <si>
    <t>GTWY-WCOMM</t>
  </si>
  <si>
    <t>Wireless gateway</t>
  </si>
  <si>
    <t>ENV-120 M</t>
  </si>
  <si>
    <t>WF-01</t>
  </si>
  <si>
    <t>System Monitoring</t>
  </si>
  <si>
    <t>Region</t>
  </si>
  <si>
    <t xml:space="preserve"> (ERdC - $189) Envoy monitoring portal</t>
  </si>
  <si>
    <t>DAC</t>
  </si>
  <si>
    <t>Installer Margin</t>
  </si>
  <si>
    <t>Ext. Cost</t>
  </si>
  <si>
    <t>Installer Sales commission</t>
  </si>
  <si>
    <t>Pago inicial</t>
  </si>
  <si>
    <t>Incremento Anual</t>
  </si>
  <si>
    <t>Termino (Años)</t>
  </si>
  <si>
    <t>Termino a largo plazo ahorros inmediatos</t>
  </si>
  <si>
    <t>Incluido</t>
  </si>
  <si>
    <t>Servicio de Reparacion</t>
  </si>
  <si>
    <t>Garantia de Desempeño</t>
  </si>
  <si>
    <t xml:space="preserve">Antes </t>
  </si>
  <si>
    <t>Año</t>
  </si>
  <si>
    <t>Pago Inicial</t>
  </si>
  <si>
    <t>Ahorros vs CFE</t>
  </si>
  <si>
    <t>Recibo CFE</t>
  </si>
  <si>
    <t>Manufacturer</t>
  </si>
  <si>
    <t>Optimizers</t>
  </si>
  <si>
    <t>Component</t>
  </si>
  <si>
    <t>MXN/USD</t>
  </si>
  <si>
    <t>MXN</t>
  </si>
  <si>
    <t>System Specification</t>
  </si>
  <si>
    <r>
      <t>2</t>
    </r>
    <r>
      <rPr>
        <vertAlign val="superscript"/>
        <sz val="8"/>
        <rFont val="Verdana"/>
        <family val="2"/>
      </rPr>
      <t>nd</t>
    </r>
    <r>
      <rPr>
        <sz val="8"/>
        <rFont val="Verdana"/>
        <family val="2"/>
      </rPr>
      <t xml:space="preserve"> Last Name</t>
    </r>
  </si>
  <si>
    <t>Comm Accessories</t>
  </si>
  <si>
    <t>Wifi kit for Enphase</t>
  </si>
  <si>
    <t>Baja California - en verano</t>
  </si>
  <si>
    <t>Baja California - fuera en verano</t>
  </si>
  <si>
    <t>Noroeste</t>
  </si>
  <si>
    <t>Baja California Sur - en verano</t>
  </si>
  <si>
    <t>Baja California Sur - fuera en verano</t>
  </si>
  <si>
    <t>STC</t>
  </si>
  <si>
    <t>PTC</t>
  </si>
  <si>
    <t>Sun Hours</t>
  </si>
  <si>
    <t>Inverter Loss %</t>
  </si>
  <si>
    <t>Other Loss %</t>
  </si>
  <si>
    <t>CFE Total Bill (Year1)</t>
  </si>
  <si>
    <t>System Annual Degradation Rate</t>
  </si>
  <si>
    <t>Customer Usage</t>
  </si>
  <si>
    <t>Customer offset</t>
  </si>
  <si>
    <t>Cash Flow Retention %</t>
  </si>
  <si>
    <t>kWh</t>
  </si>
  <si>
    <t>MXN/kWh</t>
  </si>
  <si>
    <t>CFE Total Rate (MXN/kWh)</t>
  </si>
  <si>
    <t>Customer Usage (kWh/yr)</t>
  </si>
  <si>
    <t>per W</t>
  </si>
  <si>
    <t>CFE Fixed Cost per Bill (bi-mo) (MXN)</t>
  </si>
  <si>
    <t>CFE Rate per kWh (MXN)</t>
  </si>
  <si>
    <t>System Production (kWh/year)</t>
  </si>
  <si>
    <t>System Factor(kWh/kw)</t>
  </si>
  <si>
    <t>System Size (W)</t>
  </si>
  <si>
    <t>Ahorros $</t>
  </si>
  <si>
    <t>Corporate Tax Rate</t>
  </si>
  <si>
    <t>Outputs</t>
  </si>
  <si>
    <t>CFE Regions</t>
  </si>
  <si>
    <t>List Value</t>
  </si>
  <si>
    <t>CFE Value</t>
  </si>
  <si>
    <t>CFE Rates</t>
  </si>
  <si>
    <t>CFE Rate Category</t>
  </si>
  <si>
    <t>Customer Savings Actual (Year1)</t>
  </si>
  <si>
    <t>Equity Investor %</t>
  </si>
  <si>
    <t>E-Gauge</t>
  </si>
  <si>
    <t>Direct</t>
  </si>
  <si>
    <t>Home &amp; System Monitoring</t>
  </si>
  <si>
    <t>Performance Guarantee (Markup)</t>
  </si>
  <si>
    <t>Offset Pct</t>
  </si>
  <si>
    <t>Fund Price (MXN)</t>
  </si>
  <si>
    <t>Ahorros %</t>
  </si>
  <si>
    <t>TSM-270PA05A</t>
  </si>
  <si>
    <t>CS6P-270P</t>
  </si>
  <si>
    <t>CS6U-320P</t>
  </si>
  <si>
    <t>RCM-325-6PA</t>
  </si>
  <si>
    <t>SNPM-GxB-310 Bifacial</t>
  </si>
  <si>
    <t>Operating Expense (USD/kW)</t>
  </si>
  <si>
    <t>Operating Expense (MXN/Year)</t>
  </si>
  <si>
    <t>Equity Ownership (Equity Investor)</t>
  </si>
  <si>
    <t>Resumen Año 1</t>
  </si>
  <si>
    <t>GCL-P6-72-320</t>
  </si>
  <si>
    <t>GCL-P6-60-270</t>
  </si>
  <si>
    <t>Trina Solar</t>
  </si>
  <si>
    <t>Canadian Solar</t>
  </si>
  <si>
    <t>GCL System Integration Technology</t>
  </si>
  <si>
    <t>Sunpreme</t>
  </si>
  <si>
    <t>Customer Residual</t>
  </si>
  <si>
    <t>original-&gt;</t>
  </si>
  <si>
    <t>Pre-IVA Cost from Installer</t>
  </si>
  <si>
    <t>IVA to Installer</t>
  </si>
  <si>
    <t>Total Cost from Installer</t>
  </si>
  <si>
    <t>http://app.cfe.gob.mx/Aplicaciones/CCFE/Tarifas/Tarifas/Tarifas_industria.asp?Tarifa=CMABT&amp;Anio=2017</t>
  </si>
  <si>
    <t>http://app.cfe.gob.mx/Aplicaciones/CCFE/Tarifas/Tarifas/tarifas_casa.asp</t>
  </si>
  <si>
    <t>Lease Term</t>
  </si>
  <si>
    <t>Fund Price/Watt (MXN)</t>
  </si>
  <si>
    <t>Customer Initial Payment (MXN)</t>
  </si>
  <si>
    <t>Labor (MXN/W)</t>
  </si>
  <si>
    <t>BOS-Electrical (MXN/W)</t>
  </si>
  <si>
    <t>BOS-Mechanical (MXN/W)</t>
  </si>
  <si>
    <t>Lease Term (Years)</t>
  </si>
  <si>
    <t>Savings</t>
  </si>
  <si>
    <t>Year 1 Summary</t>
  </si>
  <si>
    <t>Ahorros</t>
  </si>
  <si>
    <t>Equity Investor Required IRR %</t>
  </si>
  <si>
    <t>CFE Rate (PreTax)</t>
  </si>
  <si>
    <t>CFE Usage (PreTax)</t>
  </si>
  <si>
    <t>CFE Cargo Fijo</t>
  </si>
  <si>
    <t>CFE DAP</t>
  </si>
  <si>
    <t>CFE IVA</t>
  </si>
  <si>
    <t>Degrad rate</t>
  </si>
  <si>
    <t>CFE Bill (PreTax)</t>
  </si>
  <si>
    <t>Solar System</t>
  </si>
  <si>
    <t>Solar System Production</t>
  </si>
  <si>
    <t>Savings ($)</t>
  </si>
  <si>
    <t>Savings (%)</t>
  </si>
  <si>
    <t>CFE Service Number</t>
  </si>
  <si>
    <t>Comm Accessory</t>
  </si>
  <si>
    <t>Customer Usage Offset</t>
  </si>
  <si>
    <t>System Production (kWh/yr)</t>
  </si>
  <si>
    <t>Wp (DC)</t>
  </si>
  <si>
    <t>PTC (DC)</t>
  </si>
  <si>
    <t>sys size &gt;=</t>
  </si>
  <si>
    <t>sys size &lt;=</t>
  </si>
  <si>
    <t>Wac rating (AC)</t>
  </si>
  <si>
    <t>Min Wp (DC)</t>
  </si>
  <si>
    <t>Max Wp (DC)</t>
  </si>
  <si>
    <t>Factor</t>
  </si>
  <si>
    <t>Symo 10.0-3 208/240v</t>
  </si>
  <si>
    <t>Symo 12.0-3 208/240v</t>
  </si>
  <si>
    <t>Symo 15.0-3 208/240v</t>
  </si>
  <si>
    <t>Inversor TL + Comunicación Wifi + NEMA 4x + 2mppt + Interruptor DC</t>
  </si>
  <si>
    <t>WiFi + interruptor DC + AFCI + 2 MPPT</t>
  </si>
  <si>
    <t>WiFi + interruptor DC + AFCI + 1 MPPT</t>
  </si>
  <si>
    <t>Line Voltage</t>
  </si>
  <si>
    <t>240v</t>
  </si>
  <si>
    <t>Phases</t>
  </si>
  <si>
    <t>Savings Rate (Year 1)</t>
  </si>
  <si>
    <t>CFE Hilos (Phases)</t>
  </si>
  <si>
    <t>PTC/Wp</t>
  </si>
  <si>
    <t>radiationtype</t>
  </si>
  <si>
    <t>azimuth</t>
  </si>
  <si>
    <t>Norte</t>
  </si>
  <si>
    <t>Noreste</t>
  </si>
  <si>
    <t>Sur</t>
  </si>
  <si>
    <t>Peninsular</t>
  </si>
  <si>
    <t>Costa</t>
  </si>
  <si>
    <t>Tierra Adentro</t>
  </si>
  <si>
    <t>radiationtype_id</t>
  </si>
  <si>
    <t>azimuth_id</t>
  </si>
  <si>
    <t>Rad_Type</t>
  </si>
  <si>
    <t>Rad_Azimuth</t>
  </si>
  <si>
    <t>We will remotely monitor your system for you for 15 years</t>
  </si>
  <si>
    <t>Peace of mind that your system will perform for 15 years</t>
  </si>
  <si>
    <t>No need to worry about repairs for 15 years</t>
  </si>
  <si>
    <t>CFE Limite para region</t>
  </si>
  <si>
    <t>0 Procupaciones por reparacion por 15 años</t>
  </si>
  <si>
    <t>Desempeño Garantizado al 100% por 15 años</t>
  </si>
  <si>
    <t>CFE Limits</t>
  </si>
  <si>
    <t>Rad_cfe_region_id</t>
  </si>
  <si>
    <t>CFE Rate Period</t>
  </si>
  <si>
    <t>RANGO DE CONSUMO</t>
  </si>
  <si>
    <t>ENE.</t>
  </si>
  <si>
    <t>FEB.</t>
  </si>
  <si>
    <t>MAR.</t>
  </si>
  <si>
    <t>ABR.</t>
  </si>
  <si>
    <t>MAY.</t>
  </si>
  <si>
    <t>JUN.</t>
  </si>
  <si>
    <t>Básico 1-75</t>
  </si>
  <si>
    <t>Intermedio 76-140</t>
  </si>
  <si>
    <t>Excedente</t>
  </si>
  <si>
    <t>Básico 1-100</t>
  </si>
  <si>
    <t>Intermedio 101-150</t>
  </si>
  <si>
    <t>Intermedio 76-150</t>
  </si>
  <si>
    <t>Básico 1-125</t>
  </si>
  <si>
    <t>Intermedio 126-225</t>
  </si>
  <si>
    <t>Intermedio 76-175</t>
  </si>
  <si>
    <t>Básico 1-150</t>
  </si>
  <si>
    <t>Intermedio bajo 151-300</t>
  </si>
  <si>
    <t>Intermedio alto 301-450</t>
  </si>
  <si>
    <t>Básico 1-175</t>
  </si>
  <si>
    <t>Intermedio bajo 176-400</t>
  </si>
  <si>
    <t>Intermedio alto 401-600</t>
  </si>
  <si>
    <t>Intermedio 76-200</t>
  </si>
  <si>
    <t>Básico 1-300</t>
  </si>
  <si>
    <t>Intermedio bajo 301-750</t>
  </si>
  <si>
    <t>Intermedio alto 751-900</t>
  </si>
  <si>
    <t>Intermedio 301-1,200</t>
  </si>
  <si>
    <t>Recent History</t>
  </si>
  <si>
    <t>DIC./2016</t>
  </si>
  <si>
    <t>Intermedio alto 1,201-2,500</t>
  </si>
  <si>
    <t>Bsico 1-75</t>
  </si>
  <si>
    <t>1st Bucket</t>
  </si>
  <si>
    <t>2nd Bucket</t>
  </si>
  <si>
    <t>3rd Bucket</t>
  </si>
  <si>
    <t>Tarifa 1A - TEMPORADA DE VERANO</t>
  </si>
  <si>
    <t>Tarifa 1A - TEMPORADA FUERA DE VERANO</t>
  </si>
  <si>
    <t>Tarifa 1E - TEMPORADA DE VERANO</t>
  </si>
  <si>
    <t>Tarifa 1D - TEMPORADA DE VERANO</t>
  </si>
  <si>
    <t>Tarifa 1F - TEMPORADA DE VERANO</t>
  </si>
  <si>
    <t>Tarifa 1C - TEMPORADA DE VERANO</t>
  </si>
  <si>
    <t>Tarifa 1B - TEMPORADA DE VERANO</t>
  </si>
  <si>
    <t>Tarifa 1F - TEMPORADA FUERA DE VERANO</t>
  </si>
  <si>
    <t>Tarifa 1E - TEMPORADA FUERA DE VERANO</t>
  </si>
  <si>
    <t>Tarifa 1D - TEMPORADA FUERA DE VERANO</t>
  </si>
  <si>
    <t>Tarifa 1C - TEMPORADA FUERA DE VERANO</t>
  </si>
  <si>
    <t>Tarifa 1B - TEMPORADA FUERA DE VERANO</t>
  </si>
  <si>
    <t>Limit</t>
  </si>
  <si>
    <t>Rate</t>
  </si>
  <si>
    <t>Blended</t>
  </si>
  <si>
    <t>Avg (Verano, 
Invierno)</t>
  </si>
  <si>
    <t>For CFE Rate (PreTax) After Solar, Beginning in Year 2</t>
  </si>
  <si>
    <t>Tarifa 1 - TEMPORADA FUERA DE VERANO</t>
  </si>
  <si>
    <t>Tarifa 1 - TEMPORADA DE VERANO</t>
  </si>
  <si>
    <t>Initial Cash Flows</t>
  </si>
  <si>
    <t>After-Tax</t>
  </si>
  <si>
    <t>Before-Tax</t>
  </si>
  <si>
    <t>SolCity MX Cost (paid to Installer)</t>
  </si>
  <si>
    <t>SolCity MX Net</t>
  </si>
  <si>
    <t>SolCity MX Margin</t>
  </si>
  <si>
    <t>Equity Investor Investment</t>
  </si>
  <si>
    <t>Equity Investor % of Initial Payment by Customer</t>
  </si>
  <si>
    <t>Depreciation Based on Equity Investor % Equity</t>
  </si>
  <si>
    <t>Fund Cash Flows (Annual)</t>
  </si>
  <si>
    <t>Customer FCF</t>
  </si>
  <si>
    <t>Opearting Expenses</t>
  </si>
  <si>
    <t>Carried Losses</t>
  </si>
  <si>
    <t>Tax Basis</t>
  </si>
  <si>
    <t>Tax</t>
  </si>
  <si>
    <t>Net Cash Flow</t>
  </si>
  <si>
    <t>Investor Cash Flows (Monthly)</t>
  </si>
  <si>
    <t>Month</t>
  </si>
  <si>
    <t>Date</t>
  </si>
  <si>
    <t>Equity Investor FCF</t>
  </si>
  <si>
    <t>Equity Investor ROI</t>
  </si>
  <si>
    <t>Buyout Price</t>
  </si>
  <si>
    <t>Buyout Price (% of Fund Price)</t>
  </si>
  <si>
    <t>Tarifa2</t>
  </si>
  <si>
    <t>Effective</t>
  </si>
  <si>
    <t>**NOTE:  the ouptut of this model will only match VBA output of "Generate Scenarios" button for Term = 15 years</t>
  </si>
  <si>
    <t>Customer Inputs</t>
  </si>
  <si>
    <t>Nameplate</t>
  </si>
  <si>
    <t>Choose your term and savings</t>
  </si>
  <si>
    <t>Escoge tu plazo y ahorros</t>
  </si>
  <si>
    <t>Autorización para solicitar Reportes de Crédito</t>
  </si>
  <si>
    <t>Formato Único</t>
  </si>
  <si>
    <t xml:space="preserve">Por este conducto autorizo expresamente a Solcity Distribución Mexico SAPI de CV.  para que por conducto de sus funcionarios facultados lleve a cabo Investigaciones, sobre mi comportamiento crediticio o el de la Empresa que represento en Circulo de Credito SA de CV.                                                                                       </t>
  </si>
  <si>
    <t xml:space="preserve">Así mismo, declaro que conozco la naturaleza y alcance de la información que se solicitará, del uso que Solcity Distribución Mexico SAPI de CV, hará de tal información y de que ésta podrá realizar consultas periódicas sobre mi historial o el de la empresa que represento, consintiendo que esta autorización se encuentre vigente por un período de tres (3) años contados a partir de sus expedición y en todo caso durante el tiempo que se mantenga la relación jurídica. </t>
  </si>
  <si>
    <t>En caso de que la solicitante sea una Persona Moral,  declaro bajo protesta de decir verdad Ser Representante Legal de la empresa mencionada en esta autorización.</t>
  </si>
  <si>
    <t xml:space="preserve">Autorización para: </t>
  </si>
  <si>
    <t>Persona Física</t>
  </si>
  <si>
    <t>Persona Física con            Actividad Empresarial</t>
  </si>
  <si>
    <t>Nombre del solicitante (Persona Física o Razón Social de la Persona Moral):</t>
  </si>
  <si>
    <t>Para el caso de Persona Moral, nombre del Representante Legal:</t>
  </si>
  <si>
    <t>Fecha (en que se autoriza la consulta):</t>
  </si>
  <si>
    <t xml:space="preserve">RFC: </t>
  </si>
  <si>
    <t>Calle y número:</t>
  </si>
  <si>
    <t>Colonia:</t>
  </si>
  <si>
    <t xml:space="preserve">Ciudad: </t>
  </si>
  <si>
    <t xml:space="preserve">Estado: </t>
  </si>
  <si>
    <t xml:space="preserve">Código Postal: </t>
  </si>
  <si>
    <t xml:space="preserve">Teléfono (s) de casa y/o oficina: </t>
  </si>
  <si>
    <t>Estoy consciente y acepto que este documento quede bajo propiedad de Solcity Distribución Mexico SAPI de CV y/o Sociedad de Información Crediticia consultada para efectos de control y cumplimiento del artículo 28 de la Ley para Regular a Las Sociedades de Información Crediticia; mismo que señala que las Sociedades sólo podrán proporcionar información a un Usuario, cuando éste cuente con la autorización expresa del Cliente mediante su firma autógrafa.</t>
  </si>
  <si>
    <t xml:space="preserve">Firma de la PF, PFAE, Representante Legal de la empresa. </t>
  </si>
  <si>
    <t>OBSERVACIONES PARA SER ATENDIDAS AL MOMENTO DE REQUISITAR EL FORMATO:</t>
  </si>
  <si>
    <t>IMPORTANTE: Este formato debe ser llenado individualmente, para una sola persona física ó para una sola empresa. En caso de requerir el Historial crediticio del representante legal, se llenará un formato adicional.</t>
  </si>
  <si>
    <t>1.- Llenar este formato preferentemente en computadora y de no ser así, deberá ser con letra de molde y clara, evitando las abreviaturas. Utilizar letras mayúsculas.
2.- Anexar copia de identificación oficial (credencial del IFE o pasaporte vigente) del solicitante. FM2 en caso de extranjeros. 
3.- La firma en presente formato deberá ser idéntica a la que se encuentra en la identificación (si ha cambiado se recomienda practicarla previamente).
4.- El presente formato no se aceptará si no contine todos los datos requeridos o si tiene tachaduras, borrones y/o enmendaduras.
5.- Si el domicilio es diferente al registrado en la identificación, se recomienda verificar que el CP coincida con el municipio. Fuente: www.sepomex.gob.mx</t>
  </si>
  <si>
    <r>
      <rPr>
        <b/>
        <sz val="10"/>
        <rFont val="Arial"/>
        <family val="2"/>
      </rPr>
      <t>Para uso exclusivo de Solcity Distribución Mexico SAPI de CV</t>
    </r>
    <r>
      <rPr>
        <sz val="10"/>
        <rFont val="Arial"/>
        <family val="2"/>
      </rPr>
      <t xml:space="preserve">
</t>
    </r>
    <r>
      <rPr>
        <sz val="8"/>
        <rFont val="Arial"/>
        <family val="2"/>
      </rPr>
      <t>(Obligatorio el llenado de estos campos por el Funcionario Facultado)</t>
    </r>
  </si>
  <si>
    <t>Clave de usuario (Member Code):</t>
  </si>
  <si>
    <t>Fecha de la consulta (dd-mm-aaaa):</t>
  </si>
  <si>
    <t>Folio de consulta (Obligatorio)</t>
  </si>
  <si>
    <t>Proposal Acceptance Signature</t>
  </si>
  <si>
    <t>Firma de Aceptacion de Propuesta</t>
  </si>
  <si>
    <t>Customer</t>
  </si>
  <si>
    <t>Field</t>
  </si>
  <si>
    <t>Value</t>
  </si>
  <si>
    <t>Note</t>
  </si>
  <si>
    <t>Lessee</t>
  </si>
  <si>
    <t>Customer's first &amp; last names (if Individual) or full company name (if Company)</t>
  </si>
  <si>
    <t>LesseeTelephone</t>
  </si>
  <si>
    <t>Customer's telephone number</t>
  </si>
  <si>
    <t>LesseeEmail</t>
  </si>
  <si>
    <t>Customer's email address</t>
  </si>
  <si>
    <t>PropertyAddress</t>
  </si>
  <si>
    <t>PropertyCity</t>
  </si>
  <si>
    <t>PropertyState</t>
  </si>
  <si>
    <t>PropertyZipCode</t>
  </si>
  <si>
    <t>CheckingAccountBank</t>
  </si>
  <si>
    <t>Customer's bank for auto-debit</t>
  </si>
  <si>
    <t>CheckingAccountNumber</t>
  </si>
  <si>
    <t>Customer's checking account number for auto-debit</t>
  </si>
  <si>
    <t>CreditCardType</t>
  </si>
  <si>
    <t>Visa</t>
  </si>
  <si>
    <t>Customer's credit card type, in the event of auto-debit failure</t>
  </si>
  <si>
    <t>CreditCardNumber</t>
  </si>
  <si>
    <t>Customer's credit card number</t>
  </si>
  <si>
    <t>CreditCardExpiry</t>
  </si>
  <si>
    <t>CreditCardSecurityCode</t>
  </si>
  <si>
    <t>Customer's credit card security code</t>
  </si>
  <si>
    <t>TermYears</t>
  </si>
  <si>
    <t>GuaranteedProductionYear1</t>
  </si>
  <si>
    <t>Guaranteed production of system in first year (kWh)</t>
  </si>
  <si>
    <t>InitialPaymentMXN</t>
  </si>
  <si>
    <t>MonthlyPaymentYear1</t>
  </si>
  <si>
    <t>FinanceEscalator</t>
  </si>
  <si>
    <t>Customer (if Individual)</t>
  </si>
  <si>
    <t>Ind_Nationality</t>
  </si>
  <si>
    <t>Nationality</t>
  </si>
  <si>
    <t>Ind_IdNo</t>
  </si>
  <si>
    <t>Government identification number</t>
  </si>
  <si>
    <t>Customer (if Company)</t>
  </si>
  <si>
    <t>Co_DeedNo</t>
  </si>
  <si>
    <t>Public deed number</t>
  </si>
  <si>
    <t>Co_DeedDated</t>
  </si>
  <si>
    <t>Co_DeedNotaryNo</t>
  </si>
  <si>
    <t>Notary number, before which public deed was granted</t>
  </si>
  <si>
    <t>Co_DeedNotaryLoc</t>
  </si>
  <si>
    <t>Notary location</t>
  </si>
  <si>
    <t>Co_DeedNotaryName</t>
  </si>
  <si>
    <t>Notary name</t>
  </si>
  <si>
    <t>Co_DeedRegistryLoc</t>
  </si>
  <si>
    <t>Co_DeedFolioNo</t>
  </si>
  <si>
    <t>Notary Commercial Folio number</t>
  </si>
  <si>
    <t>Co_Rep</t>
  </si>
  <si>
    <t>Full name of individual representative of Company</t>
  </si>
  <si>
    <t>Co_Rep_DeedNo</t>
  </si>
  <si>
    <t>Public deed number, which grants individual representative power of attorney</t>
  </si>
  <si>
    <t>Co_Rep_DeedDated</t>
  </si>
  <si>
    <t>Co_Rep_DeedNotaryNo</t>
  </si>
  <si>
    <t>Notary number, before which public deed was granted (for Representative)</t>
  </si>
  <si>
    <t>Co_Rep_DeedNotaryLoc</t>
  </si>
  <si>
    <t>Notary location (for Representative)</t>
  </si>
  <si>
    <t>Co_Rep_DeedNotaryName</t>
  </si>
  <si>
    <t>Notary name (for Representative)</t>
  </si>
  <si>
    <t>Co_Rep_DeedRegistryLoc</t>
  </si>
  <si>
    <t>Co_Rep_DeedFolioNo</t>
  </si>
  <si>
    <t>Notary Commercial Folio number (for Representative)</t>
  </si>
  <si>
    <t>Joint Obligor</t>
  </si>
  <si>
    <t>JointObligor</t>
  </si>
  <si>
    <t>Joint Obligor's first &amp; last names (if Individual) or full company name (if Company)</t>
  </si>
  <si>
    <t>JointObligorEmail</t>
  </si>
  <si>
    <t>Joint Obligor's email address</t>
  </si>
  <si>
    <t>Joint Obligor (if Individual)</t>
  </si>
  <si>
    <t>JO_Ind_Nationality</t>
  </si>
  <si>
    <t>JO_Ind_IdNo</t>
  </si>
  <si>
    <t>Joint Obligor (if Company)</t>
  </si>
  <si>
    <t>JO_Co_DeedNo</t>
  </si>
  <si>
    <t>JO_Co_DeedDated</t>
  </si>
  <si>
    <t>JO_Co_DeedNotaryNo</t>
  </si>
  <si>
    <t>JO_Co_DeedNotaryLoc</t>
  </si>
  <si>
    <t>JO_Co_DeedNotaryName</t>
  </si>
  <si>
    <t>JO_Co_DeedRegistryLoc</t>
  </si>
  <si>
    <t>JO_Co_DeedFolioNo</t>
  </si>
  <si>
    <t>JO_Co_Rep_DeedNo</t>
  </si>
  <si>
    <t>JO_Co_Rep_DeedDated</t>
  </si>
  <si>
    <t>JO_Co_Rep_DeedNotaryNo</t>
  </si>
  <si>
    <t>JO_Co_Rep_DeedNotaryLoc</t>
  </si>
  <si>
    <t>JO_Co_Rep_DeedNotaryName</t>
  </si>
  <si>
    <t>Checking Account Number</t>
  </si>
  <si>
    <t>Checking Account Bank</t>
  </si>
  <si>
    <t>Credit Card Type</t>
  </si>
  <si>
    <t>Credit Card Number</t>
  </si>
  <si>
    <t>Credit Card Expiry</t>
  </si>
  <si>
    <t>Credit Card Security Code</t>
  </si>
  <si>
    <t>Term Years</t>
  </si>
  <si>
    <t>Guaranteed Production (Year 1)</t>
  </si>
  <si>
    <t>SavingsRateYear1</t>
  </si>
  <si>
    <t>Monthly Payment (Year 1)</t>
  </si>
  <si>
    <t>Savings rate in first year (estimated)</t>
  </si>
  <si>
    <t>Annual Increase</t>
  </si>
  <si>
    <t>Company (if applicable)</t>
  </si>
  <si>
    <t>Individual's Nationality</t>
  </si>
  <si>
    <t>Company Deed Number</t>
  </si>
  <si>
    <t>Company Deed Dated</t>
  </si>
  <si>
    <t>Company Rep</t>
  </si>
  <si>
    <t>Company Deed Notary Location</t>
  </si>
  <si>
    <t>Company Deed Notary Name</t>
  </si>
  <si>
    <t>Company Deed Notary Registry Location</t>
  </si>
  <si>
    <t>Company Deed Notary Folio Number</t>
  </si>
  <si>
    <t>Company Deed Notary Number</t>
  </si>
  <si>
    <t>Joint Obligor Email</t>
  </si>
  <si>
    <t>Joint Obligor's Nationality</t>
  </si>
  <si>
    <t>JO_Co_Rep</t>
  </si>
  <si>
    <t>Joint Obligor Company Rep</t>
  </si>
  <si>
    <t>Joint Obligor Company Deed Number</t>
  </si>
  <si>
    <t>Joint Obligor Company Deed Dated</t>
  </si>
  <si>
    <t>Joint Obligor Company Deed Notary Number</t>
  </si>
  <si>
    <t>Joint Obligor Company Deed Notary Location</t>
  </si>
  <si>
    <t>Joint Obligor Company Deed Notary Name</t>
  </si>
  <si>
    <t>Joint Obligor Company Deed Notary Registry Location</t>
  </si>
  <si>
    <t>Joint Obligor Company Deed Notary Folio Number</t>
  </si>
  <si>
    <t>Mnemonic</t>
  </si>
  <si>
    <t>To be completed after Customer agrees to Proposal, before sending this file to MySOL.  Cells filled in Grey or Blue should be completed.</t>
  </si>
  <si>
    <t>Plan MySOL</t>
  </si>
  <si>
    <t>MySOL Plan Summary</t>
  </si>
  <si>
    <t>MySOL SUMMARY</t>
  </si>
  <si>
    <t>MySOL BENEFITS</t>
  </si>
  <si>
    <t>Customize Your MySOL Plan</t>
  </si>
  <si>
    <t>Before MySOL</t>
  </si>
  <si>
    <t>After MySOL</t>
  </si>
  <si>
    <t>MySOL Bill</t>
  </si>
  <si>
    <t>MySOL Bill (PreTax)</t>
  </si>
  <si>
    <t>MySOL IVA</t>
  </si>
  <si>
    <t>CFE + MySOL Bill</t>
  </si>
  <si>
    <t>CFE + MySOL</t>
  </si>
  <si>
    <t>MySOL</t>
  </si>
  <si>
    <t>Recibo CFE + MySOL</t>
  </si>
  <si>
    <t>MySOL Margin</t>
  </si>
  <si>
    <t>Pre-IVA Cost from MySOL</t>
  </si>
  <si>
    <t>IVA to MySOL</t>
  </si>
  <si>
    <t>Total Cost from MySOL</t>
  </si>
  <si>
    <t>SolCity MX Price (rec'd from MySOL/Fund)</t>
  </si>
  <si>
    <t>MySOL Equity</t>
  </si>
  <si>
    <t>MySOL % of Initial Customer Payment</t>
  </si>
  <si>
    <t>MySOL/SolCity MX Net</t>
  </si>
  <si>
    <t>MySOL Retained Equity</t>
  </si>
  <si>
    <t>MySOL % of Initial Payment by Customer</t>
  </si>
  <si>
    <t>Depreciation Based on MySOL % Equity</t>
  </si>
  <si>
    <t>MySOL Operating Revenue (rec'd from Fund)</t>
  </si>
  <si>
    <t>MySOL Operating Cost (Expected)</t>
  </si>
  <si>
    <t>RESUMEN MySOL</t>
  </si>
  <si>
    <t xml:space="preserve">BENEFICIOS MySOL </t>
  </si>
  <si>
    <t>Personaliza tu Plan MySOL</t>
  </si>
  <si>
    <t>Ahora con MySOL</t>
  </si>
  <si>
    <t>Recibo MySOL</t>
  </si>
  <si>
    <t>Suscripcion MySOL</t>
  </si>
  <si>
    <t>MySOL Subscription</t>
  </si>
  <si>
    <t>MySOL Total Rate (MXN/kWh)</t>
  </si>
  <si>
    <t>MySOL Total Bill (Year1)</t>
  </si>
  <si>
    <t>MySOL Pre-EqInv Margin (MXN)</t>
  </si>
  <si>
    <t>MySOL Pre-EqInv Margin (%)</t>
  </si>
  <si>
    <t>MySOL Post-EqInv Margin (MXN)</t>
  </si>
  <si>
    <t>MySOL Post-EqInv Margin (%)</t>
  </si>
  <si>
    <t>Equity Retained by MySOL %</t>
  </si>
  <si>
    <t>Equity Ownership (MySOL)</t>
  </si>
  <si>
    <t>MySOL Operating Costs Expected</t>
  </si>
  <si>
    <t>Proposal Chart Labels</t>
  </si>
  <si>
    <t>Monthly payments to MySOL during the first year of term</t>
  </si>
  <si>
    <t>Customer initial payment</t>
  </si>
  <si>
    <t>Customer's street address (should match CFE bill)</t>
  </si>
  <si>
    <t>Customer's city (should match CFE bill)</t>
  </si>
  <si>
    <t>Customer's state (should match CFE bill)</t>
  </si>
  <si>
    <t>Customer's zip code (should match CFE bill)</t>
  </si>
  <si>
    <t>Term length (Years)</t>
  </si>
  <si>
    <t>Annual increase in monthly payment amount to MySOL</t>
  </si>
  <si>
    <t>MySOL Markup</t>
  </si>
  <si>
    <t>Monthly Payments to MySOL</t>
  </si>
  <si>
    <t>MySOL saves you money on your utility bill</t>
  </si>
  <si>
    <t>Pagos Mensuales a MySOL</t>
  </si>
  <si>
    <t>Con MySOL ahorras en tu recibo de luz</t>
  </si>
  <si>
    <t>Public Registry location</t>
  </si>
  <si>
    <t>Public Registry location (for Representative)</t>
  </si>
  <si>
    <t>Company Rep Deed Number</t>
  </si>
  <si>
    <t>Company Rep Deed Dated</t>
  </si>
  <si>
    <t>Company Rep Deed Notary Number</t>
  </si>
  <si>
    <t>Company Rep Deed Notary Location</t>
  </si>
  <si>
    <t>Company Rep Deed Notary Name</t>
  </si>
  <si>
    <t>Company Rep Deed Notary Registry Location</t>
  </si>
  <si>
    <t>Company Rep Deed Notary Folio Number</t>
  </si>
  <si>
    <t>Joint Obligor Company Rep Deed Number</t>
  </si>
  <si>
    <t>Joint Obligor Company Rep Deed Dated</t>
  </si>
  <si>
    <t>Joint Obligor Company Rep Deed Notary Number</t>
  </si>
  <si>
    <t>Joint Obligor Company Rep Deed Notary Location</t>
  </si>
  <si>
    <t>Joint Obligor Company Rep Deed Notary Name</t>
  </si>
  <si>
    <t>Customer's credit card expiration (mm/yyyy)</t>
  </si>
  <si>
    <t>Public deed dated (dd/mm/yyyy)</t>
  </si>
  <si>
    <t>Public deed dated, which grants individual representative power of attorney (dd/mm/yyyy)</t>
  </si>
  <si>
    <t>Deed Number</t>
  </si>
  <si>
    <t>Deed Dated</t>
  </si>
  <si>
    <t>Deed Notary Number</t>
  </si>
  <si>
    <t>Deed Notary Location</t>
  </si>
  <si>
    <t>Deed Notary Name</t>
  </si>
  <si>
    <t>Deed Notary Registry Location</t>
  </si>
  <si>
    <t>Deed Notary Folio Number</t>
  </si>
  <si>
    <t>Representative Deed Number</t>
  </si>
  <si>
    <t>Representative Deed Dated</t>
  </si>
  <si>
    <t>Representative Deed Notary Number</t>
  </si>
  <si>
    <t>Representative Deed Notary Location</t>
  </si>
  <si>
    <t>Representative Deed Notary Name</t>
  </si>
  <si>
    <t>Representative Deed Notary Folio Number</t>
  </si>
  <si>
    <t>Representative</t>
  </si>
  <si>
    <t>Joint Obligor's Identification Number</t>
  </si>
  <si>
    <t>Identification Number</t>
  </si>
  <si>
    <t>Representative Deed Notary Public Registry</t>
  </si>
  <si>
    <t>Questionnaire for Additional Information</t>
  </si>
  <si>
    <t>If Customer is Company:</t>
  </si>
  <si>
    <t>If Customer is Individual:</t>
  </si>
  <si>
    <t>If there is a Joint Obligor</t>
  </si>
  <si>
    <t>If Joint Obligor is Individual:</t>
  </si>
  <si>
    <t>If Joint Obligor is Company:</t>
  </si>
  <si>
    <t>Cuestionario para información adicional</t>
  </si>
  <si>
    <t>Telefono</t>
  </si>
  <si>
    <t>Cliente (Persona Fisica)</t>
  </si>
  <si>
    <t>Direccion de Correo</t>
  </si>
  <si>
    <t>Nacionalidad</t>
  </si>
  <si>
    <t>Número de Identificación</t>
  </si>
  <si>
    <t>Numero de Escritura</t>
  </si>
  <si>
    <t>Fecha de Escritura</t>
  </si>
  <si>
    <t>Numero de Notaria</t>
  </si>
  <si>
    <t>Localidad de la Notaria</t>
  </si>
  <si>
    <t>Nombre del Notario</t>
  </si>
  <si>
    <t>Localidad de Registro Publico</t>
  </si>
  <si>
    <t>Folio de Registro Publico</t>
  </si>
  <si>
    <t>Representante Legal</t>
  </si>
  <si>
    <t>Numero de Escritua de Poderes del Representante Legal</t>
  </si>
  <si>
    <t>Numero de Notaria de Escritura de Poderes</t>
  </si>
  <si>
    <t>Localidad de Registro Publico de Escritura de Poderes</t>
  </si>
  <si>
    <t>Nombre de Notario en Escritura de Poderes</t>
  </si>
  <si>
    <t>Obligado Solidario</t>
  </si>
  <si>
    <t>Si Hay un Obligado Solidario</t>
  </si>
  <si>
    <t>Cliente (Persona Moral)</t>
  </si>
  <si>
    <t>Obligado Solidario (Persona Fisica)</t>
  </si>
  <si>
    <t>Obligado Solidario (Persona Moral)</t>
  </si>
  <si>
    <t>Fecha de Escritura de Poderes del Representante Legal</t>
  </si>
  <si>
    <t>Localidad de la Notaria en Escritura de Poderes</t>
  </si>
  <si>
    <t>Folio de Registro Publico de Escritura de Poderes</t>
  </si>
  <si>
    <t>Telephone</t>
  </si>
  <si>
    <t>Email</t>
  </si>
  <si>
    <t>Individual's Identification Number</t>
  </si>
  <si>
    <t>Jul.</t>
  </si>
  <si>
    <t>Monitoreo Remoto 24 horas al dia</t>
  </si>
  <si>
    <t>Monitoreamos el sistema los 365 dias del año por 15 años</t>
  </si>
  <si>
    <t>RATE</t>
  </si>
  <si>
    <t>Tarifa 1</t>
  </si>
  <si>
    <t>LIMIT(kWh/month)</t>
  </si>
  <si>
    <t>LIMIT(kWh/year)</t>
  </si>
  <si>
    <t>Tarifa 1 Limits</t>
  </si>
  <si>
    <t>TSM-PD14 330</t>
  </si>
  <si>
    <t>CSK-P 275Wp</t>
  </si>
  <si>
    <t>GCL P6/270</t>
  </si>
  <si>
    <t>GCL P6/320</t>
  </si>
  <si>
    <t>JKM270PP</t>
  </si>
  <si>
    <t>JKM320PP</t>
  </si>
  <si>
    <t>JKM325PP</t>
  </si>
  <si>
    <t>Container 40' DDP</t>
  </si>
  <si>
    <t>TSM-PA08A 275</t>
  </si>
  <si>
    <t>TSM-DD05A.08(II) 285</t>
  </si>
  <si>
    <t>TSM-DD14A(II) 340</t>
  </si>
  <si>
    <t>PTC/STC</t>
  </si>
  <si>
    <t>Cell</t>
  </si>
  <si>
    <t>Poly</t>
  </si>
  <si>
    <t>Mono</t>
  </si>
  <si>
    <t>Choose Variable</t>
  </si>
  <si>
    <t>Components (MXN/W)</t>
  </si>
  <si>
    <t>MySOL Equity FCF (before Op)</t>
  </si>
  <si>
    <t>MySOL Equity FCF (after Op)</t>
  </si>
  <si>
    <t>MySOL Equity ROI (after Op)</t>
  </si>
  <si>
    <t>MySOL Equity ROI (before Op)</t>
  </si>
  <si>
    <t>Fund ROI</t>
  </si>
  <si>
    <t>after EGuage</t>
  </si>
  <si>
    <t>Trina Solar_TSM-PD14 330</t>
  </si>
  <si>
    <t>Buyout Price - Savings</t>
  </si>
  <si>
    <t>EGuage Paid Upfront</t>
  </si>
  <si>
    <t>O&amp;M Paid Upfront</t>
  </si>
  <si>
    <t>O&amp;M Remainder to add to Final Payment</t>
  </si>
  <si>
    <t>Solar Provider Partner (SPP)</t>
  </si>
  <si>
    <t>Price to SPP with IVA (MXN/W)</t>
  </si>
  <si>
    <t>if Initial Payment &gt; 0, then funds go first to Eguage</t>
  </si>
  <si>
    <t>if Initial Payment insufficient then remainder covered in equal monthly payments during Year 2</t>
  </si>
  <si>
    <t>EGuage Remainder to add to Year 2</t>
  </si>
  <si>
    <t>EGuage Pymt (Customer to MySOL in Yr2, if need)</t>
  </si>
  <si>
    <t>this is the net amount that gets distributed to equity investors commensurate with their % ownership</t>
  </si>
  <si>
    <t>if Initial Payment insufficient then remainder added to Final Payment</t>
  </si>
  <si>
    <t>if Lease Term is less than 15 years, then Customer pays upfront (if funds available), otherwise at end of Term</t>
  </si>
  <si>
    <t>Customer Initial Payment (Gross)</t>
  </si>
  <si>
    <t>Customer Initial Payment (Net to Fund)</t>
  </si>
  <si>
    <t>SPP Markup</t>
  </si>
  <si>
    <t>SPP Sales Comm (Markup)</t>
  </si>
  <si>
    <t>Tigo_TS4-D</t>
  </si>
  <si>
    <t>Final Payment @ Term End (MXN)</t>
  </si>
  <si>
    <t>PV Panel Default</t>
  </si>
  <si>
    <t>Ags.</t>
  </si>
  <si>
    <t>Aguascalientes</t>
  </si>
  <si>
    <t>B.C.</t>
  </si>
  <si>
    <t>Baja California</t>
  </si>
  <si>
    <t>B.C.S.</t>
  </si>
  <si>
    <t>Baja California Sur</t>
  </si>
  <si>
    <t>Camp.</t>
  </si>
  <si>
    <t>Campeche</t>
  </si>
  <si>
    <t>Chis.</t>
  </si>
  <si>
    <t>Chiapas</t>
  </si>
  <si>
    <t>Chih.</t>
  </si>
  <si>
    <t>Chihuahua</t>
  </si>
  <si>
    <t>Coah.</t>
  </si>
  <si>
    <t>Coahuila</t>
  </si>
  <si>
    <t>Col.</t>
  </si>
  <si>
    <t>Colima</t>
  </si>
  <si>
    <t>CDMX</t>
  </si>
  <si>
    <t>Mexico City</t>
  </si>
  <si>
    <t>Dgo.</t>
  </si>
  <si>
    <t>Durango</t>
  </si>
  <si>
    <t>Gto.</t>
  </si>
  <si>
    <t>Guanajuato</t>
  </si>
  <si>
    <t>Gro.</t>
  </si>
  <si>
    <t>Guerrero</t>
  </si>
  <si>
    <t>Hgo.</t>
  </si>
  <si>
    <t>Hidalgo</t>
  </si>
  <si>
    <t>Jal.</t>
  </si>
  <si>
    <t>Jalisco</t>
  </si>
  <si>
    <t>Edomex.</t>
  </si>
  <si>
    <t>México</t>
  </si>
  <si>
    <t>Mich.</t>
  </si>
  <si>
    <t>Michoacán</t>
  </si>
  <si>
    <t>Mor.</t>
  </si>
  <si>
    <t>Morelos</t>
  </si>
  <si>
    <t>Nay.</t>
  </si>
  <si>
    <t>Nayarit</t>
  </si>
  <si>
    <t>N.L.</t>
  </si>
  <si>
    <t>Nuevo León</t>
  </si>
  <si>
    <t>Oax.</t>
  </si>
  <si>
    <t>Oaxaca</t>
  </si>
  <si>
    <t>Pue.</t>
  </si>
  <si>
    <t>Puebla</t>
  </si>
  <si>
    <t>Qro.</t>
  </si>
  <si>
    <t>Querétaro</t>
  </si>
  <si>
    <t>Q.R.</t>
  </si>
  <si>
    <t>Quintana Roo</t>
  </si>
  <si>
    <t>S.L.P.</t>
  </si>
  <si>
    <t>San Luis Potosí</t>
  </si>
  <si>
    <t>Sin.</t>
  </si>
  <si>
    <t>Sinaloa</t>
  </si>
  <si>
    <t>Son.</t>
  </si>
  <si>
    <t>Sonora</t>
  </si>
  <si>
    <t>Tab.</t>
  </si>
  <si>
    <t>Tabasco</t>
  </si>
  <si>
    <t>Tamps.</t>
  </si>
  <si>
    <t>Tamaulipas</t>
  </si>
  <si>
    <t>Tlax.</t>
  </si>
  <si>
    <t>Tlaxcala</t>
  </si>
  <si>
    <t>Ver.</t>
  </si>
  <si>
    <t>Veracruz</t>
  </si>
  <si>
    <t>Yuc.</t>
  </si>
  <si>
    <t>Yucatán</t>
  </si>
  <si>
    <t>Zac.</t>
  </si>
  <si>
    <t>Zacatecas</t>
  </si>
  <si>
    <t>Abbreviation</t>
  </si>
  <si>
    <t>TIGO_CCA-PS-INT</t>
  </si>
  <si>
    <t>APS</t>
  </si>
  <si>
    <t>Micro Inversor APS YC500 Dual</t>
  </si>
  <si>
    <t>M250</t>
  </si>
  <si>
    <t>ABB</t>
  </si>
  <si>
    <t>UNO-2.0-I-OUTD-S-US</t>
  </si>
  <si>
    <t>UNO-2.5-I-OUTD-S-US</t>
  </si>
  <si>
    <t>PVI-3.0-OUTD-S-US</t>
  </si>
  <si>
    <t>PVI-3.6-OUTD-S-US</t>
  </si>
  <si>
    <t>PVI-3.8-OUTD-S-US</t>
  </si>
  <si>
    <t>PVI-4.2-OUTD-S-US</t>
  </si>
  <si>
    <t>PVI-5000-OUTD-S-US</t>
  </si>
  <si>
    <t>PVI-6000-OUTD-S-US</t>
  </si>
  <si>
    <t>Fronius</t>
  </si>
  <si>
    <t>Galvo 1.5</t>
  </si>
  <si>
    <t>Galvo 2.0</t>
  </si>
  <si>
    <t>Galvo 2.5</t>
  </si>
  <si>
    <t>Galvo 3.1</t>
  </si>
  <si>
    <t xml:space="preserve">Primo 3.8-1 </t>
  </si>
  <si>
    <t>Primo 5.0-1</t>
  </si>
  <si>
    <t>Primo 6.0-1</t>
  </si>
  <si>
    <t>Primo 7.6-1</t>
  </si>
  <si>
    <t>Primo 8.2-1</t>
  </si>
  <si>
    <t>Primo 10.0-1</t>
  </si>
  <si>
    <t>Primo 11.4-1</t>
  </si>
  <si>
    <t>Primo 12.5-1</t>
  </si>
  <si>
    <t>Primo 15.0-1</t>
  </si>
  <si>
    <t>Ingeteam</t>
  </si>
  <si>
    <t>Inge 1Play 2.5TLM-DCSW</t>
  </si>
  <si>
    <t>Inge 1Play 3TLM-DCSW</t>
  </si>
  <si>
    <t>Inge 1Play 3.3TLM-DCSW</t>
  </si>
  <si>
    <t>Inge 1Play 3.68 TLM-DCSW</t>
  </si>
  <si>
    <t>Inge 1Play 4.6TLM-DCSW</t>
  </si>
  <si>
    <t>Inge 1Play 5TLM-DCSW</t>
  </si>
  <si>
    <t>Inge 1Play 6TLM-DCSW</t>
  </si>
  <si>
    <t>KACO</t>
  </si>
  <si>
    <t>blueplanet 2.0 TL1 M2 WM OD US33</t>
  </si>
  <si>
    <t>blueplanet 3.0 TL1 M2 WM OD US33</t>
  </si>
  <si>
    <t>blueplanet 4.0 TL1 M2 WM OD US33</t>
  </si>
  <si>
    <t>blueplanet 5.0 TL1 M2 WM OD US33</t>
  </si>
  <si>
    <t>SMA</t>
  </si>
  <si>
    <t>Sunny Boy SB1.5</t>
  </si>
  <si>
    <t>Sunny Boy SB2.5</t>
  </si>
  <si>
    <t>SB3.0-1SP-US-40</t>
  </si>
  <si>
    <t>SB3.8-1SP-US-40</t>
  </si>
  <si>
    <t>SB5.0-1SP-US-40</t>
  </si>
  <si>
    <t>SB6.0-1SP-US-40</t>
  </si>
  <si>
    <t>SB7.0-1SP-US-40</t>
  </si>
  <si>
    <t>PVI-10.0-OUTD-S1-US 480-NG</t>
  </si>
  <si>
    <t>TRIO-20.0-TL-OUTD-S-US 480</t>
  </si>
  <si>
    <t>TRIO-27.6-TL-OUTD-S-US 480</t>
  </si>
  <si>
    <t>Symo 10.0-3 480v</t>
  </si>
  <si>
    <t>Symo 12.5-3 480v</t>
  </si>
  <si>
    <t>Symo 15.0-3 480v</t>
  </si>
  <si>
    <t>Symo 17.5-3 480v</t>
  </si>
  <si>
    <t>Symo 20.0-3 480v</t>
  </si>
  <si>
    <t>Symo 22.7-3 480v</t>
  </si>
  <si>
    <t>Symo 24.0-3 480v</t>
  </si>
  <si>
    <t>Sun 15 TL M (S)</t>
  </si>
  <si>
    <t>Sun 15 TL M (P+)</t>
  </si>
  <si>
    <t>Sun 20 TL M (S)</t>
  </si>
  <si>
    <t>Sun 20 TL M (P+)</t>
  </si>
  <si>
    <t>Sun 24 TL M (P+)</t>
  </si>
  <si>
    <t>Sun 33 TL M (P+)</t>
  </si>
  <si>
    <t>Sun 40 TL M (P+)</t>
  </si>
  <si>
    <t>Powador 48.0 TL3 M</t>
  </si>
  <si>
    <t>Powador 48.0 TL3 SPD 1+2</t>
  </si>
  <si>
    <t xml:space="preserve">blueplanet 50.0 TL3 XL </t>
  </si>
  <si>
    <t>STP 12000TL-US-10</t>
  </si>
  <si>
    <t>STP 15000TL-US-10</t>
  </si>
  <si>
    <t>STP 20000TL-US-10</t>
  </si>
  <si>
    <t>STP 30000TL-US-10</t>
  </si>
  <si>
    <t>208-240v</t>
  </si>
  <si>
    <t>208 - 240v</t>
  </si>
  <si>
    <t>208/220/240v</t>
  </si>
  <si>
    <t>480v</t>
  </si>
  <si>
    <t>STP 50000TL-US-10</t>
  </si>
  <si>
    <t>Exel Solar</t>
  </si>
  <si>
    <t>Dos paneles por Micro-Inversor</t>
  </si>
  <si>
    <t>1 MPPT, NEMA 4X, Con transformador HF, Interruptor DC</t>
  </si>
  <si>
    <t>2 MPPT, NEMA 4X</t>
  </si>
  <si>
    <t>3 MPPT, NEMA 4X, Interruptor DC</t>
  </si>
  <si>
    <t>4 MPPT, NEMA 4X, Interruptor DC</t>
  </si>
  <si>
    <t>5 MPPT, NEMA 4X, Interruptor DC</t>
  </si>
  <si>
    <t>6 MPPT, NEMA 4X, Interruptor DC</t>
  </si>
  <si>
    <t>7 MPPT, NEMA 4X, Interruptor DC</t>
  </si>
  <si>
    <t>8 MPPT, NEMA 4X, Interruptor DC</t>
  </si>
  <si>
    <t>Comunicación Wifi integrado + Interruptor DC + AFCI</t>
  </si>
  <si>
    <t>Interruptor DC AC integrado</t>
  </si>
  <si>
    <t>Rapid Shutdown</t>
  </si>
  <si>
    <t>MPPT, DC breaker, fuses, transformer</t>
  </si>
  <si>
    <t>MPPT, NEMA4X, DC breaker</t>
  </si>
  <si>
    <t>STD version: double MPPT, terminal block input, DC switch.</t>
  </si>
  <si>
    <t>PRO version: 2 DC connect option, DC fuses, switch &amp; surge arresters.</t>
  </si>
  <si>
    <t>Inverter only. No added protection</t>
  </si>
  <si>
    <t xml:space="preserve">DC fuses, voltage supressor </t>
  </si>
  <si>
    <t>incl. Webconnect</t>
  </si>
  <si>
    <t>ECU-MX-YC500</t>
  </si>
  <si>
    <t>PV Panel Ratio</t>
  </si>
  <si>
    <t>John's cash flow page</t>
  </si>
  <si>
    <t>Initial &amp; Final Payment</t>
  </si>
  <si>
    <t>Add IRR</t>
  </si>
  <si>
    <t>Savings vs CFE</t>
  </si>
  <si>
    <t xml:space="preserve">After MySOL               </t>
  </si>
  <si>
    <t>Antes</t>
  </si>
  <si>
    <t xml:space="preserve">Pago Inicial y Pago Final </t>
  </si>
  <si>
    <t>TIGO_GTWY-WCOMM</t>
  </si>
  <si>
    <t>KACO_blueplanet 5.0 TL1 M2 WM OD US33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</si>
</sst>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[$$-409]#,##0.00;[Red]\-[$$-409]#,##0.00"/>
    <numFmt numFmtId="166" formatCode="_(\$* #,##0.00_);_(\$* \(#,##0.00\);_(\$* \-??_);_(@_)"/>
    <numFmt numFmtId="167" formatCode="[$$-409]#,##0;[Red]\-[$$-409]#,##0"/>
    <numFmt numFmtId="168" formatCode="0.0"/>
    <numFmt numFmtId="169" formatCode="_(\$* #,##0_);_(\$* \(#,##0\);_(\$* \-??_);_(@_)"/>
    <numFmt numFmtId="170" formatCode="_-* #,##0.00_-;\-* #,##0.00_-;_-* \-??_-;_-@_-"/>
    <numFmt numFmtId="171" formatCode="_-* #,##0_-;\-* #,##0_-;_-* \-??_-;_-@_-"/>
    <numFmt numFmtId="172" formatCode="\$#,##0"/>
    <numFmt numFmtId="173" formatCode="\$#,##0_);&quot;($&quot;#,##0\);&quot;-- &quot;"/>
    <numFmt numFmtId="174" formatCode="\$#,##0_);&quot;($&quot;#,##0\)"/>
    <numFmt numFmtId="175" formatCode="\$#,##0.0_);&quot;($&quot;#,##0.0\);&quot;-- &quot;"/>
    <numFmt numFmtId="176" formatCode="mm/dd/yy"/>
    <numFmt numFmtId="177" formatCode="_(* #,##0_);_(* \(#,##0\);_(* &quot;-&quot;??_);_(@_)"/>
    <numFmt numFmtId="178" formatCode="_(* #,##0.00_);[Red]_(* \-#,##0.00_);_(* &quot;-&quot;??_);_(@_)"/>
    <numFmt numFmtId="179" formatCode="_(* #,##0_);[Red]_(* \-#,##0_);_(* &quot;-&quot;??_);_(@_)"/>
    <numFmt numFmtId="180" formatCode="_(* #,##0.0000_);[Red]_(* \-#,##0.0000_);_(* &quot;-&quot;??_);_(@_)"/>
    <numFmt numFmtId="181" formatCode="[$$-409]#,##0.00;[Red][$$-409]#,##0.00"/>
    <numFmt numFmtId="182" formatCode="_(* #,##0_);[Red]_(* \-#,##0_);_(* &quot;-&quot;_);_(@_)"/>
    <numFmt numFmtId="183" formatCode="_(&quot;$&quot;* #,##0.0000_);_(&quot;$&quot;* \(#,##0.0000\);_(&quot;$&quot;* &quot;-&quot;????_);_(@_)"/>
    <numFmt numFmtId="184" formatCode="_(\$* #,##0_);_(\$* \(#,##0\);_(\$* \-_);_(@_)"/>
    <numFmt numFmtId="185" formatCode="#,##0.0;[Red]\-#,##0.0"/>
    <numFmt numFmtId="186" formatCode="dd/mm/yyyy;@"/>
    <numFmt numFmtId="187" formatCode="_(\$* #,##0.0000_);_(\$* \(#,##0.0000\);_(\$* \-??_);_(@_)"/>
    <numFmt numFmtId="188" formatCode="[$$-409]#,##0_);\([$$-409]#,##0\)"/>
  </numFmts>
  <fonts count="48" x14ac:knownFonts="1">
    <font>
      <sz val="10"/>
      <name val="Arial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sz val="12"/>
      <color indexed="8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6"/>
      <name val="Arial"/>
      <family val="2"/>
    </font>
    <font>
      <b/>
      <sz val="13"/>
      <color indexed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7.5"/>
      <color indexed="63"/>
      <name val="TradeGothicLTStd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color indexed="9"/>
      <name val="Arial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indexed="8"/>
      <name val="Verdana"/>
      <family val="2"/>
    </font>
    <font>
      <sz val="8"/>
      <color indexed="8"/>
      <name val="Verdana"/>
      <family val="2"/>
    </font>
    <font>
      <vertAlign val="superscript"/>
      <sz val="8"/>
      <name val="Verdana"/>
      <family val="2"/>
    </font>
    <font>
      <sz val="8"/>
      <color rgb="FF0000FF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8"/>
      <color theme="10"/>
      <name val="Verdana"/>
      <family val="2"/>
    </font>
    <font>
      <b/>
      <sz val="10"/>
      <color rgb="FF000000"/>
      <name val="Arial"/>
      <family val="2"/>
    </font>
    <font>
      <b/>
      <u/>
      <sz val="10"/>
      <name val="Arial"/>
      <family val="2"/>
    </font>
    <font>
      <sz val="10"/>
      <name val="Book Antiqua"/>
      <family val="1"/>
    </font>
    <font>
      <b/>
      <sz val="28"/>
      <name val="Arial Narrow"/>
      <family val="2"/>
    </font>
    <font>
      <sz val="8"/>
      <name val="Arial"/>
      <family val="2"/>
    </font>
    <font>
      <sz val="9"/>
      <name val="Arial"/>
      <family val="2"/>
    </font>
    <font>
      <b/>
      <sz val="8"/>
      <color rgb="FFFF0000"/>
      <name val="Verdana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sz val="8"/>
      <color rgb="FFC0C0C0"/>
      <name val="Verdana"/>
      <family val="2"/>
    </font>
    <font>
      <sz val="14"/>
      <name val="Arial"/>
      <family val="2"/>
    </font>
    <font>
      <b/>
      <sz val="11"/>
      <color indexed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7"/>
        <bgColor indexed="21"/>
      </patternFill>
    </fill>
    <fill>
      <patternFill patternType="solid">
        <fgColor indexed="42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hair">
        <color indexed="8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/>
      <top style="double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medium">
        <color rgb="FF0000FF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rgb="FF0000FF"/>
      </bottom>
      <diagonal/>
    </border>
    <border>
      <left/>
      <right/>
      <top style="medium">
        <color auto="1"/>
      </top>
      <bottom style="medium">
        <color rgb="FF0000FF"/>
      </bottom>
      <diagonal/>
    </border>
    <border>
      <left/>
      <right style="medium">
        <color auto="1"/>
      </right>
      <top style="medium">
        <color auto="1"/>
      </top>
      <bottom style="medium">
        <color rgb="FF0000FF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rgb="FF0000FF"/>
      </top>
      <bottom style="medium">
        <color rgb="FF0000FF"/>
      </bottom>
      <diagonal/>
    </border>
    <border>
      <left/>
      <right style="medium">
        <color auto="1"/>
      </right>
      <top style="medium">
        <color rgb="FF0000FF"/>
      </top>
      <bottom style="medium">
        <color rgb="FF0000FF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77">
    <xf numFmtId="0" fontId="0" fillId="0" borderId="0"/>
    <xf numFmtId="170" fontId="7" fillId="0" borderId="0"/>
    <xf numFmtId="166" fontId="9" fillId="0" borderId="0"/>
    <xf numFmtId="0" fontId="7" fillId="0" borderId="0"/>
    <xf numFmtId="0" fontId="9" fillId="0" borderId="0"/>
    <xf numFmtId="9" fontId="9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4" fillId="0" borderId="0"/>
    <xf numFmtId="0" fontId="7" fillId="0" borderId="0"/>
    <xf numFmtId="0" fontId="7" fillId="0" borderId="0"/>
    <xf numFmtId="0" fontId="22" fillId="0" borderId="0" applyNumberFormat="0" applyFill="0" applyBorder="0" applyAlignment="0" applyProtection="0"/>
    <xf numFmtId="0" fontId="6" fillId="0" borderId="0"/>
    <xf numFmtId="0" fontId="38" fillId="0" borderId="0"/>
    <xf numFmtId="0" fontId="5" fillId="0" borderId="0"/>
  </cellStyleXfs>
  <cellXfs count="645">
    <xf numFmtId="0" fontId="0" fillId="0" borderId="0" xfId="0"/>
    <xf numFmtId="0" fontId="7" fillId="0" borderId="0" xfId="3" applyFont="1"/>
    <xf numFmtId="0" fontId="8" fillId="0" borderId="0" xfId="3" applyFont="1"/>
    <xf numFmtId="0" fontId="7" fillId="0" borderId="0" xfId="3"/>
    <xf numFmtId="0" fontId="10" fillId="0" borderId="0" xfId="3" applyFont="1" applyFill="1"/>
    <xf numFmtId="0" fontId="11" fillId="0" borderId="0" xfId="3" applyFont="1"/>
    <xf numFmtId="0" fontId="12" fillId="0" borderId="0" xfId="3" applyFont="1"/>
    <xf numFmtId="0" fontId="13" fillId="0" borderId="0" xfId="3" applyFont="1"/>
    <xf numFmtId="0" fontId="15" fillId="0" borderId="0" xfId="3" applyFont="1"/>
    <xf numFmtId="2" fontId="7" fillId="0" borderId="0" xfId="3" applyNumberFormat="1" applyAlignment="1">
      <alignment horizontal="left"/>
    </xf>
    <xf numFmtId="0" fontId="17" fillId="0" borderId="0" xfId="3" applyFont="1" applyBorder="1" applyAlignment="1">
      <alignment vertical="center"/>
    </xf>
    <xf numFmtId="0" fontId="18" fillId="0" borderId="0" xfId="3" applyFont="1"/>
    <xf numFmtId="174" fontId="17" fillId="3" borderId="0" xfId="2" applyNumberFormat="1" applyFont="1" applyFill="1" applyBorder="1" applyAlignment="1" applyProtection="1">
      <alignment horizontal="left" vertical="center"/>
    </xf>
    <xf numFmtId="173" fontId="17" fillId="3" borderId="0" xfId="2" applyNumberFormat="1" applyFont="1" applyFill="1" applyBorder="1" applyAlignment="1" applyProtection="1">
      <alignment horizontal="left" vertical="center"/>
    </xf>
    <xf numFmtId="164" fontId="17" fillId="3" borderId="0" xfId="2" applyNumberFormat="1" applyFont="1" applyFill="1" applyBorder="1" applyAlignment="1" applyProtection="1">
      <alignment horizontal="left" vertical="center"/>
    </xf>
    <xf numFmtId="0" fontId="17" fillId="3" borderId="0" xfId="2" applyNumberFormat="1" applyFont="1" applyFill="1" applyBorder="1" applyAlignment="1" applyProtection="1">
      <alignment horizontal="left" vertical="center"/>
    </xf>
    <xf numFmtId="0" fontId="21" fillId="0" borderId="0" xfId="3" applyFont="1"/>
    <xf numFmtId="175" fontId="17" fillId="3" borderId="0" xfId="2" applyNumberFormat="1" applyFont="1" applyFill="1" applyBorder="1" applyAlignment="1" applyProtection="1">
      <alignment horizontal="left" vertical="center"/>
    </xf>
    <xf numFmtId="0" fontId="19" fillId="0" borderId="1" xfId="3" applyFont="1" applyBorder="1"/>
    <xf numFmtId="0" fontId="13" fillId="0" borderId="1" xfId="3" applyFont="1" applyBorder="1"/>
    <xf numFmtId="0" fontId="19" fillId="0" borderId="1" xfId="3" applyFont="1" applyBorder="1" applyAlignment="1">
      <alignment horizontal="right"/>
    </xf>
    <xf numFmtId="0" fontId="19" fillId="0" borderId="0" xfId="3" applyFont="1"/>
    <xf numFmtId="0" fontId="13" fillId="0" borderId="0" xfId="3" applyFont="1" applyAlignment="1">
      <alignment horizontal="left" indent="1"/>
    </xf>
    <xf numFmtId="167" fontId="19" fillId="0" borderId="0" xfId="3" applyNumberFormat="1" applyFont="1"/>
    <xf numFmtId="164" fontId="8" fillId="0" borderId="0" xfId="3" applyNumberFormat="1" applyFont="1"/>
    <xf numFmtId="9" fontId="20" fillId="0" borderId="0" xfId="5" applyNumberFormat="1" applyFont="1" applyAlignment="1">
      <alignment horizontal="left"/>
    </xf>
    <xf numFmtId="0" fontId="26" fillId="0" borderId="0" xfId="0" applyFont="1"/>
    <xf numFmtId="166" fontId="25" fillId="5" borderId="0" xfId="2" applyFont="1" applyFill="1" applyAlignment="1">
      <alignment horizontal="center"/>
    </xf>
    <xf numFmtId="0" fontId="25" fillId="5" borderId="0" xfId="0" applyFont="1" applyFill="1"/>
    <xf numFmtId="166" fontId="26" fillId="0" borderId="0" xfId="2" applyFont="1" applyAlignment="1">
      <alignment horizontal="center"/>
    </xf>
    <xf numFmtId="44" fontId="26" fillId="0" borderId="0" xfId="0" applyNumberFormat="1" applyFont="1"/>
    <xf numFmtId="0" fontId="27" fillId="5" borderId="0" xfId="0" applyFont="1" applyFill="1"/>
    <xf numFmtId="0" fontId="26" fillId="0" borderId="2" xfId="0" applyFont="1" applyBorder="1"/>
    <xf numFmtId="10" fontId="26" fillId="0" borderId="0" xfId="0" applyNumberFormat="1" applyFont="1"/>
    <xf numFmtId="0" fontId="28" fillId="0" borderId="0" xfId="4" applyFont="1" applyAlignment="1">
      <alignment horizontal="center" wrapText="1"/>
    </xf>
    <xf numFmtId="0" fontId="28" fillId="0" borderId="0" xfId="4" applyFont="1" applyAlignment="1">
      <alignment horizontal="center"/>
    </xf>
    <xf numFmtId="0" fontId="29" fillId="0" borderId="0" xfId="4" applyFont="1"/>
    <xf numFmtId="168" fontId="29" fillId="0" borderId="0" xfId="4" applyNumberFormat="1" applyFont="1" applyAlignment="1">
      <alignment horizontal="center"/>
    </xf>
    <xf numFmtId="0" fontId="26" fillId="0" borderId="0" xfId="3" applyFont="1"/>
    <xf numFmtId="0" fontId="29" fillId="0" borderId="0" xfId="4" applyFont="1" applyFill="1"/>
    <xf numFmtId="0" fontId="26" fillId="0" borderId="0" xfId="3" applyFont="1" applyAlignment="1">
      <alignment horizontal="right"/>
    </xf>
    <xf numFmtId="164" fontId="26" fillId="0" borderId="0" xfId="3" applyNumberFormat="1" applyFont="1"/>
    <xf numFmtId="0" fontId="29" fillId="0" borderId="0" xfId="4" applyFont="1" applyBorder="1"/>
    <xf numFmtId="0" fontId="26" fillId="0" borderId="0" xfId="3" applyFont="1" applyAlignment="1">
      <alignment horizontal="left"/>
    </xf>
    <xf numFmtId="0" fontId="26" fillId="0" borderId="12" xfId="3" applyFont="1" applyBorder="1"/>
    <xf numFmtId="0" fontId="26" fillId="0" borderId="0" xfId="3" applyFont="1" applyBorder="1"/>
    <xf numFmtId="165" fontId="26" fillId="0" borderId="0" xfId="3" applyNumberFormat="1" applyFont="1" applyBorder="1" applyAlignment="1">
      <alignment horizontal="right"/>
    </xf>
    <xf numFmtId="165" fontId="26" fillId="0" borderId="0" xfId="3" applyNumberFormat="1" applyFont="1" applyAlignment="1">
      <alignment horizontal="right"/>
    </xf>
    <xf numFmtId="164" fontId="26" fillId="0" borderId="0" xfId="3" applyNumberFormat="1" applyFont="1" applyAlignment="1">
      <alignment horizontal="center"/>
    </xf>
    <xf numFmtId="167" fontId="26" fillId="0" borderId="0" xfId="3" applyNumberFormat="1" applyFont="1"/>
    <xf numFmtId="0" fontId="27" fillId="0" borderId="0" xfId="3" applyFont="1"/>
    <xf numFmtId="165" fontId="26" fillId="0" borderId="0" xfId="3" applyNumberFormat="1" applyFont="1" applyFill="1" applyAlignment="1">
      <alignment horizontal="right"/>
    </xf>
    <xf numFmtId="171" fontId="26" fillId="0" borderId="0" xfId="1" applyNumberFormat="1" applyFont="1" applyFill="1"/>
    <xf numFmtId="1" fontId="26" fillId="0" borderId="0" xfId="3" applyNumberFormat="1" applyFont="1" applyFill="1"/>
    <xf numFmtId="0" fontId="26" fillId="0" borderId="2" xfId="3" applyFont="1" applyBorder="1"/>
    <xf numFmtId="169" fontId="29" fillId="0" borderId="2" xfId="2" applyNumberFormat="1" applyFont="1" applyBorder="1"/>
    <xf numFmtId="164" fontId="26" fillId="0" borderId="0" xfId="3" applyNumberFormat="1" applyFont="1" applyFill="1"/>
    <xf numFmtId="169" fontId="29" fillId="0" borderId="0" xfId="2" applyNumberFormat="1" applyFont="1" applyFill="1"/>
    <xf numFmtId="165" fontId="26" fillId="0" borderId="2" xfId="3" applyNumberFormat="1" applyFont="1" applyBorder="1" applyAlignment="1">
      <alignment horizontal="right"/>
    </xf>
    <xf numFmtId="169" fontId="29" fillId="0" borderId="2" xfId="2" applyNumberFormat="1" applyFont="1" applyFill="1" applyBorder="1"/>
    <xf numFmtId="165" fontId="27" fillId="0" borderId="0" xfId="3" applyNumberFormat="1" applyFont="1" applyAlignment="1">
      <alignment horizontal="right"/>
    </xf>
    <xf numFmtId="164" fontId="27" fillId="0" borderId="0" xfId="3" applyNumberFormat="1" applyFont="1"/>
    <xf numFmtId="0" fontId="26" fillId="0" borderId="0" xfId="3" applyNumberFormat="1" applyFont="1"/>
    <xf numFmtId="164" fontId="26" fillId="0" borderId="2" xfId="3" applyNumberFormat="1" applyFont="1" applyBorder="1"/>
    <xf numFmtId="164" fontId="27" fillId="0" borderId="0" xfId="3" applyNumberFormat="1" applyFont="1" applyAlignment="1">
      <alignment horizontal="right"/>
    </xf>
    <xf numFmtId="169" fontId="28" fillId="0" borderId="0" xfId="2" applyNumberFormat="1" applyFont="1"/>
    <xf numFmtId="43" fontId="26" fillId="0" borderId="0" xfId="0" applyNumberFormat="1" applyFont="1"/>
    <xf numFmtId="167" fontId="13" fillId="0" borderId="0" xfId="3" applyNumberFormat="1" applyFont="1"/>
    <xf numFmtId="0" fontId="13" fillId="0" borderId="1" xfId="3" applyFont="1" applyBorder="1" applyAlignment="1">
      <alignment horizontal="center"/>
    </xf>
    <xf numFmtId="167" fontId="13" fillId="0" borderId="1" xfId="3" applyNumberFormat="1" applyFont="1" applyBorder="1"/>
    <xf numFmtId="0" fontId="26" fillId="0" borderId="0" xfId="0" applyFont="1"/>
    <xf numFmtId="178" fontId="26" fillId="0" borderId="0" xfId="0" applyNumberFormat="1" applyFont="1"/>
    <xf numFmtId="0" fontId="29" fillId="0" borderId="0" xfId="4" applyFont="1"/>
    <xf numFmtId="168" fontId="29" fillId="0" borderId="0" xfId="4" applyNumberFormat="1" applyFont="1" applyAlignment="1">
      <alignment horizontal="center"/>
    </xf>
    <xf numFmtId="0" fontId="26" fillId="0" borderId="0" xfId="3" applyFont="1"/>
    <xf numFmtId="0" fontId="29" fillId="0" borderId="0" xfId="4" applyFont="1" applyFill="1"/>
    <xf numFmtId="165" fontId="26" fillId="0" borderId="0" xfId="3" applyNumberFormat="1" applyFont="1"/>
    <xf numFmtId="169" fontId="29" fillId="0" borderId="0" xfId="2" applyNumberFormat="1" applyFont="1"/>
    <xf numFmtId="177" fontId="26" fillId="0" borderId="0" xfId="3" applyNumberFormat="1" applyFont="1" applyFill="1" applyAlignment="1">
      <alignment horizontal="right"/>
    </xf>
    <xf numFmtId="169" fontId="29" fillId="0" borderId="0" xfId="2" applyNumberFormat="1" applyFont="1" applyBorder="1"/>
    <xf numFmtId="0" fontId="26" fillId="0" borderId="0" xfId="0" applyFont="1" applyBorder="1"/>
    <xf numFmtId="0" fontId="26" fillId="0" borderId="11" xfId="0" applyFont="1" applyBorder="1"/>
    <xf numFmtId="0" fontId="26" fillId="0" borderId="17" xfId="0" applyFont="1" applyBorder="1"/>
    <xf numFmtId="0" fontId="27" fillId="0" borderId="22" xfId="0" applyFont="1" applyBorder="1" applyAlignment="1">
      <alignment horizontal="center"/>
    </xf>
    <xf numFmtId="0" fontId="27" fillId="0" borderId="23" xfId="0" applyFont="1" applyBorder="1" applyAlignment="1">
      <alignment horizontal="center"/>
    </xf>
    <xf numFmtId="0" fontId="26" fillId="0" borderId="12" xfId="0" applyFont="1" applyBorder="1"/>
    <xf numFmtId="180" fontId="26" fillId="0" borderId="11" xfId="0" applyNumberFormat="1" applyFont="1" applyBorder="1"/>
    <xf numFmtId="179" fontId="26" fillId="0" borderId="11" xfId="0" applyNumberFormat="1" applyFont="1" applyFill="1" applyBorder="1"/>
    <xf numFmtId="178" fontId="26" fillId="0" borderId="11" xfId="0" applyNumberFormat="1" applyFont="1" applyBorder="1"/>
    <xf numFmtId="0" fontId="26" fillId="0" borderId="16" xfId="0" applyFont="1" applyBorder="1"/>
    <xf numFmtId="0" fontId="27" fillId="0" borderId="0" xfId="3" applyFont="1" applyAlignment="1">
      <alignment horizontal="right"/>
    </xf>
    <xf numFmtId="164" fontId="29" fillId="0" borderId="0" xfId="5" applyNumberFormat="1" applyFont="1" applyBorder="1"/>
    <xf numFmtId="178" fontId="26" fillId="0" borderId="11" xfId="0" applyNumberFormat="1" applyFont="1" applyFill="1" applyBorder="1"/>
    <xf numFmtId="9" fontId="26" fillId="0" borderId="0" xfId="3" applyNumberFormat="1" applyFont="1"/>
    <xf numFmtId="0" fontId="25" fillId="5" borderId="0" xfId="0" applyFont="1" applyFill="1" applyAlignment="1">
      <alignment horizontal="center"/>
    </xf>
    <xf numFmtId="0" fontId="26" fillId="0" borderId="0" xfId="0" applyNumberFormat="1" applyFont="1"/>
    <xf numFmtId="10" fontId="31" fillId="0" borderId="0" xfId="0" applyNumberFormat="1" applyFont="1" applyFill="1"/>
    <xf numFmtId="0" fontId="19" fillId="0" borderId="0" xfId="3" applyFont="1" applyFill="1"/>
    <xf numFmtId="0" fontId="13" fillId="0" borderId="0" xfId="3" applyFont="1" applyFill="1"/>
    <xf numFmtId="181" fontId="26" fillId="0" borderId="0" xfId="3" applyNumberFormat="1" applyFont="1" applyAlignment="1">
      <alignment horizontal="right"/>
    </xf>
    <xf numFmtId="10" fontId="26" fillId="0" borderId="0" xfId="3" applyNumberFormat="1" applyFont="1" applyAlignment="1">
      <alignment horizontal="right"/>
    </xf>
    <xf numFmtId="0" fontId="26" fillId="4" borderId="0" xfId="0" applyFont="1" applyFill="1" applyAlignment="1">
      <alignment horizontal="right"/>
    </xf>
    <xf numFmtId="164" fontId="26" fillId="0" borderId="0" xfId="3" applyNumberFormat="1" applyFont="1" applyBorder="1"/>
    <xf numFmtId="1" fontId="26" fillId="0" borderId="0" xfId="3" applyNumberFormat="1" applyFont="1" applyFill="1" applyBorder="1" applyAlignment="1">
      <alignment horizontal="right"/>
    </xf>
    <xf numFmtId="0" fontId="27" fillId="0" borderId="0" xfId="3" applyFont="1" applyAlignment="1"/>
    <xf numFmtId="0" fontId="35" fillId="0" borderId="0" xfId="73" applyFont="1" applyAlignment="1"/>
    <xf numFmtId="0" fontId="26" fillId="0" borderId="0" xfId="3" applyFont="1" applyAlignment="1"/>
    <xf numFmtId="0" fontId="27" fillId="0" borderId="0" xfId="3" applyFont="1" applyBorder="1" applyAlignment="1">
      <alignment wrapText="1"/>
    </xf>
    <xf numFmtId="0" fontId="27" fillId="0" borderId="0" xfId="3" applyFont="1" applyAlignment="1">
      <alignment horizontal="center" wrapText="1"/>
    </xf>
    <xf numFmtId="0" fontId="27" fillId="0" borderId="0" xfId="3" applyFont="1" applyAlignment="1">
      <alignment wrapText="1"/>
    </xf>
    <xf numFmtId="0" fontId="27" fillId="0" borderId="0" xfId="3" applyFont="1" applyAlignment="1">
      <alignment horizontal="center"/>
    </xf>
    <xf numFmtId="176" fontId="26" fillId="0" borderId="0" xfId="3" applyNumberFormat="1" applyFont="1" applyAlignment="1">
      <alignment wrapText="1"/>
    </xf>
    <xf numFmtId="0" fontId="26" fillId="0" borderId="0" xfId="3" applyFont="1" applyAlignment="1">
      <alignment wrapText="1"/>
    </xf>
    <xf numFmtId="0" fontId="28" fillId="0" borderId="0" xfId="3" applyFont="1" applyAlignment="1"/>
    <xf numFmtId="0" fontId="27" fillId="0" borderId="0" xfId="3" applyFont="1" applyAlignment="1">
      <alignment horizontal="left"/>
    </xf>
    <xf numFmtId="0" fontId="26" fillId="0" borderId="0" xfId="0" applyFont="1" applyAlignment="1">
      <alignment wrapText="1"/>
    </xf>
    <xf numFmtId="179" fontId="26" fillId="0" borderId="11" xfId="0" applyNumberFormat="1" applyFont="1" applyBorder="1"/>
    <xf numFmtId="10" fontId="26" fillId="0" borderId="11" xfId="0" applyNumberFormat="1" applyFont="1" applyFill="1" applyBorder="1"/>
    <xf numFmtId="177" fontId="26" fillId="0" borderId="11" xfId="3" applyNumberFormat="1" applyFont="1" applyFill="1" applyBorder="1" applyAlignment="1">
      <alignment horizontal="right"/>
    </xf>
    <xf numFmtId="0" fontId="26" fillId="0" borderId="0" xfId="0" applyFont="1" applyProtection="1">
      <protection locked="0"/>
    </xf>
    <xf numFmtId="0" fontId="27" fillId="0" borderId="0" xfId="0" applyFont="1" applyProtection="1">
      <protection locked="0"/>
    </xf>
    <xf numFmtId="182" fontId="27" fillId="0" borderId="24" xfId="0" applyNumberFormat="1" applyFont="1" applyBorder="1" applyProtection="1">
      <protection locked="0"/>
    </xf>
    <xf numFmtId="182" fontId="27" fillId="0" borderId="18" xfId="0" applyNumberFormat="1" applyFont="1" applyBorder="1" applyProtection="1">
      <protection locked="0"/>
    </xf>
    <xf numFmtId="182" fontId="27" fillId="0" borderId="23" xfId="0" applyNumberFormat="1" applyFont="1" applyBorder="1" applyProtection="1">
      <protection locked="0"/>
    </xf>
    <xf numFmtId="164" fontId="27" fillId="0" borderId="0" xfId="0" applyNumberFormat="1" applyFont="1" applyProtection="1">
      <protection locked="0"/>
    </xf>
    <xf numFmtId="182" fontId="26" fillId="0" borderId="26" xfId="0" applyNumberFormat="1" applyFont="1" applyBorder="1" applyProtection="1">
      <protection locked="0"/>
    </xf>
    <xf numFmtId="182" fontId="26" fillId="0" borderId="25" xfId="0" applyNumberFormat="1" applyFont="1" applyBorder="1" applyProtection="1">
      <protection locked="0"/>
    </xf>
    <xf numFmtId="182" fontId="26" fillId="0" borderId="27" xfId="0" applyNumberFormat="1" applyFont="1" applyBorder="1" applyProtection="1">
      <protection locked="0"/>
    </xf>
    <xf numFmtId="182" fontId="31" fillId="6" borderId="0" xfId="0" applyNumberFormat="1" applyFont="1" applyFill="1" applyProtection="1">
      <protection locked="0"/>
    </xf>
    <xf numFmtId="182" fontId="26" fillId="0" borderId="12" xfId="0" applyNumberFormat="1" applyFont="1" applyBorder="1" applyProtection="1">
      <protection locked="0"/>
    </xf>
    <xf numFmtId="182" fontId="26" fillId="0" borderId="0" xfId="0" applyNumberFormat="1" applyFont="1" applyBorder="1" applyProtection="1">
      <protection locked="0"/>
    </xf>
    <xf numFmtId="182" fontId="26" fillId="0" borderId="11" xfId="0" applyNumberFormat="1" applyFont="1" applyBorder="1" applyProtection="1">
      <protection locked="0"/>
    </xf>
    <xf numFmtId="164" fontId="31" fillId="6" borderId="0" xfId="0" applyNumberFormat="1" applyFont="1" applyFill="1" applyProtection="1">
      <protection locked="0"/>
    </xf>
    <xf numFmtId="0" fontId="26" fillId="0" borderId="12" xfId="0" applyFont="1" applyBorder="1" applyProtection="1">
      <protection locked="0"/>
    </xf>
    <xf numFmtId="0" fontId="31" fillId="6" borderId="2" xfId="0" applyFont="1" applyFill="1" applyBorder="1" applyProtection="1">
      <protection locked="0"/>
    </xf>
    <xf numFmtId="0" fontId="31" fillId="6" borderId="11" xfId="0" applyFont="1" applyFill="1" applyBorder="1" applyProtection="1">
      <protection locked="0"/>
    </xf>
    <xf numFmtId="182" fontId="26" fillId="0" borderId="16" xfId="0" applyNumberFormat="1" applyFont="1" applyBorder="1" applyProtection="1">
      <protection locked="0"/>
    </xf>
    <xf numFmtId="182" fontId="26" fillId="0" borderId="2" xfId="0" applyNumberFormat="1" applyFont="1" applyBorder="1" applyProtection="1">
      <protection locked="0"/>
    </xf>
    <xf numFmtId="182" fontId="26" fillId="0" borderId="17" xfId="0" applyNumberFormat="1" applyFont="1" applyBorder="1" applyProtection="1">
      <protection locked="0"/>
    </xf>
    <xf numFmtId="165" fontId="26" fillId="0" borderId="0" xfId="3" applyNumberFormat="1" applyFont="1" applyFill="1" applyAlignment="1" applyProtection="1">
      <alignment horizontal="right"/>
    </xf>
    <xf numFmtId="1" fontId="26" fillId="0" borderId="0" xfId="3" applyNumberFormat="1" applyFont="1" applyFill="1" applyBorder="1"/>
    <xf numFmtId="2" fontId="26" fillId="0" borderId="0" xfId="3" applyNumberFormat="1" applyFont="1" applyFill="1" applyBorder="1" applyAlignment="1">
      <alignment horizontal="right"/>
    </xf>
    <xf numFmtId="1" fontId="27" fillId="0" borderId="0" xfId="3" applyNumberFormat="1" applyFont="1" applyFill="1" applyBorder="1" applyAlignment="1">
      <alignment horizontal="right"/>
    </xf>
    <xf numFmtId="182" fontId="26" fillId="0" borderId="0" xfId="3" applyNumberFormat="1" applyFont="1" applyFill="1"/>
    <xf numFmtId="0" fontId="16" fillId="2" borderId="0" xfId="3" applyFont="1" applyFill="1" applyBorder="1" applyAlignment="1">
      <alignment horizontal="left" vertical="center"/>
    </xf>
    <xf numFmtId="164" fontId="26" fillId="0" borderId="0" xfId="0" applyNumberFormat="1" applyFont="1" applyBorder="1"/>
    <xf numFmtId="178" fontId="26" fillId="0" borderId="0" xfId="0" applyNumberFormat="1" applyFont="1" applyFill="1" applyBorder="1"/>
    <xf numFmtId="167" fontId="20" fillId="0" borderId="0" xfId="5" applyNumberFormat="1" applyFont="1" applyAlignment="1"/>
    <xf numFmtId="9" fontId="20" fillId="0" borderId="0" xfId="5" applyNumberFormat="1" applyFont="1" applyAlignment="1"/>
    <xf numFmtId="0" fontId="19" fillId="0" borderId="1" xfId="3" applyFont="1" applyBorder="1" applyAlignment="1">
      <alignment horizontal="center" wrapText="1"/>
    </xf>
    <xf numFmtId="181" fontId="13" fillId="0" borderId="0" xfId="3" applyNumberFormat="1" applyFont="1"/>
    <xf numFmtId="2" fontId="29" fillId="0" borderId="26" xfId="4" applyNumberFormat="1" applyFont="1" applyFill="1" applyBorder="1" applyAlignment="1"/>
    <xf numFmtId="0" fontId="26" fillId="0" borderId="0" xfId="3" applyFont="1" applyFill="1" applyAlignment="1">
      <alignment horizontal="center"/>
    </xf>
    <xf numFmtId="0" fontId="26" fillId="0" borderId="0" xfId="3" applyFont="1" applyFill="1" applyBorder="1" applyAlignment="1">
      <alignment horizontal="center"/>
    </xf>
    <xf numFmtId="3" fontId="28" fillId="0" borderId="0" xfId="4" applyNumberFormat="1" applyFont="1" applyFill="1" applyBorder="1" applyAlignment="1">
      <alignment horizontal="center"/>
    </xf>
    <xf numFmtId="3" fontId="28" fillId="0" borderId="0" xfId="4" applyNumberFormat="1" applyFont="1" applyFill="1" applyAlignment="1">
      <alignment horizontal="center"/>
    </xf>
    <xf numFmtId="0" fontId="28" fillId="0" borderId="28" xfId="4" applyFont="1" applyFill="1" applyBorder="1" applyAlignment="1">
      <alignment horizontal="center" wrapText="1"/>
    </xf>
    <xf numFmtId="0" fontId="28" fillId="0" borderId="29" xfId="4" applyFont="1" applyFill="1" applyBorder="1" applyAlignment="1">
      <alignment horizontal="center" wrapText="1"/>
    </xf>
    <xf numFmtId="0" fontId="28" fillId="0" borderId="30" xfId="4" applyFont="1" applyFill="1" applyBorder="1" applyAlignment="1">
      <alignment horizontal="center" wrapText="1"/>
    </xf>
    <xf numFmtId="0" fontId="28" fillId="0" borderId="16" xfId="4" applyFont="1" applyFill="1" applyBorder="1" applyAlignment="1">
      <alignment horizontal="center"/>
    </xf>
    <xf numFmtId="0" fontId="28" fillId="0" borderId="2" xfId="4" applyFont="1" applyFill="1" applyBorder="1" applyAlignment="1">
      <alignment horizontal="center"/>
    </xf>
    <xf numFmtId="0" fontId="28" fillId="0" borderId="17" xfId="4" applyFont="1" applyFill="1" applyBorder="1" applyAlignment="1">
      <alignment horizontal="center"/>
    </xf>
    <xf numFmtId="171" fontId="26" fillId="0" borderId="26" xfId="1" applyNumberFormat="1" applyFont="1" applyFill="1" applyBorder="1" applyAlignment="1" applyProtection="1">
      <alignment horizontal="center"/>
    </xf>
    <xf numFmtId="171" fontId="26" fillId="0" borderId="27" xfId="1" applyNumberFormat="1" applyFont="1" applyFill="1" applyBorder="1" applyAlignment="1" applyProtection="1">
      <alignment horizontal="center"/>
    </xf>
    <xf numFmtId="171" fontId="26" fillId="0" borderId="12" xfId="1" applyNumberFormat="1" applyFont="1" applyFill="1" applyBorder="1" applyAlignment="1" applyProtection="1">
      <alignment horizontal="center"/>
    </xf>
    <xf numFmtId="171" fontId="26" fillId="0" borderId="11" xfId="1" applyNumberFormat="1" applyFont="1" applyFill="1" applyBorder="1" applyAlignment="1" applyProtection="1">
      <alignment horizontal="center"/>
    </xf>
    <xf numFmtId="171" fontId="26" fillId="0" borderId="16" xfId="1" applyNumberFormat="1" applyFont="1" applyFill="1" applyBorder="1" applyAlignment="1" applyProtection="1">
      <alignment horizontal="center"/>
    </xf>
    <xf numFmtId="171" fontId="26" fillId="0" borderId="17" xfId="1" applyNumberFormat="1" applyFont="1" applyFill="1" applyBorder="1" applyAlignment="1" applyProtection="1">
      <alignment horizontal="center"/>
    </xf>
    <xf numFmtId="3" fontId="29" fillId="0" borderId="0" xfId="4" applyNumberFormat="1" applyFont="1" applyFill="1" applyBorder="1" applyAlignment="1">
      <alignment horizontal="center"/>
    </xf>
    <xf numFmtId="177" fontId="26" fillId="0" borderId="0" xfId="3" applyNumberFormat="1" applyFont="1" applyFill="1" applyBorder="1" applyAlignment="1" applyProtection="1">
      <alignment horizontal="right"/>
    </xf>
    <xf numFmtId="179" fontId="26" fillId="0" borderId="0" xfId="0" applyNumberFormat="1" applyFont="1" applyBorder="1" applyProtection="1"/>
    <xf numFmtId="164" fontId="26" fillId="0" borderId="0" xfId="0" applyNumberFormat="1" applyFont="1" applyBorder="1" applyProtection="1"/>
    <xf numFmtId="0" fontId="27" fillId="7" borderId="31" xfId="0" applyFont="1" applyFill="1" applyBorder="1" applyAlignment="1" applyProtection="1">
      <alignment horizontal="center"/>
      <protection locked="0"/>
    </xf>
    <xf numFmtId="0" fontId="29" fillId="0" borderId="0" xfId="4" applyFont="1" applyFill="1" applyBorder="1" applyAlignment="1">
      <alignment horizontal="center" wrapText="1"/>
    </xf>
    <xf numFmtId="0" fontId="29" fillId="0" borderId="12" xfId="4" applyFont="1" applyFill="1" applyBorder="1" applyAlignment="1">
      <alignment horizontal="center" wrapText="1"/>
    </xf>
    <xf numFmtId="0" fontId="29" fillId="0" borderId="11" xfId="4" applyFont="1" applyFill="1" applyBorder="1" applyAlignment="1">
      <alignment horizontal="center" wrapText="1"/>
    </xf>
    <xf numFmtId="168" fontId="29" fillId="0" borderId="0" xfId="4" applyNumberFormat="1" applyFont="1" applyFill="1" applyBorder="1" applyAlignment="1">
      <alignment horizontal="center" wrapText="1"/>
    </xf>
    <xf numFmtId="168" fontId="29" fillId="0" borderId="12" xfId="4" applyNumberFormat="1" applyFont="1" applyFill="1" applyBorder="1" applyAlignment="1">
      <alignment horizontal="center" wrapText="1"/>
    </xf>
    <xf numFmtId="168" fontId="29" fillId="0" borderId="0" xfId="4" applyNumberFormat="1" applyFont="1" applyFill="1" applyAlignment="1">
      <alignment horizontal="center" wrapText="1"/>
    </xf>
    <xf numFmtId="0" fontId="29" fillId="0" borderId="0" xfId="4" applyFont="1" applyFill="1" applyAlignment="1">
      <alignment horizontal="center" wrapText="1"/>
    </xf>
    <xf numFmtId="164" fontId="29" fillId="0" borderId="17" xfId="4" applyNumberFormat="1" applyFont="1" applyFill="1" applyBorder="1"/>
    <xf numFmtId="167" fontId="29" fillId="0" borderId="17" xfId="4" applyNumberFormat="1" applyFont="1" applyFill="1" applyBorder="1"/>
    <xf numFmtId="167" fontId="29" fillId="0" borderId="2" xfId="4" applyNumberFormat="1" applyFont="1" applyFill="1" applyBorder="1"/>
    <xf numFmtId="167" fontId="29" fillId="0" borderId="16" xfId="4" applyNumberFormat="1" applyFont="1" applyFill="1" applyBorder="1"/>
    <xf numFmtId="164" fontId="29" fillId="0" borderId="2" xfId="5" applyNumberFormat="1" applyFont="1" applyFill="1" applyBorder="1"/>
    <xf numFmtId="42" fontId="29" fillId="0" borderId="17" xfId="4" applyNumberFormat="1" applyFont="1" applyFill="1" applyBorder="1"/>
    <xf numFmtId="42" fontId="29" fillId="0" borderId="2" xfId="4" applyNumberFormat="1" applyFont="1" applyFill="1" applyBorder="1"/>
    <xf numFmtId="2" fontId="29" fillId="0" borderId="16" xfId="4" applyNumberFormat="1" applyFont="1" applyFill="1" applyBorder="1" applyAlignment="1"/>
    <xf numFmtId="164" fontId="29" fillId="0" borderId="11" xfId="4" applyNumberFormat="1" applyFont="1" applyFill="1" applyBorder="1"/>
    <xf numFmtId="167" fontId="29" fillId="0" borderId="11" xfId="4" applyNumberFormat="1" applyFont="1" applyFill="1" applyBorder="1"/>
    <xf numFmtId="167" fontId="29" fillId="0" borderId="0" xfId="4" applyNumberFormat="1" applyFont="1" applyFill="1" applyBorder="1"/>
    <xf numFmtId="167" fontId="29" fillId="0" borderId="12" xfId="4" applyNumberFormat="1" applyFont="1" applyFill="1" applyBorder="1"/>
    <xf numFmtId="164" fontId="29" fillId="0" borderId="0" xfId="5" applyNumberFormat="1" applyFont="1" applyFill="1" applyBorder="1"/>
    <xf numFmtId="42" fontId="29" fillId="0" borderId="11" xfId="4" applyNumberFormat="1" applyFont="1" applyFill="1" applyBorder="1"/>
    <xf numFmtId="42" fontId="29" fillId="0" borderId="0" xfId="4" applyNumberFormat="1" applyFont="1" applyFill="1" applyBorder="1"/>
    <xf numFmtId="2" fontId="29" fillId="0" borderId="12" xfId="4" applyNumberFormat="1" applyFont="1" applyFill="1" applyBorder="1" applyAlignment="1"/>
    <xf numFmtId="164" fontId="29" fillId="0" borderId="27" xfId="4" applyNumberFormat="1" applyFont="1" applyFill="1" applyBorder="1"/>
    <xf numFmtId="167" fontId="29" fillId="0" borderId="27" xfId="4" applyNumberFormat="1" applyFont="1" applyFill="1" applyBorder="1"/>
    <xf numFmtId="167" fontId="29" fillId="0" borderId="25" xfId="4" applyNumberFormat="1" applyFont="1" applyFill="1" applyBorder="1"/>
    <xf numFmtId="167" fontId="29" fillId="0" borderId="26" xfId="4" applyNumberFormat="1" applyFont="1" applyFill="1" applyBorder="1"/>
    <xf numFmtId="164" fontId="29" fillId="0" borderId="25" xfId="5" applyNumberFormat="1" applyFont="1" applyFill="1" applyBorder="1"/>
    <xf numFmtId="42" fontId="29" fillId="0" borderId="27" xfId="4" applyNumberFormat="1" applyFont="1" applyFill="1" applyBorder="1"/>
    <xf numFmtId="42" fontId="29" fillId="0" borderId="25" xfId="4" applyNumberFormat="1" applyFont="1" applyFill="1" applyBorder="1"/>
    <xf numFmtId="168" fontId="28" fillId="0" borderId="2" xfId="4" applyNumberFormat="1" applyFont="1" applyFill="1" applyBorder="1" applyAlignment="1">
      <alignment horizontal="center"/>
    </xf>
    <xf numFmtId="168" fontId="28" fillId="0" borderId="16" xfId="4" applyNumberFormat="1" applyFont="1" applyFill="1" applyBorder="1" applyAlignment="1">
      <alignment horizontal="center"/>
    </xf>
    <xf numFmtId="168" fontId="28" fillId="0" borderId="0" xfId="4" applyNumberFormat="1" applyFont="1" applyFill="1" applyAlignment="1">
      <alignment horizontal="center"/>
    </xf>
    <xf numFmtId="0" fontId="28" fillId="0" borderId="11" xfId="4" applyFont="1" applyFill="1" applyBorder="1" applyAlignment="1">
      <alignment horizontal="center" wrapText="1"/>
    </xf>
    <xf numFmtId="168" fontId="28" fillId="0" borderId="0" xfId="4" applyNumberFormat="1" applyFont="1" applyFill="1" applyBorder="1" applyAlignment="1">
      <alignment horizontal="center" wrapText="1"/>
    </xf>
    <xf numFmtId="168" fontId="28" fillId="0" borderId="12" xfId="4" applyNumberFormat="1" applyFont="1" applyFill="1" applyBorder="1" applyAlignment="1">
      <alignment horizontal="center" wrapText="1"/>
    </xf>
    <xf numFmtId="168" fontId="28" fillId="0" borderId="0" xfId="4" applyNumberFormat="1" applyFont="1" applyFill="1" applyAlignment="1">
      <alignment horizontal="center" wrapText="1"/>
    </xf>
    <xf numFmtId="10" fontId="26" fillId="0" borderId="11" xfId="0" applyNumberFormat="1" applyFont="1" applyBorder="1"/>
    <xf numFmtId="0" fontId="26" fillId="0" borderId="34" xfId="0" applyFont="1" applyBorder="1"/>
    <xf numFmtId="0" fontId="26" fillId="0" borderId="33" xfId="0" applyFont="1" applyBorder="1"/>
    <xf numFmtId="0" fontId="26" fillId="0" borderId="32" xfId="0" applyFont="1" applyBorder="1"/>
    <xf numFmtId="3" fontId="26" fillId="0" borderId="0" xfId="0" applyNumberFormat="1" applyFont="1"/>
    <xf numFmtId="0" fontId="26" fillId="0" borderId="0" xfId="0" applyFont="1"/>
    <xf numFmtId="0" fontId="25" fillId="5" borderId="0" xfId="0" applyFont="1" applyFill="1"/>
    <xf numFmtId="0" fontId="27" fillId="5" borderId="0" xfId="0" applyFont="1" applyFill="1"/>
    <xf numFmtId="0" fontId="28" fillId="0" borderId="0" xfId="4" applyFont="1" applyAlignment="1">
      <alignment horizontal="center" wrapText="1"/>
    </xf>
    <xf numFmtId="0" fontId="28" fillId="0" borderId="0" xfId="4" applyFont="1" applyFill="1" applyAlignment="1">
      <alignment horizontal="center" wrapText="1"/>
    </xf>
    <xf numFmtId="0" fontId="28" fillId="0" borderId="0" xfId="4" applyFont="1" applyFill="1" applyAlignment="1">
      <alignment horizontal="center"/>
    </xf>
    <xf numFmtId="171" fontId="26" fillId="0" borderId="0" xfId="1" applyNumberFormat="1" applyFont="1" applyFill="1" applyBorder="1" applyAlignment="1" applyProtection="1">
      <alignment horizontal="center"/>
    </xf>
    <xf numFmtId="0" fontId="29" fillId="0" borderId="0" xfId="4" applyFont="1" applyFill="1"/>
    <xf numFmtId="167" fontId="29" fillId="0" borderId="0" xfId="4" applyNumberFormat="1" applyFont="1" applyFill="1"/>
    <xf numFmtId="166" fontId="29" fillId="0" borderId="0" xfId="2" applyNumberFormat="1" applyFont="1" applyFill="1"/>
    <xf numFmtId="14" fontId="29" fillId="0" borderId="0" xfId="4" applyNumberFormat="1" applyFont="1" applyFill="1"/>
    <xf numFmtId="0" fontId="29" fillId="0" borderId="0" xfId="4" applyNumberFormat="1" applyFont="1" applyFill="1"/>
    <xf numFmtId="164" fontId="29" fillId="0" borderId="0" xfId="5" applyNumberFormat="1" applyFont="1" applyFill="1"/>
    <xf numFmtId="0" fontId="26" fillId="0" borderId="0" xfId="0" applyFont="1" applyBorder="1" applyProtection="1"/>
    <xf numFmtId="0" fontId="26" fillId="0" borderId="2" xfId="0" applyFont="1" applyBorder="1" applyProtection="1"/>
    <xf numFmtId="0" fontId="26" fillId="0" borderId="11" xfId="0" applyFont="1" applyBorder="1" applyProtection="1"/>
    <xf numFmtId="182" fontId="26" fillId="0" borderId="0" xfId="0" applyNumberFormat="1" applyFont="1" applyFill="1" applyBorder="1" applyProtection="1"/>
    <xf numFmtId="182" fontId="26" fillId="0" borderId="2" xfId="0" applyNumberFormat="1" applyFont="1" applyFill="1" applyBorder="1" applyProtection="1"/>
    <xf numFmtId="0" fontId="31" fillId="6" borderId="0" xfId="0" applyFont="1" applyFill="1" applyBorder="1" applyProtection="1">
      <protection locked="0"/>
    </xf>
    <xf numFmtId="0" fontId="26" fillId="0" borderId="0" xfId="0" applyFont="1" applyFill="1" applyBorder="1" applyProtection="1"/>
    <xf numFmtId="0" fontId="27" fillId="0" borderId="18" xfId="0" applyFont="1" applyBorder="1" applyAlignment="1">
      <alignment horizontal="center"/>
    </xf>
    <xf numFmtId="0" fontId="26" fillId="0" borderId="0" xfId="0" applyFont="1" applyProtection="1"/>
    <xf numFmtId="49" fontId="26" fillId="0" borderId="11" xfId="0" applyNumberFormat="1" applyFont="1" applyBorder="1"/>
    <xf numFmtId="0" fontId="26" fillId="0" borderId="38" xfId="0" applyFont="1" applyBorder="1"/>
    <xf numFmtId="0" fontId="26" fillId="0" borderId="39" xfId="0" applyFont="1" applyBorder="1"/>
    <xf numFmtId="0" fontId="6" fillId="0" borderId="0" xfId="74"/>
    <xf numFmtId="0" fontId="25" fillId="0" borderId="0" xfId="74" applyFont="1"/>
    <xf numFmtId="0" fontId="27" fillId="0" borderId="0" xfId="3" applyFont="1" applyBorder="1" applyAlignment="1"/>
    <xf numFmtId="182" fontId="6" fillId="0" borderId="0" xfId="74" applyNumberFormat="1"/>
    <xf numFmtId="0" fontId="29" fillId="0" borderId="0" xfId="4" applyFont="1" applyAlignment="1">
      <alignment horizontal="center"/>
    </xf>
    <xf numFmtId="0" fontId="28" fillId="0" borderId="12" xfId="4" applyFont="1" applyBorder="1" applyAlignment="1">
      <alignment horizontal="center" wrapText="1"/>
    </xf>
    <xf numFmtId="0" fontId="28" fillId="0" borderId="0" xfId="4" applyFont="1" applyBorder="1" applyAlignment="1">
      <alignment horizontal="center" wrapText="1"/>
    </xf>
    <xf numFmtId="0" fontId="28" fillId="0" borderId="11" xfId="4" applyFont="1" applyBorder="1" applyAlignment="1">
      <alignment horizontal="center" wrapText="1"/>
    </xf>
    <xf numFmtId="0" fontId="29" fillId="0" borderId="12" xfId="4" applyFont="1" applyBorder="1" applyAlignment="1">
      <alignment horizontal="center" wrapText="1"/>
    </xf>
    <xf numFmtId="0" fontId="29" fillId="0" borderId="0" xfId="4" applyFont="1" applyBorder="1" applyAlignment="1">
      <alignment horizontal="center" wrapText="1"/>
    </xf>
    <xf numFmtId="0" fontId="29" fillId="0" borderId="11" xfId="4" applyFont="1" applyBorder="1" applyAlignment="1">
      <alignment horizontal="center" wrapText="1"/>
    </xf>
    <xf numFmtId="0" fontId="29" fillId="0" borderId="16" xfId="4" applyFont="1" applyBorder="1" applyAlignment="1">
      <alignment horizontal="center" wrapText="1"/>
    </xf>
    <xf numFmtId="0" fontId="29" fillId="0" borderId="2" xfId="4" applyFont="1" applyBorder="1" applyAlignment="1">
      <alignment horizontal="center" wrapText="1"/>
    </xf>
    <xf numFmtId="0" fontId="29" fillId="0" borderId="17" xfId="4" applyFont="1" applyBorder="1" applyAlignment="1">
      <alignment horizontal="center" wrapText="1"/>
    </xf>
    <xf numFmtId="0" fontId="26" fillId="0" borderId="25" xfId="3" applyFont="1" applyBorder="1"/>
    <xf numFmtId="0" fontId="26" fillId="0" borderId="27" xfId="3" applyFont="1" applyBorder="1"/>
    <xf numFmtId="0" fontId="26" fillId="0" borderId="11" xfId="3" applyFont="1" applyBorder="1"/>
    <xf numFmtId="0" fontId="26" fillId="0" borderId="17" xfId="3" applyFont="1" applyBorder="1"/>
    <xf numFmtId="183" fontId="26" fillId="0" borderId="0" xfId="3" applyNumberFormat="1" applyFont="1"/>
    <xf numFmtId="0" fontId="27" fillId="7" borderId="40" xfId="3" applyFont="1" applyFill="1" applyBorder="1" applyAlignment="1">
      <alignment horizontal="center"/>
    </xf>
    <xf numFmtId="0" fontId="26" fillId="0" borderId="26" xfId="3" applyNumberFormat="1" applyFont="1" applyBorder="1"/>
    <xf numFmtId="0" fontId="26" fillId="0" borderId="25" xfId="3" applyNumberFormat="1" applyFont="1" applyBorder="1"/>
    <xf numFmtId="0" fontId="26" fillId="0" borderId="27" xfId="3" applyNumberFormat="1" applyFont="1" applyBorder="1"/>
    <xf numFmtId="0" fontId="26" fillId="0" borderId="12" xfId="3" applyNumberFormat="1" applyFont="1" applyBorder="1"/>
    <xf numFmtId="0" fontId="26" fillId="0" borderId="0" xfId="3" applyNumberFormat="1" applyFont="1" applyBorder="1"/>
    <xf numFmtId="0" fontId="26" fillId="0" borderId="11" xfId="3" applyNumberFormat="1" applyFont="1" applyBorder="1"/>
    <xf numFmtId="0" fontId="26" fillId="0" borderId="16" xfId="3" applyNumberFormat="1" applyFont="1" applyBorder="1"/>
    <xf numFmtId="0" fontId="26" fillId="0" borderId="2" xfId="3" applyNumberFormat="1" applyFont="1" applyBorder="1"/>
    <xf numFmtId="0" fontId="26" fillId="0" borderId="17" xfId="3" applyNumberFormat="1" applyFont="1" applyBorder="1"/>
    <xf numFmtId="0" fontId="29" fillId="0" borderId="12" xfId="4" applyFont="1" applyBorder="1" applyAlignment="1">
      <alignment horizontal="right" wrapText="1"/>
    </xf>
    <xf numFmtId="0" fontId="29" fillId="0" borderId="16" xfId="4" applyFont="1" applyBorder="1" applyAlignment="1">
      <alignment horizontal="right"/>
    </xf>
    <xf numFmtId="183" fontId="26" fillId="0" borderId="26" xfId="3" applyNumberFormat="1" applyFont="1" applyBorder="1"/>
    <xf numFmtId="183" fontId="26" fillId="0" borderId="12" xfId="3" applyNumberFormat="1" applyFont="1" applyBorder="1"/>
    <xf numFmtId="183" fontId="26" fillId="0" borderId="16" xfId="3" applyNumberFormat="1" applyFont="1" applyBorder="1"/>
    <xf numFmtId="0" fontId="28" fillId="0" borderId="44" xfId="4" applyFont="1" applyBorder="1" applyAlignment="1">
      <alignment horizontal="center" wrapText="1"/>
    </xf>
    <xf numFmtId="0" fontId="28" fillId="0" borderId="45" xfId="4" applyFont="1" applyBorder="1" applyAlignment="1">
      <alignment horizontal="center" wrapText="1"/>
    </xf>
    <xf numFmtId="0" fontId="29" fillId="0" borderId="46" xfId="4" applyFont="1" applyBorder="1" applyAlignment="1">
      <alignment horizontal="right" wrapText="1"/>
    </xf>
    <xf numFmtId="0" fontId="29" fillId="0" borderId="47" xfId="4" applyFont="1" applyBorder="1" applyAlignment="1">
      <alignment horizontal="center" wrapText="1"/>
    </xf>
    <xf numFmtId="0" fontId="29" fillId="0" borderId="48" xfId="4" applyFont="1" applyBorder="1" applyAlignment="1">
      <alignment horizontal="right"/>
    </xf>
    <xf numFmtId="0" fontId="29" fillId="0" borderId="49" xfId="4" applyFont="1" applyBorder="1" applyAlignment="1">
      <alignment horizontal="center" wrapText="1"/>
    </xf>
    <xf numFmtId="183" fontId="26" fillId="0" borderId="50" xfId="3" applyNumberFormat="1" applyFont="1" applyBorder="1"/>
    <xf numFmtId="0" fontId="26" fillId="0" borderId="51" xfId="3" applyNumberFormat="1" applyFont="1" applyBorder="1"/>
    <xf numFmtId="183" fontId="26" fillId="0" borderId="46" xfId="3" applyNumberFormat="1" applyFont="1" applyBorder="1"/>
    <xf numFmtId="0" fontId="26" fillId="0" borderId="47" xfId="3" applyNumberFormat="1" applyFont="1" applyBorder="1"/>
    <xf numFmtId="183" fontId="26" fillId="0" borderId="48" xfId="3" applyNumberFormat="1" applyFont="1" applyBorder="1"/>
    <xf numFmtId="0" fontId="26" fillId="0" borderId="49" xfId="3" applyNumberFormat="1" applyFont="1" applyBorder="1"/>
    <xf numFmtId="43" fontId="26" fillId="0" borderId="51" xfId="3" applyNumberFormat="1" applyFont="1" applyBorder="1"/>
    <xf numFmtId="43" fontId="26" fillId="0" borderId="47" xfId="3" applyNumberFormat="1" applyFont="1" applyBorder="1"/>
    <xf numFmtId="43" fontId="26" fillId="0" borderId="49" xfId="3" applyNumberFormat="1" applyFont="1" applyBorder="1"/>
    <xf numFmtId="0" fontId="28" fillId="0" borderId="0" xfId="4" applyFont="1"/>
    <xf numFmtId="184" fontId="29" fillId="0" borderId="0" xfId="4" applyNumberFormat="1" applyFont="1" applyBorder="1"/>
    <xf numFmtId="164" fontId="29" fillId="0" borderId="0" xfId="4" applyNumberFormat="1" applyFont="1" applyBorder="1"/>
    <xf numFmtId="0" fontId="29" fillId="0" borderId="11" xfId="4" applyFont="1" applyBorder="1"/>
    <xf numFmtId="38" fontId="29" fillId="0" borderId="0" xfId="4" applyNumberFormat="1" applyFont="1"/>
    <xf numFmtId="184" fontId="29" fillId="0" borderId="0" xfId="4" applyNumberFormat="1" applyFont="1" applyFill="1" applyBorder="1"/>
    <xf numFmtId="0" fontId="29" fillId="0" borderId="31" xfId="4" applyFont="1" applyBorder="1"/>
    <xf numFmtId="0" fontId="29" fillId="0" borderId="52" xfId="4" applyFont="1" applyBorder="1" applyAlignment="1">
      <alignment horizontal="center"/>
    </xf>
    <xf numFmtId="0" fontId="29" fillId="0" borderId="53" xfId="4" applyFont="1" applyBorder="1" applyAlignment="1">
      <alignment horizontal="center"/>
    </xf>
    <xf numFmtId="0" fontId="29" fillId="0" borderId="54" xfId="4" applyFont="1" applyBorder="1" applyAlignment="1">
      <alignment horizontal="center"/>
    </xf>
    <xf numFmtId="0" fontId="29" fillId="0" borderId="41" xfId="4" applyFont="1" applyBorder="1"/>
    <xf numFmtId="164" fontId="29" fillId="0" borderId="0" xfId="4" applyNumberFormat="1" applyFont="1" applyFill="1" applyBorder="1"/>
    <xf numFmtId="184" fontId="29" fillId="0" borderId="26" xfId="4" applyNumberFormat="1" applyFont="1" applyFill="1" applyBorder="1"/>
    <xf numFmtId="184" fontId="29" fillId="0" borderId="25" xfId="4" applyNumberFormat="1" applyFont="1" applyBorder="1"/>
    <xf numFmtId="184" fontId="29" fillId="0" borderId="27" xfId="4" applyNumberFormat="1" applyFont="1" applyBorder="1"/>
    <xf numFmtId="0" fontId="29" fillId="0" borderId="42" xfId="4" applyFont="1" applyBorder="1"/>
    <xf numFmtId="184" fontId="29" fillId="0" borderId="12" xfId="4" applyNumberFormat="1" applyFont="1" applyFill="1" applyBorder="1"/>
    <xf numFmtId="184" fontId="29" fillId="0" borderId="11" xfId="4" applyNumberFormat="1" applyFont="1" applyBorder="1"/>
    <xf numFmtId="0" fontId="29" fillId="0" borderId="43" xfId="4" applyFont="1" applyBorder="1"/>
    <xf numFmtId="164" fontId="29" fillId="0" borderId="0" xfId="4" applyNumberFormat="1" applyFont="1" applyFill="1" applyBorder="1" applyAlignment="1">
      <alignment horizontal="right"/>
    </xf>
    <xf numFmtId="184" fontId="29" fillId="0" borderId="55" xfId="4" applyNumberFormat="1" applyFont="1" applyBorder="1"/>
    <xf numFmtId="184" fontId="29" fillId="0" borderId="56" xfId="4" applyNumberFormat="1" applyFont="1" applyBorder="1"/>
    <xf numFmtId="184" fontId="29" fillId="0" borderId="56" xfId="4" applyNumberFormat="1" applyFont="1" applyFill="1" applyBorder="1"/>
    <xf numFmtId="184" fontId="29" fillId="0" borderId="57" xfId="4" applyNumberFormat="1" applyFont="1" applyBorder="1"/>
    <xf numFmtId="184" fontId="29" fillId="0" borderId="12" xfId="4" applyNumberFormat="1" applyFont="1" applyBorder="1"/>
    <xf numFmtId="177" fontId="29" fillId="0" borderId="24" xfId="4" applyNumberFormat="1" applyFont="1" applyBorder="1"/>
    <xf numFmtId="177" fontId="29" fillId="0" borderId="18" xfId="4" applyNumberFormat="1" applyFont="1" applyBorder="1"/>
    <xf numFmtId="177" fontId="29" fillId="0" borderId="23" xfId="4" applyNumberFormat="1" applyFont="1" applyBorder="1"/>
    <xf numFmtId="177" fontId="29" fillId="0" borderId="0" xfId="4" applyNumberFormat="1" applyFont="1" applyBorder="1"/>
    <xf numFmtId="185" fontId="29" fillId="0" borderId="0" xfId="4" applyNumberFormat="1" applyFont="1"/>
    <xf numFmtId="0" fontId="29" fillId="0" borderId="41" xfId="4" applyFont="1" applyBorder="1" applyAlignment="1">
      <alignment horizontal="left"/>
    </xf>
    <xf numFmtId="0" fontId="29" fillId="0" borderId="26" xfId="4" applyFont="1" applyBorder="1"/>
    <xf numFmtId="0" fontId="29" fillId="0" borderId="25" xfId="4" applyFont="1" applyBorder="1"/>
    <xf numFmtId="0" fontId="29" fillId="0" borderId="27" xfId="4" applyFont="1" applyBorder="1"/>
    <xf numFmtId="0" fontId="29" fillId="0" borderId="42" xfId="4" applyFont="1" applyBorder="1" applyAlignment="1">
      <alignment horizontal="left"/>
    </xf>
    <xf numFmtId="0" fontId="29" fillId="0" borderId="12" xfId="4" applyFont="1" applyBorder="1"/>
    <xf numFmtId="0" fontId="29" fillId="0" borderId="58" xfId="4" applyFont="1" applyBorder="1" applyAlignment="1">
      <alignment horizontal="left"/>
    </xf>
    <xf numFmtId="14" fontId="26" fillId="0" borderId="16" xfId="4" applyNumberFormat="1" applyFont="1" applyBorder="1"/>
    <xf numFmtId="14" fontId="29" fillId="0" borderId="2" xfId="4" applyNumberFormat="1" applyFont="1" applyBorder="1"/>
    <xf numFmtId="14" fontId="29" fillId="0" borderId="17" xfId="4" applyNumberFormat="1" applyFont="1" applyBorder="1"/>
    <xf numFmtId="14" fontId="29" fillId="0" borderId="0" xfId="4" applyNumberFormat="1" applyFont="1" applyBorder="1"/>
    <xf numFmtId="169" fontId="29" fillId="0" borderId="26" xfId="2" applyNumberFormat="1" applyFont="1" applyBorder="1"/>
    <xf numFmtId="169" fontId="29" fillId="0" borderId="25" xfId="2" applyNumberFormat="1" applyFont="1" applyBorder="1"/>
    <xf numFmtId="169" fontId="29" fillId="0" borderId="27" xfId="2" applyNumberFormat="1" applyFont="1" applyBorder="1"/>
    <xf numFmtId="169" fontId="29" fillId="0" borderId="16" xfId="2" applyNumberFormat="1" applyFont="1" applyBorder="1"/>
    <xf numFmtId="169" fontId="29" fillId="0" borderId="17" xfId="2" applyNumberFormat="1" applyFont="1" applyBorder="1"/>
    <xf numFmtId="0" fontId="29" fillId="0" borderId="18" xfId="4" applyFont="1" applyBorder="1" applyAlignment="1">
      <alignment horizontal="left"/>
    </xf>
    <xf numFmtId="184" fontId="29" fillId="0" borderId="2" xfId="4" applyNumberFormat="1" applyFont="1" applyBorder="1"/>
    <xf numFmtId="184" fontId="29" fillId="0" borderId="16" xfId="4" applyNumberFormat="1" applyFont="1" applyBorder="1"/>
    <xf numFmtId="184" fontId="29" fillId="0" borderId="17" xfId="4" applyNumberFormat="1" applyFont="1" applyBorder="1"/>
    <xf numFmtId="164" fontId="29" fillId="0" borderId="26" xfId="4" applyNumberFormat="1" applyFont="1" applyBorder="1"/>
    <xf numFmtId="164" fontId="29" fillId="0" borderId="25" xfId="5" applyNumberFormat="1" applyFont="1" applyBorder="1"/>
    <xf numFmtId="164" fontId="29" fillId="0" borderId="27" xfId="5" applyNumberFormat="1" applyFont="1" applyBorder="1"/>
    <xf numFmtId="164" fontId="29" fillId="0" borderId="16" xfId="4" applyNumberFormat="1" applyFont="1" applyBorder="1"/>
    <xf numFmtId="164" fontId="29" fillId="0" borderId="2" xfId="5" applyNumberFormat="1" applyFont="1" applyBorder="1"/>
    <xf numFmtId="164" fontId="29" fillId="0" borderId="17" xfId="5" applyNumberFormat="1" applyFont="1" applyBorder="1"/>
    <xf numFmtId="164" fontId="29" fillId="0" borderId="0" xfId="4" applyNumberFormat="1" applyFont="1"/>
    <xf numFmtId="178" fontId="31" fillId="0" borderId="0" xfId="0" applyNumberFormat="1" applyFont="1" applyBorder="1"/>
    <xf numFmtId="178" fontId="31" fillId="0" borderId="11" xfId="0" applyNumberFormat="1" applyFont="1" applyBorder="1"/>
    <xf numFmtId="10" fontId="31" fillId="0" borderId="0" xfId="0" applyNumberFormat="1" applyFont="1" applyBorder="1"/>
    <xf numFmtId="10" fontId="31" fillId="0" borderId="11" xfId="0" applyNumberFormat="1" applyFont="1" applyBorder="1"/>
    <xf numFmtId="164" fontId="31" fillId="0" borderId="0" xfId="0" applyNumberFormat="1" applyFont="1" applyBorder="1"/>
    <xf numFmtId="164" fontId="31" fillId="0" borderId="11" xfId="0" applyNumberFormat="1" applyFont="1" applyBorder="1"/>
    <xf numFmtId="164" fontId="26" fillId="0" borderId="11" xfId="0" applyNumberFormat="1" applyFont="1" applyBorder="1"/>
    <xf numFmtId="10" fontId="26" fillId="0" borderId="0" xfId="0" applyNumberFormat="1" applyFont="1" applyBorder="1"/>
    <xf numFmtId="10" fontId="31" fillId="0" borderId="0" xfId="0" applyNumberFormat="1" applyFont="1" applyFill="1" applyBorder="1"/>
    <xf numFmtId="10" fontId="31" fillId="0" borderId="11" xfId="0" applyNumberFormat="1" applyFont="1" applyFill="1" applyBorder="1"/>
    <xf numFmtId="178" fontId="31" fillId="0" borderId="0" xfId="0" applyNumberFormat="1" applyFont="1" applyFill="1" applyBorder="1"/>
    <xf numFmtId="178" fontId="31" fillId="0" borderId="11" xfId="0" applyNumberFormat="1" applyFont="1" applyFill="1" applyBorder="1"/>
    <xf numFmtId="179" fontId="26" fillId="0" borderId="0" xfId="0" applyNumberFormat="1" applyFont="1" applyBorder="1"/>
    <xf numFmtId="10" fontId="27" fillId="0" borderId="0" xfId="0" applyNumberFormat="1" applyFont="1" applyBorder="1" applyAlignment="1">
      <alignment horizontal="center"/>
    </xf>
    <xf numFmtId="10" fontId="27" fillId="0" borderId="11" xfId="0" applyNumberFormat="1" applyFont="1" applyBorder="1" applyAlignment="1">
      <alignment horizontal="center"/>
    </xf>
    <xf numFmtId="10" fontId="31" fillId="0" borderId="2" xfId="0" applyNumberFormat="1" applyFont="1" applyBorder="1"/>
    <xf numFmtId="10" fontId="26" fillId="0" borderId="17" xfId="0" applyNumberFormat="1" applyFont="1" applyBorder="1"/>
    <xf numFmtId="164" fontId="29" fillId="0" borderId="11" xfId="4" applyNumberFormat="1" applyFont="1" applyBorder="1"/>
    <xf numFmtId="0" fontId="28" fillId="4" borderId="0" xfId="4" applyFont="1" applyFill="1"/>
    <xf numFmtId="0" fontId="7" fillId="0" borderId="0" xfId="3" applyAlignment="1"/>
    <xf numFmtId="0" fontId="39" fillId="6" borderId="59" xfId="75" applyFont="1" applyFill="1" applyBorder="1" applyAlignment="1" applyProtection="1">
      <alignment horizontal="center" vertical="top" wrapText="1"/>
      <protection locked="0"/>
    </xf>
    <xf numFmtId="0" fontId="0" fillId="0" borderId="0" xfId="3" applyFont="1" applyAlignment="1">
      <alignment horizontal="right" vertical="center"/>
    </xf>
    <xf numFmtId="0" fontId="7" fillId="0" borderId="60" xfId="3" applyBorder="1"/>
    <xf numFmtId="0" fontId="0" fillId="0" borderId="0" xfId="0" applyAlignment="1"/>
    <xf numFmtId="0" fontId="41" fillId="0" borderId="0" xfId="3" applyFont="1" applyAlignment="1"/>
    <xf numFmtId="0" fontId="0" fillId="0" borderId="0" xfId="0" applyAlignment="1">
      <alignment horizontal="center" vertical="center" wrapText="1"/>
    </xf>
    <xf numFmtId="0" fontId="8" fillId="0" borderId="0" xfId="3" applyFont="1" applyAlignment="1">
      <alignment horizontal="right" vertical="center" wrapText="1" indent="1"/>
    </xf>
    <xf numFmtId="0" fontId="31" fillId="9" borderId="11" xfId="3" applyFont="1" applyFill="1" applyBorder="1" applyProtection="1">
      <protection locked="0"/>
    </xf>
    <xf numFmtId="0" fontId="31" fillId="9" borderId="27" xfId="0" applyFont="1" applyFill="1" applyBorder="1" applyProtection="1">
      <protection locked="0"/>
    </xf>
    <xf numFmtId="0" fontId="31" fillId="9" borderId="11" xfId="0" applyFont="1" applyFill="1" applyBorder="1" applyProtection="1">
      <protection locked="0"/>
    </xf>
    <xf numFmtId="0" fontId="31" fillId="9" borderId="17" xfId="0" applyFont="1" applyFill="1" applyBorder="1" applyProtection="1">
      <protection locked="0"/>
    </xf>
    <xf numFmtId="43" fontId="29" fillId="0" borderId="0" xfId="4" applyNumberFormat="1" applyFont="1" applyBorder="1"/>
    <xf numFmtId="184" fontId="29" fillId="0" borderId="26" xfId="4" applyNumberFormat="1" applyFont="1" applyBorder="1"/>
    <xf numFmtId="0" fontId="5" fillId="0" borderId="0" xfId="76" applyFont="1"/>
    <xf numFmtId="0" fontId="25" fillId="10" borderId="62" xfId="76" applyFont="1" applyFill="1" applyBorder="1" applyAlignment="1">
      <alignment horizontal="center"/>
    </xf>
    <xf numFmtId="0" fontId="5" fillId="0" borderId="41" xfId="76" applyFont="1" applyBorder="1"/>
    <xf numFmtId="0" fontId="5" fillId="0" borderId="42" xfId="76" applyFont="1" applyBorder="1"/>
    <xf numFmtId="0" fontId="26" fillId="0" borderId="42" xfId="76" applyFont="1" applyBorder="1"/>
    <xf numFmtId="0" fontId="5" fillId="0" borderId="58" xfId="76" applyFont="1" applyBorder="1"/>
    <xf numFmtId="0" fontId="5" fillId="0" borderId="12" xfId="76" applyFont="1" applyBorder="1"/>
    <xf numFmtId="10" fontId="26" fillId="0" borderId="0" xfId="76" applyNumberFormat="1" applyFont="1" applyBorder="1"/>
    <xf numFmtId="0" fontId="5" fillId="0" borderId="11" xfId="76" applyFont="1" applyBorder="1"/>
    <xf numFmtId="0" fontId="31" fillId="0" borderId="0" xfId="76" applyFont="1" applyBorder="1"/>
    <xf numFmtId="0" fontId="25" fillId="0" borderId="12" xfId="76" applyFont="1" applyBorder="1"/>
    <xf numFmtId="0" fontId="5" fillId="0" borderId="0" xfId="76" applyFont="1" applyBorder="1"/>
    <xf numFmtId="0" fontId="26" fillId="0" borderId="41" xfId="76" applyFont="1" applyBorder="1"/>
    <xf numFmtId="178" fontId="26" fillId="0" borderId="42" xfId="76" applyNumberFormat="1" applyFont="1" applyBorder="1"/>
    <xf numFmtId="10" fontId="26" fillId="0" borderId="58" xfId="76" applyNumberFormat="1" applyFont="1" applyBorder="1"/>
    <xf numFmtId="10" fontId="26" fillId="0" borderId="42" xfId="76" applyNumberFormat="1" applyFont="1" applyBorder="1"/>
    <xf numFmtId="0" fontId="25" fillId="0" borderId="2" xfId="76" applyFont="1" applyBorder="1"/>
    <xf numFmtId="179" fontId="26" fillId="0" borderId="42" xfId="76" applyNumberFormat="1" applyFont="1" applyBorder="1"/>
    <xf numFmtId="0" fontId="29" fillId="0" borderId="0" xfId="4" applyFont="1" applyBorder="1" applyAlignment="1">
      <alignment horizontal="left"/>
    </xf>
    <xf numFmtId="14" fontId="26" fillId="0" borderId="0" xfId="4" applyNumberFormat="1" applyFont="1" applyBorder="1"/>
    <xf numFmtId="0" fontId="28" fillId="0" borderId="0" xfId="4" applyFont="1" applyFill="1" applyBorder="1" applyAlignment="1">
      <alignment horizontal="center"/>
    </xf>
    <xf numFmtId="0" fontId="28" fillId="0" borderId="12" xfId="4" applyFont="1" applyFill="1" applyBorder="1" applyAlignment="1">
      <alignment horizontal="center"/>
    </xf>
    <xf numFmtId="0" fontId="28" fillId="0" borderId="0" xfId="4" applyFont="1" applyBorder="1" applyAlignment="1">
      <alignment horizontal="center"/>
    </xf>
    <xf numFmtId="0" fontId="29" fillId="0" borderId="16" xfId="4" applyFont="1" applyFill="1" applyBorder="1" applyAlignment="1">
      <alignment horizontal="center" wrapText="1"/>
    </xf>
    <xf numFmtId="0" fontId="29" fillId="0" borderId="17" xfId="4" applyFont="1" applyFill="1" applyBorder="1" applyAlignment="1">
      <alignment horizontal="center" wrapText="1"/>
    </xf>
    <xf numFmtId="0" fontId="4" fillId="0" borderId="58" xfId="76" applyFont="1" applyBorder="1"/>
    <xf numFmtId="0" fontId="4" fillId="0" borderId="42" xfId="76" applyFont="1" applyBorder="1"/>
    <xf numFmtId="0" fontId="0" fillId="0" borderId="0" xfId="0" applyAlignment="1">
      <alignment horizontal="center" vertical="center" wrapText="1"/>
    </xf>
    <xf numFmtId="0" fontId="7" fillId="0" borderId="60" xfId="3" applyBorder="1" applyAlignment="1">
      <alignment horizontal="center"/>
    </xf>
    <xf numFmtId="0" fontId="40" fillId="0" borderId="0" xfId="3" applyFont="1" applyAlignment="1">
      <alignment wrapText="1"/>
    </xf>
    <xf numFmtId="0" fontId="0" fillId="0" borderId="0" xfId="0" applyAlignment="1"/>
    <xf numFmtId="0" fontId="8" fillId="0" borderId="0" xfId="3" applyFont="1" applyAlignment="1"/>
    <xf numFmtId="0" fontId="8" fillId="0" borderId="0" xfId="0" applyFont="1" applyAlignment="1"/>
    <xf numFmtId="0" fontId="8" fillId="0" borderId="60" xfId="0" applyFont="1" applyBorder="1" applyAlignment="1"/>
    <xf numFmtId="0" fontId="16" fillId="2" borderId="0" xfId="3" applyFont="1" applyFill="1" applyBorder="1" applyAlignment="1">
      <alignment horizontal="left" vertical="center"/>
    </xf>
    <xf numFmtId="173" fontId="17" fillId="3" borderId="0" xfId="2" applyNumberFormat="1" applyFont="1" applyFill="1" applyBorder="1" applyAlignment="1" applyProtection="1">
      <alignment horizontal="left" vertical="center"/>
    </xf>
    <xf numFmtId="175" fontId="17" fillId="3" borderId="0" xfId="2" applyNumberFormat="1" applyFont="1" applyFill="1" applyBorder="1" applyAlignment="1" applyProtection="1">
      <alignment horizontal="left" vertical="center"/>
    </xf>
    <xf numFmtId="0" fontId="7" fillId="0" borderId="0" xfId="3" applyBorder="1" applyAlignment="1"/>
    <xf numFmtId="0" fontId="8" fillId="0" borderId="60" xfId="3" applyFont="1" applyBorder="1" applyAlignment="1"/>
    <xf numFmtId="0" fontId="3" fillId="0" borderId="42" xfId="76" applyFont="1" applyBorder="1"/>
    <xf numFmtId="0" fontId="8" fillId="0" borderId="0" xfId="3" applyFont="1" applyBorder="1" applyAlignment="1"/>
    <xf numFmtId="0" fontId="7" fillId="0" borderId="8" xfId="3" applyBorder="1" applyAlignment="1"/>
    <xf numFmtId="0" fontId="7" fillId="0" borderId="9" xfId="3" applyBorder="1" applyAlignment="1"/>
    <xf numFmtId="0" fontId="8" fillId="0" borderId="8" xfId="3" applyFont="1" applyBorder="1" applyAlignment="1"/>
    <xf numFmtId="0" fontId="8" fillId="0" borderId="9" xfId="3" applyFont="1" applyBorder="1" applyAlignment="1"/>
    <xf numFmtId="0" fontId="7" fillId="0" borderId="10" xfId="3" applyBorder="1" applyAlignment="1"/>
    <xf numFmtId="0" fontId="7" fillId="0" borderId="8" xfId="3" applyBorder="1"/>
    <xf numFmtId="0" fontId="7" fillId="0" borderId="9" xfId="3" applyBorder="1"/>
    <xf numFmtId="0" fontId="7" fillId="0" borderId="10" xfId="3" applyBorder="1"/>
    <xf numFmtId="0" fontId="7" fillId="0" borderId="8" xfId="3" applyFont="1" applyBorder="1" applyAlignment="1"/>
    <xf numFmtId="0" fontId="7" fillId="0" borderId="9" xfId="3" applyFont="1" applyBorder="1" applyAlignment="1"/>
    <xf numFmtId="0" fontId="2" fillId="0" borderId="42" xfId="76" applyFont="1" applyBorder="1"/>
    <xf numFmtId="0" fontId="2" fillId="0" borderId="58" xfId="76" applyFont="1" applyBorder="1"/>
    <xf numFmtId="0" fontId="1" fillId="0" borderId="0" xfId="74" applyFont="1"/>
    <xf numFmtId="0" fontId="31" fillId="11" borderId="42" xfId="76" applyFont="1" applyFill="1" applyBorder="1" applyProtection="1">
      <protection locked="0"/>
    </xf>
    <xf numFmtId="49" fontId="31" fillId="11" borderId="42" xfId="76" applyNumberFormat="1" applyFont="1" applyFill="1" applyBorder="1" applyProtection="1">
      <protection locked="0"/>
    </xf>
    <xf numFmtId="0" fontId="31" fillId="11" borderId="41" xfId="76" applyFont="1" applyFill="1" applyBorder="1" applyProtection="1">
      <protection locked="0"/>
    </xf>
    <xf numFmtId="49" fontId="31" fillId="11" borderId="58" xfId="76" applyNumberFormat="1" applyFont="1" applyFill="1" applyBorder="1" applyProtection="1">
      <protection locked="0"/>
    </xf>
    <xf numFmtId="49" fontId="31" fillId="11" borderId="41" xfId="76" applyNumberFormat="1" applyFont="1" applyFill="1" applyBorder="1" applyProtection="1">
      <protection locked="0"/>
    </xf>
    <xf numFmtId="186" fontId="31" fillId="11" borderId="42" xfId="76" applyNumberFormat="1" applyFont="1" applyFill="1" applyBorder="1" applyProtection="1">
      <protection locked="0"/>
    </xf>
    <xf numFmtId="0" fontId="31" fillId="11" borderId="58" xfId="76" applyFont="1" applyFill="1" applyBorder="1" applyProtection="1">
      <protection locked="0"/>
    </xf>
    <xf numFmtId="0" fontId="27" fillId="0" borderId="77" xfId="0" applyFont="1" applyBorder="1" applyAlignment="1">
      <alignment horizontal="center"/>
    </xf>
    <xf numFmtId="0" fontId="27" fillId="0" borderId="31" xfId="0" applyFont="1" applyBorder="1" applyAlignment="1">
      <alignment horizontal="center"/>
    </xf>
    <xf numFmtId="182" fontId="26" fillId="0" borderId="0" xfId="0" applyNumberFormat="1" applyFont="1" applyBorder="1"/>
    <xf numFmtId="182" fontId="26" fillId="0" borderId="11" xfId="0" applyNumberFormat="1" applyFont="1" applyBorder="1"/>
    <xf numFmtId="182" fontId="26" fillId="0" borderId="2" xfId="0" applyNumberFormat="1" applyFont="1" applyBorder="1"/>
    <xf numFmtId="182" fontId="26" fillId="0" borderId="17" xfId="0" applyNumberFormat="1" applyFont="1" applyBorder="1"/>
    <xf numFmtId="0" fontId="29" fillId="0" borderId="0" xfId="4" applyNumberFormat="1" applyFont="1" applyFill="1" applyBorder="1"/>
    <xf numFmtId="183" fontId="26" fillId="0" borderId="41" xfId="3" applyNumberFormat="1" applyFont="1" applyBorder="1"/>
    <xf numFmtId="183" fontId="26" fillId="0" borderId="42" xfId="3" applyNumberFormat="1" applyFont="1" applyBorder="1"/>
    <xf numFmtId="183" fontId="26" fillId="0" borderId="58" xfId="3" applyNumberFormat="1" applyFont="1" applyBorder="1"/>
    <xf numFmtId="183" fontId="26" fillId="0" borderId="2" xfId="3" applyNumberFormat="1" applyFont="1" applyBorder="1"/>
    <xf numFmtId="49" fontId="26" fillId="0" borderId="38" xfId="0" applyNumberFormat="1" applyFont="1" applyBorder="1"/>
    <xf numFmtId="49" fontId="26" fillId="0" borderId="39" xfId="0" applyNumberFormat="1" applyFont="1" applyBorder="1"/>
    <xf numFmtId="2" fontId="29" fillId="0" borderId="25" xfId="4" applyNumberFormat="1" applyFont="1" applyFill="1" applyBorder="1" applyAlignment="1"/>
    <xf numFmtId="2" fontId="29" fillId="0" borderId="0" xfId="4" applyNumberFormat="1" applyFont="1" applyFill="1" applyBorder="1" applyAlignment="1"/>
    <xf numFmtId="2" fontId="29" fillId="0" borderId="2" xfId="4" applyNumberFormat="1" applyFont="1" applyFill="1" applyBorder="1" applyAlignment="1"/>
    <xf numFmtId="0" fontId="29" fillId="0" borderId="26" xfId="4" applyFont="1" applyFill="1" applyBorder="1" applyAlignment="1">
      <alignment horizontal="center"/>
    </xf>
    <xf numFmtId="0" fontId="29" fillId="0" borderId="12" xfId="4" applyFont="1" applyFill="1" applyBorder="1" applyAlignment="1">
      <alignment horizontal="center"/>
    </xf>
    <xf numFmtId="0" fontId="29" fillId="0" borderId="16" xfId="4" applyFont="1" applyFill="1" applyBorder="1" applyAlignment="1">
      <alignment horizontal="center"/>
    </xf>
    <xf numFmtId="187" fontId="26" fillId="0" borderId="0" xfId="2" applyNumberFormat="1" applyFont="1" applyAlignment="1">
      <alignment horizontal="center"/>
    </xf>
    <xf numFmtId="166" fontId="26" fillId="0" borderId="0" xfId="2" applyFont="1" applyFill="1" applyAlignment="1">
      <alignment horizontal="center"/>
    </xf>
    <xf numFmtId="164" fontId="29" fillId="0" borderId="12" xfId="4" applyNumberFormat="1" applyFont="1" applyBorder="1"/>
    <xf numFmtId="164" fontId="29" fillId="0" borderId="11" xfId="5" applyNumberFormat="1" applyFont="1" applyBorder="1"/>
    <xf numFmtId="0" fontId="29" fillId="0" borderId="0" xfId="4" applyFont="1" applyAlignment="1">
      <alignment horizontal="left" indent="1"/>
    </xf>
    <xf numFmtId="182" fontId="26" fillId="0" borderId="0" xfId="0" applyNumberFormat="1" applyFont="1" applyFill="1" applyProtection="1">
      <protection locked="0"/>
    </xf>
    <xf numFmtId="184" fontId="29" fillId="0" borderId="0" xfId="4" applyNumberFormat="1" applyFont="1"/>
    <xf numFmtId="0" fontId="26" fillId="0" borderId="12" xfId="0" applyFont="1" applyBorder="1" applyAlignment="1">
      <alignment horizontal="left" indent="1"/>
    </xf>
    <xf numFmtId="182" fontId="26" fillId="0" borderId="11" xfId="0" applyNumberFormat="1" applyFont="1" applyBorder="1" applyProtection="1"/>
    <xf numFmtId="182" fontId="26" fillId="0" borderId="17" xfId="0" applyNumberFormat="1" applyFont="1" applyBorder="1" applyProtection="1"/>
    <xf numFmtId="0" fontId="25" fillId="0" borderId="0" xfId="0" applyFont="1" applyFill="1" applyAlignment="1">
      <alignment horizontal="center"/>
    </xf>
    <xf numFmtId="0" fontId="26" fillId="0" borderId="0" xfId="0" applyNumberFormat="1" applyFont="1" applyFill="1"/>
    <xf numFmtId="182" fontId="26" fillId="0" borderId="0" xfId="0" applyNumberFormat="1" applyFont="1"/>
    <xf numFmtId="182" fontId="26" fillId="0" borderId="0" xfId="0" applyNumberFormat="1" applyFont="1" applyAlignment="1">
      <alignment horizontal="right"/>
    </xf>
    <xf numFmtId="0" fontId="45" fillId="0" borderId="0" xfId="0" applyFont="1" applyAlignment="1" applyProtection="1">
      <protection locked="0"/>
    </xf>
    <xf numFmtId="180" fontId="26" fillId="0" borderId="0" xfId="0" applyNumberFormat="1" applyFont="1"/>
    <xf numFmtId="188" fontId="45" fillId="0" borderId="0" xfId="3" applyNumberFormat="1" applyFont="1" applyFill="1" applyAlignment="1" applyProtection="1">
      <alignment horizontal="right"/>
      <protection locked="0"/>
    </xf>
    <xf numFmtId="0" fontId="24" fillId="2" borderId="81" xfId="3" applyFont="1" applyFill="1" applyBorder="1" applyAlignment="1">
      <alignment horizontal="center" vertical="center" wrapText="1"/>
    </xf>
    <xf numFmtId="172" fontId="7" fillId="3" borderId="83" xfId="2" applyNumberFormat="1" applyFont="1" applyFill="1" applyBorder="1" applyAlignment="1" applyProtection="1">
      <alignment horizontal="center" vertical="center"/>
    </xf>
    <xf numFmtId="173" fontId="20" fillId="3" borderId="86" xfId="3" applyNumberFormat="1" applyFont="1" applyFill="1" applyBorder="1" applyAlignment="1">
      <alignment horizontal="center" vertical="center"/>
    </xf>
    <xf numFmtId="0" fontId="26" fillId="0" borderId="12" xfId="3" applyFont="1" applyBorder="1" applyProtection="1"/>
    <xf numFmtId="0" fontId="26" fillId="0" borderId="12" xfId="0" applyFont="1" applyBorder="1" applyProtection="1"/>
    <xf numFmtId="0" fontId="27" fillId="0" borderId="12" xfId="0" applyFont="1" applyFill="1" applyBorder="1" applyAlignment="1" applyProtection="1">
      <alignment horizontal="center"/>
    </xf>
    <xf numFmtId="0" fontId="26" fillId="0" borderId="16" xfId="0" applyFont="1" applyBorder="1" applyProtection="1"/>
    <xf numFmtId="0" fontId="27" fillId="0" borderId="36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</xf>
    <xf numFmtId="0" fontId="27" fillId="0" borderId="37" xfId="0" applyFont="1" applyFill="1" applyBorder="1" applyAlignment="1" applyProtection="1">
      <alignment horizontal="center"/>
    </xf>
    <xf numFmtId="0" fontId="27" fillId="0" borderId="35" xfId="0" applyFont="1" applyBorder="1" applyAlignment="1" applyProtection="1">
      <alignment horizontal="center"/>
    </xf>
    <xf numFmtId="0" fontId="26" fillId="0" borderId="26" xfId="0" applyFont="1" applyBorder="1" applyProtection="1"/>
    <xf numFmtId="181" fontId="26" fillId="0" borderId="0" xfId="0" applyNumberFormat="1" applyFont="1" applyProtection="1"/>
    <xf numFmtId="0" fontId="26" fillId="0" borderId="0" xfId="3" applyFont="1" applyBorder="1" applyProtection="1"/>
    <xf numFmtId="164" fontId="31" fillId="0" borderId="0" xfId="0" applyNumberFormat="1" applyFont="1" applyBorder="1" applyProtection="1"/>
    <xf numFmtId="0" fontId="26" fillId="0" borderId="0" xfId="0" applyFont="1" applyAlignment="1" applyProtection="1"/>
    <xf numFmtId="0" fontId="26" fillId="0" borderId="0" xfId="0" applyFont="1" applyAlignment="1" applyProtection="1">
      <alignment horizontal="center"/>
    </xf>
    <xf numFmtId="0" fontId="26" fillId="0" borderId="0" xfId="0" applyFont="1" applyAlignment="1" applyProtection="1">
      <alignment horizontal="right"/>
    </xf>
    <xf numFmtId="0" fontId="27" fillId="7" borderId="13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14" xfId="0" applyFont="1" applyFill="1" applyBorder="1" applyAlignment="1">
      <alignment horizontal="center"/>
    </xf>
    <xf numFmtId="0" fontId="31" fillId="6" borderId="0" xfId="0" applyFont="1" applyFill="1" applyBorder="1" applyAlignment="1" applyProtection="1">
      <protection locked="0"/>
    </xf>
    <xf numFmtId="0" fontId="0" fillId="0" borderId="0" xfId="0" applyAlignment="1"/>
    <xf numFmtId="0" fontId="0" fillId="0" borderId="11" xfId="0" applyBorder="1" applyAlignment="1"/>
    <xf numFmtId="179" fontId="31" fillId="9" borderId="2" xfId="0" applyNumberFormat="1" applyFont="1" applyFill="1" applyBorder="1" applyAlignment="1" applyProtection="1">
      <protection locked="0"/>
    </xf>
    <xf numFmtId="0" fontId="0" fillId="0" borderId="17" xfId="0" applyBorder="1" applyAlignment="1" applyProtection="1">
      <protection locked="0"/>
    </xf>
    <xf numFmtId="10" fontId="31" fillId="9" borderId="0" xfId="0" applyNumberFormat="1" applyFont="1" applyFill="1" applyBorder="1" applyAlignment="1" applyProtection="1">
      <protection locked="0"/>
    </xf>
    <xf numFmtId="0" fontId="0" fillId="0" borderId="11" xfId="0" applyBorder="1" applyAlignment="1" applyProtection="1">
      <protection locked="0"/>
    </xf>
    <xf numFmtId="178" fontId="31" fillId="9" borderId="0" xfId="0" applyNumberFormat="1" applyFont="1" applyFill="1" applyBorder="1" applyAlignment="1" applyProtection="1">
      <protection locked="0"/>
    </xf>
    <xf numFmtId="0" fontId="26" fillId="0" borderId="0" xfId="0" applyFont="1" applyBorder="1" applyAlignment="1" applyProtection="1"/>
    <xf numFmtId="0" fontId="0" fillId="0" borderId="11" xfId="0" applyBorder="1" applyAlignment="1" applyProtection="1"/>
    <xf numFmtId="0" fontId="27" fillId="0" borderId="0" xfId="0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49" fontId="31" fillId="9" borderId="0" xfId="3" applyNumberFormat="1" applyFont="1" applyFill="1" applyBorder="1" applyAlignment="1" applyProtection="1">
      <protection locked="0"/>
    </xf>
    <xf numFmtId="0" fontId="31" fillId="9" borderId="29" xfId="3" applyFont="1" applyFill="1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0" fontId="26" fillId="0" borderId="0" xfId="3" applyFont="1" applyBorder="1" applyAlignment="1" applyProtection="1"/>
    <xf numFmtId="0" fontId="27" fillId="7" borderId="13" xfId="0" applyFont="1" applyFill="1" applyBorder="1" applyAlignment="1" applyProtection="1">
      <alignment horizontal="center"/>
    </xf>
    <xf numFmtId="0" fontId="27" fillId="7" borderId="14" xfId="0" applyFont="1" applyFill="1" applyBorder="1" applyAlignment="1" applyProtection="1">
      <alignment horizontal="center"/>
    </xf>
    <xf numFmtId="0" fontId="27" fillId="7" borderId="15" xfId="0" applyFont="1" applyFill="1" applyBorder="1" applyAlignment="1" applyProtection="1">
      <alignment horizontal="center"/>
    </xf>
    <xf numFmtId="0" fontId="31" fillId="9" borderId="0" xfId="3" applyFont="1" applyFill="1" applyBorder="1" applyAlignment="1" applyProtection="1">
      <protection locked="0"/>
    </xf>
    <xf numFmtId="49" fontId="31" fillId="6" borderId="0" xfId="0" applyNumberFormat="1" applyFont="1" applyFill="1" applyBorder="1" applyAlignment="1" applyProtection="1">
      <protection locked="0"/>
    </xf>
    <xf numFmtId="49" fontId="31" fillId="6" borderId="11" xfId="0" applyNumberFormat="1" applyFont="1" applyFill="1" applyBorder="1" applyAlignment="1" applyProtection="1">
      <protection locked="0"/>
    </xf>
    <xf numFmtId="0" fontId="31" fillId="9" borderId="0" xfId="3" applyFont="1" applyFill="1" applyBorder="1" applyAlignment="1" applyProtection="1">
      <alignment horizontal="left"/>
      <protection locked="0"/>
    </xf>
    <xf numFmtId="0" fontId="0" fillId="0" borderId="6" xfId="3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6" xfId="3" applyFont="1" applyFill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2" fontId="13" fillId="0" borderId="84" xfId="3" applyNumberFormat="1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172" fontId="24" fillId="2" borderId="6" xfId="2" applyNumberFormat="1" applyFont="1" applyFill="1" applyBorder="1" applyAlignment="1" applyProtection="1">
      <alignment horizontal="center" vertical="center"/>
    </xf>
    <xf numFmtId="172" fontId="24" fillId="2" borderId="79" xfId="2" applyNumberFormat="1" applyFont="1" applyFill="1" applyBorder="1" applyAlignment="1" applyProtection="1">
      <alignment horizontal="center" vertical="center"/>
    </xf>
    <xf numFmtId="0" fontId="0" fillId="0" borderId="80" xfId="0" applyBorder="1" applyAlignment="1">
      <alignment horizontal="center" vertical="center"/>
    </xf>
    <xf numFmtId="172" fontId="7" fillId="0" borderId="82" xfId="2" applyNumberFormat="1" applyFont="1" applyFill="1" applyBorder="1" applyAlignment="1" applyProtection="1">
      <alignment horizontal="center" vertical="center"/>
    </xf>
    <xf numFmtId="0" fontId="0" fillId="0" borderId="42" xfId="0" applyBorder="1" applyAlignment="1">
      <alignment horizontal="center" vertical="center"/>
    </xf>
    <xf numFmtId="172" fontId="7" fillId="0" borderId="6" xfId="2" applyNumberFormat="1" applyFont="1" applyFill="1" applyBorder="1" applyAlignment="1" applyProtection="1">
      <alignment horizontal="center" vertical="center"/>
    </xf>
    <xf numFmtId="0" fontId="7" fillId="0" borderId="72" xfId="3" applyFont="1" applyBorder="1" applyAlignment="1"/>
    <xf numFmtId="0" fontId="7" fillId="0" borderId="73" xfId="3" applyFont="1" applyBorder="1" applyAlignment="1"/>
    <xf numFmtId="0" fontId="7" fillId="0" borderId="74" xfId="3" applyFont="1" applyBorder="1" applyAlignment="1"/>
    <xf numFmtId="0" fontId="7" fillId="0" borderId="60" xfId="3" applyBorder="1" applyAlignment="1"/>
    <xf numFmtId="0" fontId="7" fillId="0" borderId="66" xfId="3" applyBorder="1" applyAlignment="1"/>
    <xf numFmtId="0" fontId="8" fillId="4" borderId="63" xfId="3" applyFont="1" applyFill="1" applyBorder="1" applyAlignment="1"/>
    <xf numFmtId="0" fontId="0" fillId="4" borderId="64" xfId="0" applyFill="1" applyBorder="1" applyAlignment="1"/>
    <xf numFmtId="0" fontId="0" fillId="4" borderId="65" xfId="0" applyFill="1" applyBorder="1" applyAlignment="1"/>
    <xf numFmtId="0" fontId="7" fillId="0" borderId="69" xfId="3" applyFont="1" applyBorder="1" applyAlignment="1"/>
    <xf numFmtId="0" fontId="7" fillId="0" borderId="70" xfId="3" applyFont="1" applyBorder="1" applyAlignment="1"/>
    <xf numFmtId="0" fontId="7" fillId="0" borderId="71" xfId="3" applyFont="1" applyBorder="1" applyAlignment="1"/>
    <xf numFmtId="0" fontId="7" fillId="0" borderId="67" xfId="3" applyBorder="1" applyAlignment="1"/>
    <xf numFmtId="0" fontId="7" fillId="0" borderId="68" xfId="3" applyBorder="1" applyAlignment="1"/>
    <xf numFmtId="0" fontId="41" fillId="0" borderId="72" xfId="3" applyFont="1" applyBorder="1" applyAlignment="1"/>
    <xf numFmtId="0" fontId="41" fillId="0" borderId="73" xfId="3" applyFont="1" applyBorder="1" applyAlignment="1"/>
    <xf numFmtId="0" fontId="41" fillId="0" borderId="74" xfId="3" applyFont="1" applyBorder="1" applyAlignment="1"/>
    <xf numFmtId="0" fontId="0" fillId="0" borderId="72" xfId="3" applyFont="1" applyBorder="1" applyAlignment="1"/>
    <xf numFmtId="0" fontId="10" fillId="0" borderId="63" xfId="3" applyFont="1" applyBorder="1" applyAlignment="1">
      <alignment horizontal="center"/>
    </xf>
    <xf numFmtId="0" fontId="10" fillId="0" borderId="64" xfId="3" applyFont="1" applyBorder="1" applyAlignment="1">
      <alignment horizontal="center"/>
    </xf>
    <xf numFmtId="0" fontId="10" fillId="0" borderId="65" xfId="3" applyFont="1" applyBorder="1" applyAlignment="1">
      <alignment horizontal="center"/>
    </xf>
    <xf numFmtId="0" fontId="0" fillId="0" borderId="69" xfId="3" applyFont="1" applyBorder="1" applyAlignment="1"/>
    <xf numFmtId="0" fontId="16" fillId="2" borderId="0" xfId="3" applyFont="1" applyFill="1" applyBorder="1" applyAlignment="1">
      <alignment horizontal="left" vertical="center"/>
    </xf>
    <xf numFmtId="0" fontId="14" fillId="2" borderId="3" xfId="3" applyFont="1" applyFill="1" applyBorder="1" applyAlignment="1">
      <alignment horizontal="center" vertical="center"/>
    </xf>
    <xf numFmtId="0" fontId="14" fillId="2" borderId="4" xfId="3" applyFont="1" applyFill="1" applyBorder="1" applyAlignment="1">
      <alignment horizontal="center" vertical="center"/>
    </xf>
    <xf numFmtId="0" fontId="14" fillId="2" borderId="5" xfId="3" applyFont="1" applyFill="1" applyBorder="1" applyAlignment="1">
      <alignment horizontal="center" vertical="center"/>
    </xf>
    <xf numFmtId="172" fontId="0" fillId="0" borderId="82" xfId="2" applyNumberFormat="1" applyFont="1" applyFill="1" applyBorder="1" applyAlignment="1" applyProtection="1">
      <alignment horizontal="center" vertical="center"/>
    </xf>
    <xf numFmtId="0" fontId="19" fillId="0" borderId="0" xfId="3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72" fontId="13" fillId="0" borderId="63" xfId="3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24" fillId="2" borderId="3" xfId="3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2" fontId="14" fillId="2" borderId="63" xfId="2" applyNumberFormat="1" applyFont="1" applyFill="1" applyBorder="1" applyAlignment="1" applyProtection="1">
      <alignment horizontal="center" vertical="center"/>
    </xf>
    <xf numFmtId="0" fontId="46" fillId="0" borderId="65" xfId="0" applyFont="1" applyBorder="1" applyAlignment="1">
      <alignment horizontal="center" vertical="center"/>
    </xf>
    <xf numFmtId="0" fontId="14" fillId="2" borderId="63" xfId="3" applyFont="1" applyFill="1" applyBorder="1" applyAlignment="1">
      <alignment horizontal="center" vertical="center"/>
    </xf>
    <xf numFmtId="0" fontId="14" fillId="2" borderId="64" xfId="3" applyFont="1" applyFill="1" applyBorder="1" applyAlignment="1">
      <alignment horizontal="center" vertical="center"/>
    </xf>
    <xf numFmtId="0" fontId="14" fillId="2" borderId="65" xfId="3" applyFont="1" applyFill="1" applyBorder="1" applyAlignment="1">
      <alignment horizontal="center" vertical="center"/>
    </xf>
    <xf numFmtId="0" fontId="19" fillId="0" borderId="63" xfId="3" applyFont="1" applyBorder="1" applyAlignment="1">
      <alignment horizontal="center" vertical="center"/>
    </xf>
    <xf numFmtId="0" fontId="8" fillId="0" borderId="60" xfId="3" applyFont="1" applyBorder="1" applyAlignment="1"/>
    <xf numFmtId="0" fontId="0" fillId="0" borderId="60" xfId="0" applyBorder="1" applyAlignment="1"/>
    <xf numFmtId="0" fontId="44" fillId="0" borderId="0" xfId="3" applyFont="1" applyAlignment="1">
      <alignment horizontal="center" wrapText="1"/>
    </xf>
    <xf numFmtId="0" fontId="41" fillId="0" borderId="0" xfId="0" applyFont="1" applyAlignment="1">
      <alignment horizontal="center" wrapText="1"/>
    </xf>
    <xf numFmtId="0" fontId="41" fillId="0" borderId="0" xfId="0" applyFont="1" applyAlignment="1">
      <alignment wrapText="1"/>
    </xf>
    <xf numFmtId="0" fontId="41" fillId="0" borderId="0" xfId="0" applyFont="1" applyAlignment="1"/>
    <xf numFmtId="0" fontId="0" fillId="8" borderId="0" xfId="3" applyFont="1" applyFill="1" applyAlignment="1">
      <alignment horizontal="center" vertical="center" wrapText="1"/>
    </xf>
    <xf numFmtId="0" fontId="0" fillId="8" borderId="0" xfId="3" applyFont="1" applyFill="1" applyAlignment="1">
      <alignment horizontal="right"/>
    </xf>
    <xf numFmtId="0" fontId="7" fillId="8" borderId="60" xfId="3" applyFill="1" applyBorder="1" applyAlignment="1">
      <alignment horizontal="center"/>
    </xf>
    <xf numFmtId="0" fontId="10" fillId="0" borderId="0" xfId="3" applyFont="1" applyAlignment="1">
      <alignment horizontal="center"/>
    </xf>
    <xf numFmtId="0" fontId="7" fillId="0" borderId="0" xfId="3" applyBorder="1" applyAlignment="1"/>
    <xf numFmtId="0" fontId="0" fillId="0" borderId="0" xfId="0" applyBorder="1" applyAlignment="1"/>
    <xf numFmtId="0" fontId="0" fillId="0" borderId="9" xfId="0" applyBorder="1" applyAlignment="1"/>
    <xf numFmtId="0" fontId="8" fillId="0" borderId="4" xfId="3" applyFont="1" applyBorder="1" applyAlignment="1">
      <alignment horizontal="center" vertical="center"/>
    </xf>
    <xf numFmtId="0" fontId="0" fillId="0" borderId="4" xfId="0" applyBorder="1" applyAlignment="1"/>
    <xf numFmtId="0" fontId="0" fillId="0" borderId="0" xfId="3" applyFont="1" applyAlignment="1">
      <alignment horizontal="center" vertical="center" wrapText="1"/>
    </xf>
    <xf numFmtId="0" fontId="37" fillId="0" borderId="0" xfId="3" applyFont="1" applyAlignment="1">
      <alignment horizontal="center"/>
    </xf>
    <xf numFmtId="0" fontId="0" fillId="0" borderId="60" xfId="3" applyFont="1" applyBorder="1" applyAlignment="1"/>
    <xf numFmtId="0" fontId="8" fillId="0" borderId="0" xfId="3" applyFont="1" applyBorder="1" applyAlignment="1">
      <alignment horizontal="right" vertical="center" wrapText="1"/>
    </xf>
    <xf numFmtId="0" fontId="0" fillId="0" borderId="61" xfId="0" applyBorder="1" applyAlignment="1"/>
    <xf numFmtId="0" fontId="41" fillId="0" borderId="0" xfId="3" applyFont="1" applyAlignment="1">
      <alignment horizontal="center" wrapText="1"/>
    </xf>
    <xf numFmtId="0" fontId="7" fillId="0" borderId="60" xfId="3" applyBorder="1" applyAlignment="1">
      <alignment horizontal="center"/>
    </xf>
    <xf numFmtId="0" fontId="0" fillId="0" borderId="60" xfId="0" applyBorder="1" applyAlignment="1">
      <alignment horizontal="center"/>
    </xf>
    <xf numFmtId="0" fontId="8" fillId="0" borderId="0" xfId="3" applyFont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8" fillId="0" borderId="60" xfId="0" applyFont="1" applyBorder="1" applyAlignment="1"/>
    <xf numFmtId="0" fontId="7" fillId="0" borderId="75" xfId="3" applyBorder="1" applyAlignment="1"/>
    <xf numFmtId="0" fontId="0" fillId="0" borderId="75" xfId="0" applyBorder="1" applyAlignment="1"/>
    <xf numFmtId="0" fontId="0" fillId="0" borderId="76" xfId="0" applyBorder="1" applyAlignment="1"/>
    <xf numFmtId="0" fontId="0" fillId="0" borderId="71" xfId="0" applyBorder="1" applyAlignment="1"/>
    <xf numFmtId="0" fontId="0" fillId="0" borderId="74" xfId="0" applyBorder="1" applyAlignment="1"/>
    <xf numFmtId="0" fontId="0" fillId="0" borderId="67" xfId="0" applyBorder="1" applyAlignment="1"/>
    <xf numFmtId="0" fontId="0" fillId="0" borderId="68" xfId="0" applyBorder="1" applyAlignment="1"/>
    <xf numFmtId="0" fontId="0" fillId="0" borderId="72" xfId="3" applyFont="1" applyBorder="1" applyAlignment="1">
      <alignment wrapText="1"/>
    </xf>
    <xf numFmtId="172" fontId="47" fillId="2" borderId="79" xfId="2" applyNumberFormat="1" applyFont="1" applyFill="1" applyBorder="1" applyAlignment="1" applyProtection="1">
      <alignment horizontal="center" vertical="center"/>
    </xf>
    <xf numFmtId="0" fontId="18" fillId="0" borderId="80" xfId="0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25" fillId="7" borderId="13" xfId="76" applyFont="1" applyFill="1" applyBorder="1" applyAlignment="1">
      <alignment horizontal="center"/>
    </xf>
    <xf numFmtId="0" fontId="25" fillId="7" borderId="14" xfId="76" applyFont="1" applyFill="1" applyBorder="1" applyAlignment="1">
      <alignment horizontal="center"/>
    </xf>
    <xf numFmtId="0" fontId="25" fillId="7" borderId="15" xfId="76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42" fillId="4" borderId="63" xfId="76" applyFont="1" applyFill="1" applyBorder="1" applyAlignment="1">
      <alignment horizontal="center"/>
    </xf>
    <xf numFmtId="0" fontId="43" fillId="4" borderId="64" xfId="0" applyFont="1" applyFill="1" applyBorder="1" applyAlignment="1">
      <alignment horizontal="center"/>
    </xf>
    <xf numFmtId="0" fontId="43" fillId="4" borderId="65" xfId="0" applyFont="1" applyFill="1" applyBorder="1" applyAlignment="1">
      <alignment horizontal="center"/>
    </xf>
    <xf numFmtId="0" fontId="28" fillId="0" borderId="78" xfId="4" applyFont="1" applyBorder="1" applyAlignment="1">
      <alignment horizontal="center" wrapText="1"/>
    </xf>
    <xf numFmtId="0" fontId="28" fillId="0" borderId="58" xfId="4" applyFont="1" applyBorder="1" applyAlignment="1">
      <alignment horizontal="center" wrapText="1"/>
    </xf>
    <xf numFmtId="0" fontId="26" fillId="0" borderId="28" xfId="3" applyFont="1" applyBorder="1" applyAlignment="1">
      <alignment horizontal="center" wrapText="1"/>
    </xf>
    <xf numFmtId="0" fontId="26" fillId="0" borderId="29" xfId="3" applyFont="1" applyBorder="1" applyAlignment="1">
      <alignment horizontal="center" wrapText="1"/>
    </xf>
    <xf numFmtId="0" fontId="26" fillId="0" borderId="30" xfId="3" applyFont="1" applyBorder="1" applyAlignment="1">
      <alignment horizontal="center" wrapText="1"/>
    </xf>
    <xf numFmtId="0" fontId="26" fillId="0" borderId="16" xfId="3" applyFont="1" applyBorder="1" applyAlignment="1">
      <alignment horizontal="center" wrapText="1"/>
    </xf>
    <xf numFmtId="0" fontId="26" fillId="0" borderId="2" xfId="3" applyFont="1" applyBorder="1" applyAlignment="1">
      <alignment horizontal="center" wrapText="1"/>
    </xf>
    <xf numFmtId="0" fontId="26" fillId="0" borderId="17" xfId="3" applyFont="1" applyBorder="1" applyAlignment="1">
      <alignment horizontal="center" wrapText="1"/>
    </xf>
    <xf numFmtId="168" fontId="28" fillId="7" borderId="13" xfId="4" applyNumberFormat="1" applyFont="1" applyFill="1" applyBorder="1" applyAlignment="1">
      <alignment horizontal="center"/>
    </xf>
    <xf numFmtId="168" fontId="28" fillId="7" borderId="14" xfId="4" applyNumberFormat="1" applyFont="1" applyFill="1" applyBorder="1" applyAlignment="1">
      <alignment horizontal="center"/>
    </xf>
    <xf numFmtId="168" fontId="28" fillId="7" borderId="15" xfId="4" applyNumberFormat="1" applyFont="1" applyFill="1" applyBorder="1" applyAlignment="1">
      <alignment horizontal="center"/>
    </xf>
    <xf numFmtId="0" fontId="28" fillId="7" borderId="13" xfId="4" applyFont="1" applyFill="1" applyBorder="1" applyAlignment="1">
      <alignment horizontal="center"/>
    </xf>
    <xf numFmtId="0" fontId="28" fillId="7" borderId="14" xfId="4" applyFont="1" applyFill="1" applyBorder="1" applyAlignment="1">
      <alignment horizontal="center"/>
    </xf>
    <xf numFmtId="0" fontId="28" fillId="7" borderId="15" xfId="4" applyFont="1" applyFill="1" applyBorder="1" applyAlignment="1">
      <alignment horizontal="center"/>
    </xf>
    <xf numFmtId="0" fontId="27" fillId="0" borderId="13" xfId="3" applyFont="1" applyBorder="1" applyAlignment="1">
      <alignment horizontal="center"/>
    </xf>
    <xf numFmtId="0" fontId="27" fillId="0" borderId="15" xfId="3" applyFont="1" applyBorder="1" applyAlignment="1">
      <alignment horizontal="center"/>
    </xf>
    <xf numFmtId="0" fontId="0" fillId="0" borderId="14" xfId="0" applyBorder="1" applyAlignment="1"/>
    <xf numFmtId="0" fontId="0" fillId="0" borderId="15" xfId="0" applyBorder="1" applyAlignment="1"/>
    <xf numFmtId="0" fontId="27" fillId="0" borderId="19" xfId="0" applyFont="1" applyBorder="1" applyAlignment="1">
      <alignment vertical="center" textRotation="90"/>
    </xf>
    <xf numFmtId="0" fontId="27" fillId="0" borderId="20" xfId="0" applyFont="1" applyBorder="1" applyAlignment="1">
      <alignment vertical="center" textRotation="90"/>
    </xf>
    <xf numFmtId="0" fontId="8" fillId="0" borderId="20" xfId="0" applyFont="1" applyBorder="1" applyAlignment="1">
      <alignment vertical="center" textRotation="90"/>
    </xf>
    <xf numFmtId="0" fontId="8" fillId="0" borderId="21" xfId="0" applyFont="1" applyBorder="1" applyAlignment="1">
      <alignment vertical="center" textRotation="90"/>
    </xf>
    <xf numFmtId="0" fontId="27" fillId="0" borderId="19" xfId="0" applyFont="1" applyBorder="1" applyAlignment="1">
      <alignment horizontal="center" vertical="center" textRotation="90"/>
    </xf>
    <xf numFmtId="0" fontId="27" fillId="0" borderId="20" xfId="0" applyFont="1" applyBorder="1" applyAlignment="1">
      <alignment horizontal="center" vertical="center" textRotation="90"/>
    </xf>
    <xf numFmtId="0" fontId="27" fillId="0" borderId="21" xfId="0" applyFont="1" applyBorder="1" applyAlignment="1">
      <alignment horizontal="center" vertical="center" textRotation="90"/>
    </xf>
    <xf numFmtId="0" fontId="27" fillId="0" borderId="19" xfId="0" applyFont="1" applyBorder="1" applyAlignment="1">
      <alignment horizontal="center" textRotation="90"/>
    </xf>
    <xf numFmtId="0" fontId="27" fillId="0" borderId="20" xfId="0" applyFont="1" applyBorder="1" applyAlignment="1">
      <alignment horizontal="center" textRotation="90"/>
    </xf>
    <xf numFmtId="0" fontId="27" fillId="0" borderId="21" xfId="0" applyFont="1" applyBorder="1" applyAlignment="1">
      <alignment horizontal="center" textRotation="90"/>
    </xf>
  </cellXfs>
  <cellStyles count="77">
    <cellStyle name="Comma" xfId="1" builtinId="3"/>
    <cellStyle name="Currency" xfId="2" builtinId="4"/>
    <cellStyle name="Excel Built-in Normal" xfId="3"/>
    <cellStyle name="Excel Built-in Normal 1" xfId="4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3" builtinId="8"/>
    <cellStyle name="Normal" xfId="0" builtinId="0"/>
    <cellStyle name="Normal 2" xfId="70"/>
    <cellStyle name="Normal 2 10" xfId="72"/>
    <cellStyle name="Normal 2 2" xfId="71"/>
    <cellStyle name="Normal 3" xfId="74"/>
    <cellStyle name="Normal 3 2" xfId="76"/>
    <cellStyle name="Normal_FORMATO UNICO DE AUTORIZACION DE CONSULTA DE BC - ampliado (3)" xfId="75"/>
    <cellStyle name="Percent" xfId="5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CC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53735"/>
      <rgbColor rgb="00EBF3E4"/>
      <rgbColor rgb="00EBF1DE"/>
      <rgbColor rgb="00660066"/>
      <rgbColor rgb="00FF8080"/>
      <rgbColor rgb="000066CC"/>
      <rgbColor rgb="00C6D9F1"/>
      <rgbColor rgb="00000080"/>
      <rgbColor rgb="00FF00FF"/>
      <rgbColor rgb="00FFFF66"/>
      <rgbColor rgb="0000FFFF"/>
      <rgbColor rgb="00800080"/>
      <rgbColor rgb="00800000"/>
      <rgbColor rgb="00008080"/>
      <rgbColor rgb="000000FF"/>
      <rgbColor rgb="0000CCFF"/>
      <rgbColor rgb="00D9D9D9"/>
      <rgbColor rgb="00CCFFCC"/>
      <rgbColor rgb="00FFFF99"/>
      <rgbColor rgb="00B3B3B3"/>
      <rgbColor rgb="00E6B9B8"/>
      <rgbColor rgb="00CC99FF"/>
      <rgbColor rgb="00FFCC99"/>
      <rgbColor rgb="003366FF"/>
      <rgbColor rgb="0033CCCC"/>
      <rgbColor rgb="0066FF00"/>
      <rgbColor rgb="00FFD320"/>
      <rgbColor rgb="00FF9900"/>
      <rgbColor rgb="00FF6600"/>
      <rgbColor rgb="00666666"/>
      <rgbColor rgb="00B2B2B2"/>
      <rgbColor rgb="00003366"/>
      <rgbColor rgb="00339966"/>
      <rgbColor rgb="00003300"/>
      <rgbColor rgb="00333300"/>
      <rgbColor rgb="00993300"/>
      <rgbColor rgb="00993366"/>
      <rgbColor rgb="00442759"/>
      <rgbColor rgb="00333333"/>
    </indexedColors>
    <mruColors>
      <color rgb="FF0000FF"/>
      <color rgb="FFC0C0C0"/>
      <color rgb="FFDDDDDD"/>
      <color rgb="FFEAEAEA"/>
      <color rgb="FFFF0000"/>
      <color rgb="FFFFFFCC"/>
      <color rgb="FF00FF00"/>
      <color rgb="FFFB77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Savings!$AH$2</c:f>
              <c:strCache>
                <c:ptCount val="1"/>
                <c:pt idx="0">
                  <c:v>CFE Bill (Year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56571.580799999996</c:v>
                </c:pt>
              </c:numCache>
            </c:numRef>
          </c:val>
        </c:ser>
        <c:ser>
          <c:idx val="1"/>
          <c:order val="1"/>
          <c:tx>
            <c:strRef>
              <c:f>Savings!$AI$2</c:f>
              <c:strCache>
                <c:ptCount val="1"/>
                <c:pt idx="0">
                  <c:v>CFE + MySOL Bill (Year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val>
            <c:numRef>
              <c:f>Savings!$AD$6</c:f>
              <c:numCache>
                <c:formatCode>[$$-409]#,##0;[Red]\-[$$-409]#,##0</c:formatCode>
                <c:ptCount val="1"/>
                <c:pt idx="0">
                  <c:v>56571.580799999996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329186832"/>
        <c:axId val="329188008"/>
      </c:barChart>
      <c:catAx>
        <c:axId val="32918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1880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29188008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186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Savings!$J$2</c:f>
              <c:strCache>
                <c:ptCount val="1"/>
                <c:pt idx="0">
                  <c:v>CFE Bill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56571.580799999996</c:v>
                </c:pt>
                <c:pt idx="1">
                  <c:v>61097.30726400001</c:v>
                </c:pt>
                <c:pt idx="2">
                  <c:v>65985.091845120012</c:v>
                </c:pt>
                <c:pt idx="3">
                  <c:v>71263.899192729616</c:v>
                </c:pt>
                <c:pt idx="4">
                  <c:v>76965.011128147991</c:v>
                </c:pt>
                <c:pt idx="5">
                  <c:v>83122.212018399819</c:v>
                </c:pt>
                <c:pt idx="6">
                  <c:v>89771.988979871836</c:v>
                </c:pt>
                <c:pt idx="7">
                  <c:v>96953.748098261567</c:v>
                </c:pt>
                <c:pt idx="8">
                  <c:v>104710.04794612252</c:v>
                </c:pt>
                <c:pt idx="9">
                  <c:v>113086.85178181232</c:v>
                </c:pt>
                <c:pt idx="10">
                  <c:v>122133.79992435733</c:v>
                </c:pt>
                <c:pt idx="11">
                  <c:v>131904.50391830591</c:v>
                </c:pt>
                <c:pt idx="12">
                  <c:v>142456.86423177039</c:v>
                </c:pt>
                <c:pt idx="13">
                  <c:v>153853.41337031202</c:v>
                </c:pt>
                <c:pt idx="14">
                  <c:v>166161.68643993698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Savings!$AD$2</c:f>
              <c:strCache>
                <c:ptCount val="1"/>
                <c:pt idx="0">
                  <c:v>CFE + MySOL Bill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56571.580799999996</c:v>
                </c:pt>
                <c:pt idx="1">
                  <c:v>61097.30726400001</c:v>
                </c:pt>
                <c:pt idx="2">
                  <c:v>65985.091845120012</c:v>
                </c:pt>
                <c:pt idx="3">
                  <c:v>71263.899192729616</c:v>
                </c:pt>
                <c:pt idx="4">
                  <c:v>76965.011128147991</c:v>
                </c:pt>
                <c:pt idx="5">
                  <c:v>83122.212018399819</c:v>
                </c:pt>
                <c:pt idx="6">
                  <c:v>89771.988979871836</c:v>
                </c:pt>
                <c:pt idx="7">
                  <c:v>96953.748098261567</c:v>
                </c:pt>
                <c:pt idx="8">
                  <c:v>104710.04794612252</c:v>
                </c:pt>
                <c:pt idx="9">
                  <c:v>113086.85178181232</c:v>
                </c:pt>
                <c:pt idx="10">
                  <c:v>122133.79992435733</c:v>
                </c:pt>
                <c:pt idx="11">
                  <c:v>131904.50391830591</c:v>
                </c:pt>
                <c:pt idx="12">
                  <c:v>142456.86423177039</c:v>
                </c:pt>
                <c:pt idx="13">
                  <c:v>153853.41337031202</c:v>
                </c:pt>
                <c:pt idx="14">
                  <c:v>166161.68643993698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Savings!$AE$2</c:f>
              <c:strCache>
                <c:ptCount val="1"/>
                <c:pt idx="0">
                  <c:v>Savings ($)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Savings!$AE$6:$AE$20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29187224"/>
        <c:axId val="329189968"/>
      </c:barChart>
      <c:catAx>
        <c:axId val="329187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189968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329189968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187224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25552305476403"/>
          <c:y val="0.21285098822832699"/>
          <c:w val="0.67151091303883403"/>
          <c:h val="0.530119442379983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Savings!$AH$3</c:f>
              <c:strCache>
                <c:ptCount val="1"/>
                <c:pt idx="0">
                  <c:v>Recibo CFE (Año 1)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Savings!$J$6</c:f>
              <c:numCache>
                <c:formatCode>_("$"* #,##0_);_("$"* \(#,##0\);_("$"* "-"_);_(@_)</c:formatCode>
                <c:ptCount val="1"/>
                <c:pt idx="0">
                  <c:v>56571.580799999996</c:v>
                </c:pt>
              </c:numCache>
            </c:numRef>
          </c:val>
        </c:ser>
        <c:ser>
          <c:idx val="1"/>
          <c:order val="1"/>
          <c:tx>
            <c:strRef>
              <c:f>Savings!$AI$3</c:f>
              <c:strCache>
                <c:ptCount val="1"/>
                <c:pt idx="0">
                  <c:v>Recibo CFE + MySOL (Año 1)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Savings!$AD$6</c:f>
              <c:numCache>
                <c:formatCode>[$$-409]#,##0;[Red]\-[$$-409]#,##0</c:formatCode>
                <c:ptCount val="1"/>
                <c:pt idx="0">
                  <c:v>56571.580799999996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0"/>
        <c:axId val="268851592"/>
        <c:axId val="268853552"/>
      </c:barChart>
      <c:catAx>
        <c:axId val="268851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535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68853552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515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7325558505768199"/>
          <c:y val="9.2369161686114504E-2"/>
          <c:w val="0.69185977842885904"/>
          <c:h val="6.42570281124495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530289475804199"/>
          <c:y val="0.23293127013666001"/>
          <c:w val="0.65706121217003599"/>
          <c:h val="0.4618464838916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Savings!$J$3</c:f>
              <c:strCache>
                <c:ptCount val="1"/>
                <c:pt idx="0">
                  <c:v>Recibo CFE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Savings!$J$6:$J$20</c:f>
              <c:numCache>
                <c:formatCode>_("$"* #,##0_);_("$"* \(#,##0\);_("$"* "-"_);_(@_)</c:formatCode>
                <c:ptCount val="15"/>
                <c:pt idx="0">
                  <c:v>56571.580799999996</c:v>
                </c:pt>
                <c:pt idx="1">
                  <c:v>61097.30726400001</c:v>
                </c:pt>
                <c:pt idx="2">
                  <c:v>65985.091845120012</c:v>
                </c:pt>
                <c:pt idx="3">
                  <c:v>71263.899192729616</c:v>
                </c:pt>
                <c:pt idx="4">
                  <c:v>76965.011128147991</c:v>
                </c:pt>
                <c:pt idx="5">
                  <c:v>83122.212018399819</c:v>
                </c:pt>
                <c:pt idx="6">
                  <c:v>89771.988979871836</c:v>
                </c:pt>
                <c:pt idx="7">
                  <c:v>96953.748098261567</c:v>
                </c:pt>
                <c:pt idx="8">
                  <c:v>104710.04794612252</c:v>
                </c:pt>
                <c:pt idx="9">
                  <c:v>113086.85178181232</c:v>
                </c:pt>
                <c:pt idx="10">
                  <c:v>122133.79992435733</c:v>
                </c:pt>
                <c:pt idx="11">
                  <c:v>131904.50391830591</c:v>
                </c:pt>
                <c:pt idx="12">
                  <c:v>142456.86423177039</c:v>
                </c:pt>
                <c:pt idx="13">
                  <c:v>153853.41337031202</c:v>
                </c:pt>
                <c:pt idx="14">
                  <c:v>166161.68643993698</c:v>
                </c:pt>
              </c:numCache>
            </c:numRef>
          </c:val>
          <c:extLst/>
        </c:ser>
        <c:ser>
          <c:idx val="1"/>
          <c:order val="1"/>
          <c:tx>
            <c:strRef>
              <c:f>Savings!$AD$3</c:f>
              <c:strCache>
                <c:ptCount val="1"/>
                <c:pt idx="0">
                  <c:v>Recibo CFE + MySOL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Savings!$AD$6:$AD$20</c:f>
              <c:numCache>
                <c:formatCode>[$$-409]#,##0;[Red]\-[$$-409]#,##0</c:formatCode>
                <c:ptCount val="15"/>
                <c:pt idx="0">
                  <c:v>56571.580799999996</c:v>
                </c:pt>
                <c:pt idx="1">
                  <c:v>61097.30726400001</c:v>
                </c:pt>
                <c:pt idx="2">
                  <c:v>65985.091845120012</c:v>
                </c:pt>
                <c:pt idx="3">
                  <c:v>71263.899192729616</c:v>
                </c:pt>
                <c:pt idx="4">
                  <c:v>76965.011128147991</c:v>
                </c:pt>
                <c:pt idx="5">
                  <c:v>83122.212018399819</c:v>
                </c:pt>
                <c:pt idx="6">
                  <c:v>89771.988979871836</c:v>
                </c:pt>
                <c:pt idx="7">
                  <c:v>96953.748098261567</c:v>
                </c:pt>
                <c:pt idx="8">
                  <c:v>104710.04794612252</c:v>
                </c:pt>
                <c:pt idx="9">
                  <c:v>113086.85178181232</c:v>
                </c:pt>
                <c:pt idx="10">
                  <c:v>122133.79992435733</c:v>
                </c:pt>
                <c:pt idx="11">
                  <c:v>131904.50391830591</c:v>
                </c:pt>
                <c:pt idx="12">
                  <c:v>142456.86423177039</c:v>
                </c:pt>
                <c:pt idx="13">
                  <c:v>153853.41337031202</c:v>
                </c:pt>
                <c:pt idx="14">
                  <c:v>166161.68643993698</c:v>
                </c:pt>
              </c:numCache>
            </c:numRef>
          </c:val>
          <c:extLst/>
        </c:ser>
        <c:ser>
          <c:idx val="2"/>
          <c:order val="2"/>
          <c:tx>
            <c:strRef>
              <c:f>Savings!$AE$3</c:f>
              <c:strCache>
                <c:ptCount val="1"/>
                <c:pt idx="0">
                  <c:v>Ahorros $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numRef>
              <c:f>Savings!$B$6:$B$20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Savings!$AE$6:$AE$20</c:f>
              <c:numCache>
                <c:formatCode>[$$-409]#,##0;[Red]\-[$$-409]#,##0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68854728"/>
        <c:axId val="268852768"/>
      </c:barChart>
      <c:catAx>
        <c:axId val="26885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Año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52768"/>
        <c:crossesAt val="0"/>
        <c:auto val="0"/>
        <c:lblAlgn val="ctr"/>
        <c:lblOffset val="100"/>
        <c:tickLblSkip val="2"/>
        <c:tickMarkSkip val="1"/>
        <c:noMultiLvlLbl val="0"/>
      </c:catAx>
      <c:valAx>
        <c:axId val="268852768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ln w="12700">
            <a:solidFill>
              <a:srgbClr val="878787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854728"/>
        <c:crosses val="autoZero"/>
        <c:crossBetween val="between"/>
      </c:valAx>
      <c:spPr>
        <a:noFill/>
        <a:ln w="12700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69908902760531"/>
          <c:y val="5.5118407368890211E-2"/>
          <c:w val="0.7652827392910303"/>
          <c:h val="0.152610125541536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51180555555555596" footer="0.51180555555555596"/>
    <c:pageSetup firstPageNumber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10</xdr:col>
          <xdr:colOff>9525</xdr:colOff>
          <xdr:row>33</xdr:row>
          <xdr:rowOff>9525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0</xdr:rowOff>
        </xdr:from>
        <xdr:to>
          <xdr:col>10</xdr:col>
          <xdr:colOff>9525</xdr:colOff>
          <xdr:row>37</xdr:row>
          <xdr:rowOff>0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77878" name="Button 54" hidden="1">
              <a:extLst>
                <a:ext uri="{63B3BB69-23CF-44E3-9099-C40C66FF867C}">
                  <a14:compatExt spid="_x0000_s7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Recommend Systems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0</xdr:colOff>
      <xdr:row>109</xdr:row>
      <xdr:rowOff>127000</xdr:rowOff>
    </xdr:to>
    <xdr:graphicFrame macro="">
      <xdr:nvGraphicFramePr>
        <xdr:cNvPr id="2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4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0</xdr:colOff>
      <xdr:row>52</xdr:row>
      <xdr:rowOff>61858</xdr:rowOff>
    </xdr:to>
    <xdr:pic>
      <xdr:nvPicPr>
        <xdr:cNvPr id="15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28124" y="7486650"/>
          <a:ext cx="46777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3</xdr:col>
      <xdr:colOff>791935</xdr:colOff>
      <xdr:row>153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3</xdr:col>
      <xdr:colOff>791935</xdr:colOff>
      <xdr:row>234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4</xdr:col>
      <xdr:colOff>523875</xdr:colOff>
      <xdr:row>109</xdr:row>
      <xdr:rowOff>123825</xdr:rowOff>
    </xdr:to>
    <xdr:graphicFrame macro="">
      <xdr:nvGraphicFramePr>
        <xdr:cNvPr id="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89</xdr:row>
      <xdr:rowOff>0</xdr:rowOff>
    </xdr:from>
    <xdr:to>
      <xdr:col>7</xdr:col>
      <xdr:colOff>1</xdr:colOff>
      <xdr:row>109</xdr:row>
      <xdr:rowOff>127000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8468</xdr:rowOff>
    </xdr:from>
    <xdr:to>
      <xdr:col>5</xdr:col>
      <xdr:colOff>114300</xdr:colOff>
      <xdr:row>52</xdr:row>
      <xdr:rowOff>56073</xdr:rowOff>
    </xdr:to>
    <xdr:sp macro="" textlink="" fLocksText="0">
      <xdr:nvSpPr>
        <xdr:cNvPr id="13" name="Picture 14"/>
        <xdr:cNvSpPr>
          <a:spLocks noChangeArrowheads="1"/>
        </xdr:cNvSpPr>
      </xdr:nvSpPr>
      <xdr:spPr bwMode="auto">
        <a:xfrm>
          <a:off x="0" y="7895168"/>
          <a:ext cx="4038600" cy="2314555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/>
        <a:extLs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vertOverflow="clip" wrap="square" lIns="90000" tIns="46800" rIns="90000" bIns="46800" anchor="t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5</xdr:col>
      <xdr:colOff>113349</xdr:colOff>
      <xdr:row>38</xdr:row>
      <xdr:rowOff>0</xdr:rowOff>
    </xdr:from>
    <xdr:to>
      <xdr:col>7</xdr:col>
      <xdr:colOff>9525</xdr:colOff>
      <xdr:row>52</xdr:row>
      <xdr:rowOff>61858</xdr:rowOff>
    </xdr:to>
    <xdr:pic>
      <xdr:nvPicPr>
        <xdr:cNvPr id="14" name="Graphics 2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037649" y="7886700"/>
          <a:ext cx="4372926" cy="232880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791935</xdr:colOff>
      <xdr:row>4</xdr:row>
      <xdr:rowOff>9525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791935</xdr:colOff>
      <xdr:row>68</xdr:row>
      <xdr:rowOff>9525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96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3</xdr:col>
      <xdr:colOff>791935</xdr:colOff>
      <xdr:row>153</xdr:row>
      <xdr:rowOff>76200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55700"/>
          <a:ext cx="3163660" cy="885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3</xdr:col>
      <xdr:colOff>791935</xdr:colOff>
      <xdr:row>234</xdr:row>
      <xdr:rowOff>76200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48200"/>
          <a:ext cx="3163660" cy="88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app.cfe.gob.mx/Aplicaciones/CCFE/Tarifas/Tarifas/tarifas_casa.as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app.cfe.gob.mx/Aplicaciones/CCFE/Tarifas/Tarifas/Tarifas_industria.asp?Tarifa=CMABT&amp;Anio=2017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http://app.cfe.gob.mx/Aplicaciones/CCFE/Tarifas/Tarifas/tarifas_casa.a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8"/>
  <sheetViews>
    <sheetView workbookViewId="0">
      <pane ySplit="1" topLeftCell="A2" activePane="bottomLeft" state="frozen"/>
      <selection sqref="A1:O10"/>
      <selection pane="bottomLeft" activeCell="A2" sqref="A2"/>
    </sheetView>
  </sheetViews>
  <sheetFormatPr defaultRowHeight="10.5" x14ac:dyDescent="0.15"/>
  <cols>
    <col min="1" max="1" width="30.28515625" style="70" bestFit="1" customWidth="1"/>
    <col min="2" max="2" width="11.5703125" style="70" bestFit="1" customWidth="1"/>
    <col min="3" max="4" width="11.5703125" style="215" customWidth="1"/>
    <col min="5" max="5" width="7.28515625" style="70" bestFit="1" customWidth="1"/>
    <col min="6" max="6" width="36.5703125" style="70" bestFit="1" customWidth="1"/>
    <col min="7" max="7" width="11.5703125" style="70" bestFit="1" customWidth="1"/>
    <col min="8" max="16384" width="9.140625" style="70"/>
  </cols>
  <sheetData>
    <row r="1" spans="1:7" ht="11.25" thickBot="1" x14ac:dyDescent="0.2">
      <c r="A1" s="494" t="s">
        <v>21</v>
      </c>
      <c r="B1" s="496"/>
      <c r="C1" s="496"/>
      <c r="D1" s="495"/>
      <c r="F1" s="494" t="s">
        <v>178</v>
      </c>
      <c r="G1" s="495"/>
    </row>
    <row r="2" spans="1:7" ht="11.25" thickTop="1" x14ac:dyDescent="0.15">
      <c r="A2" s="85" t="s">
        <v>145</v>
      </c>
      <c r="B2" s="346">
        <v>18</v>
      </c>
      <c r="C2" s="346"/>
      <c r="D2" s="347"/>
      <c r="F2" s="85" t="s">
        <v>171</v>
      </c>
      <c r="G2" s="86">
        <f>IF(Inputs!$B$16="DAC",INDEX(CFE_History_DAC!$A$4:$DR$27,MATCH(VLOOKUP(Inputs!$B$18,ListData!$B$2:$C$12,2,FALSE),CFE_History_DAC!$A$4:$A$27,0)+1,MATCH(CFE_RatePeriod,CFE_History_DAC!$A$3:$DR$3,0)),IF(Inputs!$B$16="Tarifa 2",INDEX(CFE_History_Tarifa2!$B$4:$DR$9,6,MATCH(CFE_RatePeriod,CFE_History_Tarifa2!$B$3:$DR$3,0)),"NaN"))</f>
        <v>99.84</v>
      </c>
    </row>
    <row r="3" spans="1:7" x14ac:dyDescent="0.15">
      <c r="A3" s="85" t="s">
        <v>16</v>
      </c>
      <c r="B3" s="348">
        <v>0.16</v>
      </c>
      <c r="C3" s="348"/>
      <c r="D3" s="349"/>
      <c r="F3" s="85" t="s">
        <v>172</v>
      </c>
      <c r="G3" s="86">
        <f>IF(Inputs!$B$16="DAC",INDEX(CFE_History_DAC!$A$4:$DR$27,MATCH(VLOOKUP(Inputs!$B$18,ListData!$B$2:$C$12,2,FALSE),CFE_History_DAC!$A$4:$A$27,0)+2,MATCH(CFE_RatePeriod,CFE_History_DAC!$A$3:$DR$3,0)),IF(Inputs!$B$16="Tarifa 2",(MIN(Inputs!$B$24,50*12)*INDEX(CFE_History_Tarifa2!$B$4:$DR$9,2,MATCH(CFE_RatePeriod,CFE_History_Tarifa2!$B$3:$DR$3,0))+MAX(0,MIN(Inputs!$B$24-50*12,50*12))*INDEX(CFE_History_Tarifa2!$B$4:$DR$9,3,MATCH(CFE_RatePeriod,CFE_History_Tarifa2!$B$3:$DR$3,0))+MAX(Inputs!$B$24-100*12,0)*INDEX(CFE_History_Tarifa2!$B$4:$DR$9,4,MATCH(CFE_RatePeriod,CFE_History_Tarifa2!$B$3:$DR$3,0)))/Inputs!$B$24,"NaN"))</f>
        <v>4.37</v>
      </c>
    </row>
    <row r="4" spans="1:7" x14ac:dyDescent="0.15">
      <c r="A4" s="85" t="s">
        <v>80</v>
      </c>
      <c r="B4" s="348">
        <v>0.03</v>
      </c>
      <c r="C4" s="348"/>
      <c r="D4" s="349"/>
      <c r="F4" s="85" t="s">
        <v>168</v>
      </c>
      <c r="G4" s="92">
        <f>$G$3*(1+Inputs!$B$19)</f>
        <v>4.8070000000000004</v>
      </c>
    </row>
    <row r="5" spans="1:7" x14ac:dyDescent="0.15">
      <c r="A5" s="85" t="s">
        <v>177</v>
      </c>
      <c r="B5" s="348">
        <v>0.3</v>
      </c>
      <c r="C5" s="348"/>
      <c r="D5" s="349"/>
      <c r="F5" s="85" t="s">
        <v>161</v>
      </c>
      <c r="G5" s="87">
        <f>Savings!$J$6</f>
        <v>56571.580799999996</v>
      </c>
    </row>
    <row r="6" spans="1:7" x14ac:dyDescent="0.15">
      <c r="A6" s="85" t="s">
        <v>17</v>
      </c>
      <c r="B6" s="348">
        <v>0.08</v>
      </c>
      <c r="C6" s="348"/>
      <c r="D6" s="349"/>
      <c r="F6" s="85"/>
      <c r="G6" s="81"/>
    </row>
    <row r="7" spans="1:7" x14ac:dyDescent="0.15">
      <c r="A7" s="85"/>
      <c r="B7" s="80"/>
      <c r="C7" s="80"/>
      <c r="D7" s="81"/>
      <c r="F7" s="85" t="s">
        <v>548</v>
      </c>
      <c r="G7" s="88">
        <f>G4*(1-Inputs_MySOL!B27)</f>
        <v>4.3263000000000007</v>
      </c>
    </row>
    <row r="8" spans="1:7" x14ac:dyDescent="0.15">
      <c r="A8" s="85" t="s">
        <v>185</v>
      </c>
      <c r="B8" s="350">
        <v>0.9</v>
      </c>
      <c r="C8" s="350"/>
      <c r="D8" s="351"/>
      <c r="F8" s="85" t="s">
        <v>549</v>
      </c>
      <c r="G8" s="87">
        <f>Savings!AD6</f>
        <v>56571.580799999996</v>
      </c>
    </row>
    <row r="9" spans="1:7" x14ac:dyDescent="0.15">
      <c r="A9" s="85" t="s">
        <v>554</v>
      </c>
      <c r="B9" s="145">
        <f>1-EqInv_Equity</f>
        <v>9.9999999999999978E-2</v>
      </c>
      <c r="C9" s="145"/>
      <c r="D9" s="352"/>
      <c r="F9" s="85" t="s">
        <v>184</v>
      </c>
      <c r="G9" s="210">
        <f>Savings!$AF$6</f>
        <v>0</v>
      </c>
    </row>
    <row r="10" spans="1:7" x14ac:dyDescent="0.15">
      <c r="A10" s="85"/>
      <c r="B10" s="80"/>
      <c r="C10" s="80"/>
      <c r="D10" s="81"/>
      <c r="F10" s="85"/>
      <c r="G10" s="81"/>
    </row>
    <row r="11" spans="1:7" x14ac:dyDescent="0.15">
      <c r="A11" s="85" t="s">
        <v>81</v>
      </c>
      <c r="B11" s="348">
        <v>3.5000000000000003E-2</v>
      </c>
      <c r="C11" s="348"/>
      <c r="D11" s="349"/>
      <c r="F11" s="85" t="s">
        <v>37</v>
      </c>
      <c r="G11" s="116">
        <f>Inputs!$J$4</f>
        <v>0</v>
      </c>
    </row>
    <row r="12" spans="1:7" x14ac:dyDescent="0.15">
      <c r="A12" s="85" t="s">
        <v>165</v>
      </c>
      <c r="B12" s="348">
        <v>0</v>
      </c>
      <c r="C12" s="348"/>
      <c r="D12" s="349"/>
      <c r="F12" s="85" t="s">
        <v>156</v>
      </c>
      <c r="G12" s="88">
        <f>VLOOKUP(Inputs!$G$4,Components!$A$2:$N$15,12,FALSE)</f>
        <v>330</v>
      </c>
    </row>
    <row r="13" spans="1:7" x14ac:dyDescent="0.15">
      <c r="A13" s="85"/>
      <c r="B13" s="353"/>
      <c r="C13" s="353"/>
      <c r="D13" s="210"/>
      <c r="F13" s="85" t="s">
        <v>157</v>
      </c>
      <c r="G13" s="88">
        <f>VLOOKUP(Inputs!$G$4,Components!$A$2:$N$15,13,FALSE)</f>
        <v>301.39999999999998</v>
      </c>
    </row>
    <row r="14" spans="1:7" x14ac:dyDescent="0.15">
      <c r="A14" s="324" t="s">
        <v>200</v>
      </c>
      <c r="B14" s="353">
        <f>EqInv_Equity/SUM($B$8:$B$9)</f>
        <v>0.9</v>
      </c>
      <c r="C14" s="353"/>
      <c r="D14" s="210"/>
      <c r="F14" s="85"/>
      <c r="G14" s="81"/>
    </row>
    <row r="15" spans="1:7" x14ac:dyDescent="0.15">
      <c r="A15" s="324" t="s">
        <v>555</v>
      </c>
      <c r="B15" s="353">
        <f>B9/SUM($B$8:$B$9)</f>
        <v>9.9999999999999978E-2</v>
      </c>
      <c r="C15" s="353"/>
      <c r="D15" s="210"/>
      <c r="F15" s="85" t="s">
        <v>159</v>
      </c>
      <c r="G15" s="117">
        <f>VLOOKUP(Inputs!$G$5,Components!$A$24:$N$94,13,FALSE)</f>
        <v>0.96499999999999997</v>
      </c>
    </row>
    <row r="16" spans="1:7" x14ac:dyDescent="0.15">
      <c r="A16" s="85"/>
      <c r="B16" s="80"/>
      <c r="C16" s="80"/>
      <c r="D16" s="81"/>
      <c r="F16" s="85"/>
      <c r="G16" s="81"/>
    </row>
    <row r="17" spans="1:7" x14ac:dyDescent="0.15">
      <c r="A17" s="85" t="s">
        <v>162</v>
      </c>
      <c r="B17" s="354">
        <v>-5.0000000000000001E-3</v>
      </c>
      <c r="C17" s="354"/>
      <c r="D17" s="355"/>
      <c r="F17" s="44" t="s">
        <v>175</v>
      </c>
      <c r="G17" s="118">
        <f>Sys_NumPanels*Panel_STC</f>
        <v>0</v>
      </c>
    </row>
    <row r="18" spans="1:7" x14ac:dyDescent="0.15">
      <c r="A18" s="85" t="s">
        <v>690</v>
      </c>
      <c r="B18" s="346">
        <v>100</v>
      </c>
      <c r="C18" s="346"/>
      <c r="D18" s="347"/>
      <c r="F18" s="85" t="s">
        <v>173</v>
      </c>
      <c r="G18" s="116">
        <f>IFERROR(IFERROR(Sys_NumPanels*Panel_PTC*Sys_SunHours*InverterLossPct*(1-Sys_OtherLossPct)*365.25,0)/1000,0)</f>
        <v>0</v>
      </c>
    </row>
    <row r="19" spans="1:7" x14ac:dyDescent="0.15">
      <c r="A19" s="85" t="s">
        <v>198</v>
      </c>
      <c r="B19" s="356">
        <v>12</v>
      </c>
      <c r="C19" s="356"/>
      <c r="D19" s="357"/>
      <c r="F19" s="85" t="s">
        <v>174</v>
      </c>
      <c r="G19" s="116" t="str">
        <f>IFERROR(Sys_kWhPerYear*1000/(Sys_NumPanels*Panel_STC),"NaN")</f>
        <v>NaN</v>
      </c>
    </row>
    <row r="20" spans="1:7" x14ac:dyDescent="0.15">
      <c r="A20" s="85" t="s">
        <v>199</v>
      </c>
      <c r="B20" s="358">
        <f>OpExpensePerKwUSD*(Sys_SizeWatts/1000)*MXNperUSD</f>
        <v>0</v>
      </c>
      <c r="C20" s="358"/>
      <c r="D20" s="116"/>
      <c r="F20" s="85"/>
      <c r="G20" s="81"/>
    </row>
    <row r="21" spans="1:7" x14ac:dyDescent="0.15">
      <c r="A21" s="85" t="s">
        <v>556</v>
      </c>
      <c r="B21" s="348">
        <v>0.5</v>
      </c>
      <c r="C21" s="348"/>
      <c r="D21" s="349"/>
      <c r="F21" s="85" t="s">
        <v>190</v>
      </c>
      <c r="G21" s="352">
        <f>IFERROR(Sys_kWhPerYear/CustUsage_kWhPerYear,"NaN")</f>
        <v>0</v>
      </c>
    </row>
    <row r="22" spans="1:7" x14ac:dyDescent="0.15">
      <c r="A22" s="85"/>
      <c r="B22" s="80"/>
      <c r="C22" s="80"/>
      <c r="D22" s="81"/>
      <c r="F22" s="85"/>
      <c r="G22" s="81"/>
    </row>
    <row r="23" spans="1:7" x14ac:dyDescent="0.15">
      <c r="A23" s="85" t="s">
        <v>3</v>
      </c>
      <c r="B23" s="348">
        <v>0.15</v>
      </c>
      <c r="C23" s="348"/>
      <c r="D23" s="349"/>
      <c r="F23" s="44" t="s">
        <v>216</v>
      </c>
      <c r="G23" s="92">
        <f>Unit_Internal!C52</f>
        <v>14.448148000000002</v>
      </c>
    </row>
    <row r="24" spans="1:7" x14ac:dyDescent="0.15">
      <c r="A24" s="85"/>
      <c r="B24" s="348"/>
      <c r="C24" s="348"/>
      <c r="D24" s="349"/>
      <c r="F24" s="44" t="s">
        <v>191</v>
      </c>
      <c r="G24" s="87">
        <f>Sys_SizeWatts*G23</f>
        <v>0</v>
      </c>
    </row>
    <row r="25" spans="1:7" x14ac:dyDescent="0.15">
      <c r="A25" s="133" t="s">
        <v>281</v>
      </c>
      <c r="B25" s="233">
        <v>201705</v>
      </c>
      <c r="C25" s="348"/>
      <c r="D25" s="349"/>
      <c r="F25" s="85"/>
      <c r="G25" s="81"/>
    </row>
    <row r="26" spans="1:7" x14ac:dyDescent="0.15">
      <c r="A26" s="133" t="s">
        <v>221</v>
      </c>
      <c r="B26" s="464">
        <f>Cust_LeaseTermYears</f>
        <v>15</v>
      </c>
      <c r="C26" s="348"/>
      <c r="D26" s="349"/>
      <c r="F26" s="85" t="s">
        <v>550</v>
      </c>
      <c r="G26" s="87">
        <f>Model!C4</f>
        <v>0</v>
      </c>
    </row>
    <row r="27" spans="1:7" x14ac:dyDescent="0.15">
      <c r="A27" s="85" t="s">
        <v>258</v>
      </c>
      <c r="B27" s="145">
        <f>Cust_SavingsRate</f>
        <v>0.1</v>
      </c>
      <c r="C27" s="145"/>
      <c r="D27" s="352"/>
      <c r="F27" s="85" t="s">
        <v>551</v>
      </c>
      <c r="G27" s="363" t="str">
        <f>Model!C5</f>
        <v>NaN</v>
      </c>
    </row>
    <row r="28" spans="1:7" x14ac:dyDescent="0.15">
      <c r="A28" s="85" t="s">
        <v>217</v>
      </c>
      <c r="B28" s="130">
        <f>IF(Scenario_Variable="Initial Payment",INDEX(Inputs!M3:S27,MATCH(Cust_SavingsRate,Inputs!$L$3:$L$27,0),MATCH(Cust_LeaseTermYears,Inputs!$M$2:$S$2,0)),Scenario_InitialPymt)</f>
        <v>0</v>
      </c>
      <c r="C28" s="146"/>
      <c r="D28" s="92"/>
      <c r="F28" s="85"/>
      <c r="G28" s="81"/>
    </row>
    <row r="29" spans="1:7" x14ac:dyDescent="0.15">
      <c r="A29" s="85"/>
      <c r="B29" s="130"/>
      <c r="C29" s="146"/>
      <c r="D29" s="92"/>
      <c r="E29" s="96"/>
      <c r="F29" s="85" t="s">
        <v>552</v>
      </c>
      <c r="G29" s="87">
        <f>Model!C8</f>
        <v>0</v>
      </c>
    </row>
    <row r="30" spans="1:7" ht="10.5" customHeight="1" x14ac:dyDescent="0.2">
      <c r="A30" s="85" t="s">
        <v>691</v>
      </c>
      <c r="B30" s="497" t="s">
        <v>671</v>
      </c>
      <c r="C30" s="498"/>
      <c r="D30" s="499"/>
      <c r="E30" s="96"/>
      <c r="F30" s="85" t="s">
        <v>553</v>
      </c>
      <c r="G30" s="363" t="str">
        <f>Model!C9</f>
        <v>NaN</v>
      </c>
    </row>
    <row r="31" spans="1:7" x14ac:dyDescent="0.15">
      <c r="A31" s="85"/>
      <c r="B31" s="348"/>
      <c r="C31" s="348"/>
      <c r="D31" s="349"/>
      <c r="E31" s="96"/>
      <c r="F31" s="85"/>
      <c r="G31" s="81"/>
    </row>
    <row r="32" spans="1:7" s="215" customFormat="1" x14ac:dyDescent="0.15">
      <c r="A32" s="85"/>
      <c r="B32" s="359" t="s">
        <v>126</v>
      </c>
      <c r="C32" s="359" t="s">
        <v>358</v>
      </c>
      <c r="D32" s="360" t="s">
        <v>359</v>
      </c>
      <c r="E32" s="96"/>
      <c r="F32" s="85" t="s">
        <v>685</v>
      </c>
      <c r="G32" s="467">
        <f>Cust_InitialPymt</f>
        <v>0</v>
      </c>
    </row>
    <row r="33" spans="1:8" x14ac:dyDescent="0.15">
      <c r="A33" s="85" t="s">
        <v>225</v>
      </c>
      <c r="B33" s="348">
        <v>0.15</v>
      </c>
      <c r="C33" s="348">
        <v>0.14000000000000001</v>
      </c>
      <c r="D33" s="210">
        <f>IF(OR(CFE_RateCategory="DAC",CFE_RateCategory="Tarifa1"),B33,C33)</f>
        <v>0.15</v>
      </c>
      <c r="E33" s="96"/>
      <c r="F33" s="466" t="s">
        <v>673</v>
      </c>
      <c r="G33" s="467">
        <f>MIN(G32, priceEGaugeUSD*MXNperUSD*(1+IVA))</f>
        <v>0</v>
      </c>
      <c r="H33" s="70" t="s">
        <v>678</v>
      </c>
    </row>
    <row r="34" spans="1:8" x14ac:dyDescent="0.15">
      <c r="A34" s="85" t="s">
        <v>566</v>
      </c>
      <c r="B34" s="348">
        <v>0.25</v>
      </c>
      <c r="C34" s="348">
        <v>0.2</v>
      </c>
      <c r="D34" s="210">
        <f>IF(OR(CFE_RateCategory="DAC",CFE_RateCategory="Tarifa1"),B34,C34)</f>
        <v>0.25</v>
      </c>
      <c r="F34" s="466" t="s">
        <v>680</v>
      </c>
      <c r="G34" s="467">
        <f>priceEGaugeUSD*MXNperUSD*(1+IVA)-G33</f>
        <v>8352</v>
      </c>
      <c r="H34" s="70" t="s">
        <v>679</v>
      </c>
    </row>
    <row r="35" spans="1:8" x14ac:dyDescent="0.15">
      <c r="A35" s="85" t="s">
        <v>189</v>
      </c>
      <c r="B35" s="348">
        <v>0.05</v>
      </c>
      <c r="C35" s="348">
        <v>0.05</v>
      </c>
      <c r="D35" s="210">
        <f>IF(OR(CFE_RateCategory="DAC",CFE_RateCategory="Tarifa1"),B35,C35)</f>
        <v>0.05</v>
      </c>
      <c r="F35" s="466" t="s">
        <v>670</v>
      </c>
      <c r="G35" s="467">
        <f>G32-G33</f>
        <v>0</v>
      </c>
    </row>
    <row r="36" spans="1:8" x14ac:dyDescent="0.15">
      <c r="A36" s="85" t="s">
        <v>687</v>
      </c>
      <c r="B36" s="348">
        <v>0.25</v>
      </c>
      <c r="C36" s="354">
        <v>0.2</v>
      </c>
      <c r="D36" s="210">
        <f>IF(OR(CFE_RateCategory="DAC",CFE_RateCategory="Tarifa1"),B36,C36)</f>
        <v>0.25</v>
      </c>
      <c r="F36" s="466" t="s">
        <v>674</v>
      </c>
      <c r="G36" s="467">
        <f>MIN(G35,-SUMIF(Model!D29:R29,"&gt;"&amp;Cust_LeaseTermYears,Model!D31:R31))</f>
        <v>0</v>
      </c>
      <c r="H36" s="70" t="s">
        <v>684</v>
      </c>
    </row>
    <row r="37" spans="1:8" x14ac:dyDescent="0.15">
      <c r="A37" s="89" t="s">
        <v>688</v>
      </c>
      <c r="B37" s="361">
        <v>0.05</v>
      </c>
      <c r="C37" s="361">
        <v>0.05</v>
      </c>
      <c r="D37" s="362">
        <f>IF(OR(CFE_RateCategory="DAC",CFE_RateCategory="Tarifa1"),B37,C37)</f>
        <v>0.05</v>
      </c>
      <c r="F37" s="466" t="s">
        <v>675</v>
      </c>
      <c r="G37" s="467">
        <f>(-SUMIF(Model!D29:R29,"&gt;"&amp;Cust_LeaseTermYears,Model!D31:R31))-G36</f>
        <v>0</v>
      </c>
      <c r="H37" s="70" t="s">
        <v>683</v>
      </c>
    </row>
    <row r="38" spans="1:8" x14ac:dyDescent="0.15">
      <c r="F38" s="89" t="s">
        <v>686</v>
      </c>
      <c r="G38" s="468">
        <f>G32-G33-G36</f>
        <v>0</v>
      </c>
      <c r="H38" s="70" t="s">
        <v>682</v>
      </c>
    </row>
  </sheetData>
  <sheetProtection selectLockedCells="1" selectUnlockedCells="1"/>
  <dataConsolidate/>
  <mergeCells count="3">
    <mergeCell ref="F1:G1"/>
    <mergeCell ref="A1:D1"/>
    <mergeCell ref="B30:D30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CFE_History_DAC!$B$3:$I$3</xm:f>
          </x14:formula1>
          <xm:sqref>B25</xm:sqref>
        </x14:dataValidation>
        <x14:dataValidation type="list" allowBlank="1" showInputMessage="1" showErrorMessage="1">
          <x14:formula1>
            <xm:f>Components!$A$2:$A$3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42"/>
  <sheetViews>
    <sheetView tabSelected="1" workbookViewId="0">
      <pane ySplit="2" topLeftCell="A3" activePane="bottomLeft" state="frozen"/>
      <selection sqref="A1:O10"/>
      <selection pane="bottomLeft" activeCell="A3" sqref="A3"/>
    </sheetView>
  </sheetViews>
  <sheetFormatPr defaultRowHeight="10.5" x14ac:dyDescent="0.15"/>
  <cols>
    <col min="1" max="1" width="25.140625" style="236" bestFit="1" customWidth="1"/>
    <col min="2" max="3" width="14.7109375" style="236" customWidth="1"/>
    <col min="4" max="4" width="4.7109375" style="236" customWidth="1"/>
    <col min="5" max="5" width="26.85546875" style="236" customWidth="1"/>
    <col min="6" max="6" width="20.140625" style="236" hidden="1" customWidth="1"/>
    <col min="7" max="7" width="43" style="236" bestFit="1" customWidth="1"/>
    <col min="8" max="8" width="11" style="236" bestFit="1" customWidth="1"/>
    <col min="9" max="9" width="14.5703125" style="236" bestFit="1" customWidth="1"/>
    <col min="10" max="10" width="7.5703125" style="236" bestFit="1" customWidth="1"/>
    <col min="11" max="11" width="4.7109375" style="236" customWidth="1"/>
    <col min="12" max="12" width="21" style="236" bestFit="1" customWidth="1"/>
    <col min="13" max="13" width="11.85546875" style="236" customWidth="1"/>
    <col min="14" max="19" width="10.7109375" style="236" customWidth="1"/>
    <col min="20" max="20" width="4.7109375" style="236" customWidth="1"/>
    <col min="21" max="21" width="19.28515625" style="236" bestFit="1" customWidth="1"/>
    <col min="22" max="16384" width="9.140625" style="236"/>
  </cols>
  <sheetData>
    <row r="1" spans="1:22" x14ac:dyDescent="0.15">
      <c r="L1" s="172" t="s">
        <v>30</v>
      </c>
      <c r="M1" s="120" t="s">
        <v>215</v>
      </c>
      <c r="N1" s="119"/>
      <c r="O1" s="119"/>
      <c r="P1" s="119"/>
      <c r="Q1" s="119"/>
      <c r="R1" s="119"/>
      <c r="S1" s="119"/>
    </row>
    <row r="2" spans="1:22" ht="11.25" thickBot="1" x14ac:dyDescent="0.2">
      <c r="A2" s="513" t="s">
        <v>361</v>
      </c>
      <c r="B2" s="514"/>
      <c r="C2" s="515"/>
      <c r="E2" s="513" t="s">
        <v>147</v>
      </c>
      <c r="F2" s="514"/>
      <c r="G2" s="514"/>
      <c r="H2" s="514"/>
      <c r="I2" s="514"/>
      <c r="J2" s="515"/>
      <c r="L2" s="120" t="s">
        <v>258</v>
      </c>
      <c r="M2" s="121">
        <v>5</v>
      </c>
      <c r="N2" s="122">
        <v>6</v>
      </c>
      <c r="O2" s="122">
        <v>7</v>
      </c>
      <c r="P2" s="122">
        <v>8</v>
      </c>
      <c r="Q2" s="122">
        <v>9</v>
      </c>
      <c r="R2" s="122">
        <v>10</v>
      </c>
      <c r="S2" s="123">
        <v>15</v>
      </c>
    </row>
    <row r="3" spans="1:22" ht="10.5" customHeight="1" thickTop="1" x14ac:dyDescent="0.2">
      <c r="A3" s="479" t="s">
        <v>676</v>
      </c>
      <c r="B3" s="510"/>
      <c r="C3" s="511"/>
      <c r="E3" s="483" t="s">
        <v>144</v>
      </c>
      <c r="F3" s="484"/>
      <c r="G3" s="484" t="s">
        <v>87</v>
      </c>
      <c r="H3" s="485" t="s">
        <v>362</v>
      </c>
      <c r="I3" s="485" t="s">
        <v>260</v>
      </c>
      <c r="J3" s="486" t="s">
        <v>78</v>
      </c>
      <c r="L3" s="124">
        <v>0.01</v>
      </c>
      <c r="M3" s="125"/>
      <c r="N3" s="126"/>
      <c r="O3" s="126"/>
      <c r="P3" s="126"/>
      <c r="Q3" s="126"/>
      <c r="R3" s="126"/>
      <c r="S3" s="127"/>
      <c r="U3" s="236" t="s">
        <v>221</v>
      </c>
      <c r="V3" s="128">
        <v>15</v>
      </c>
    </row>
    <row r="4" spans="1:22" ht="10.5" customHeight="1" x14ac:dyDescent="0.2">
      <c r="A4" s="479"/>
      <c r="B4" s="512"/>
      <c r="C4" s="506"/>
      <c r="E4" s="487" t="s">
        <v>2</v>
      </c>
      <c r="F4" s="228"/>
      <c r="G4" s="233" t="s">
        <v>671</v>
      </c>
      <c r="H4" s="231">
        <f>VLOOKUP(G4,Components!$A$2:$N$15,12,FALSE)</f>
        <v>330</v>
      </c>
      <c r="I4" s="231">
        <f>VLOOKUP(G4,Components!$A$2:$N$15,13,FALSE)</f>
        <v>301.39999999999998</v>
      </c>
      <c r="J4" s="374">
        <v>0</v>
      </c>
      <c r="L4" s="124">
        <v>0.02</v>
      </c>
      <c r="M4" s="129"/>
      <c r="N4" s="130"/>
      <c r="O4" s="130"/>
      <c r="P4" s="130"/>
      <c r="Q4" s="130"/>
      <c r="R4" s="130"/>
      <c r="S4" s="131"/>
      <c r="U4" s="236" t="s">
        <v>258</v>
      </c>
      <c r="V4" s="132">
        <v>0.1</v>
      </c>
    </row>
    <row r="5" spans="1:22" ht="10.5" customHeight="1" x14ac:dyDescent="0.2">
      <c r="A5" s="479" t="s">
        <v>237</v>
      </c>
      <c r="B5" s="509"/>
      <c r="C5" s="503"/>
      <c r="E5" s="480" t="s">
        <v>4</v>
      </c>
      <c r="F5" s="228" t="str">
        <f>VLOOKUP(B15,Rng_InverterLookupByPhase,3,FALSE)</f>
        <v>Components!A24:A65</v>
      </c>
      <c r="G5" s="233" t="s">
        <v>864</v>
      </c>
      <c r="H5" s="231">
        <f>VLOOKUP(G5,Components!$A$24:$N$94,10,FALSE)</f>
        <v>5000</v>
      </c>
      <c r="I5" s="231" t="str">
        <f>TEXT(VLOOKUP(G5,Components!$A$24:$N$94,11,FALSE),"#,##")&amp;" | "&amp;TEXT(VLOOKUP(G5,Components!$A$24:$N$94,12,FALSE),"#,##")</f>
        <v>4,000 | 6,100</v>
      </c>
      <c r="J5" s="375">
        <v>0</v>
      </c>
      <c r="L5" s="124">
        <v>0.03</v>
      </c>
      <c r="M5" s="129"/>
      <c r="N5" s="130"/>
      <c r="O5" s="130"/>
      <c r="P5" s="130"/>
      <c r="Q5" s="130"/>
      <c r="R5" s="130"/>
      <c r="S5" s="131"/>
    </row>
    <row r="6" spans="1:22" ht="10.5" customHeight="1" x14ac:dyDescent="0.2">
      <c r="A6" s="479" t="s">
        <v>491</v>
      </c>
      <c r="B6" s="509"/>
      <c r="C6" s="503"/>
      <c r="E6" s="480" t="s">
        <v>5</v>
      </c>
      <c r="F6" s="228"/>
      <c r="G6" s="233" t="s">
        <v>689</v>
      </c>
      <c r="H6" s="231">
        <f>VLOOKUP(G6,Components!$A$17:$N$22,12,FALSE)</f>
        <v>280</v>
      </c>
      <c r="I6" s="231"/>
      <c r="J6" s="375">
        <v>0</v>
      </c>
      <c r="L6" s="124">
        <v>0.04</v>
      </c>
      <c r="M6" s="129"/>
      <c r="N6" s="130"/>
      <c r="O6" s="130"/>
      <c r="P6" s="130"/>
      <c r="Q6" s="130"/>
      <c r="R6" s="130"/>
      <c r="S6" s="131"/>
    </row>
    <row r="7" spans="1:22" ht="10.5" customHeight="1" x14ac:dyDescent="0.2">
      <c r="A7" s="479" t="s">
        <v>22</v>
      </c>
      <c r="B7" s="516"/>
      <c r="C7" s="503"/>
      <c r="E7" s="480" t="s">
        <v>123</v>
      </c>
      <c r="F7" s="228" t="str">
        <f>IFERROR(VLOOKUP(VLOOKUP(SysSpec_Inverter,Components!$A$24:$B$94,2,FALSE),Components!$B$96:$R$101,17,FALSE),Rng_SysMon_NonMicro)</f>
        <v>Components!A98:A100</v>
      </c>
      <c r="G7" s="233" t="s">
        <v>757</v>
      </c>
      <c r="H7" s="231"/>
      <c r="I7" s="231"/>
      <c r="J7" s="375">
        <v>0</v>
      </c>
      <c r="L7" s="124">
        <v>0.05</v>
      </c>
      <c r="M7" s="129"/>
      <c r="N7" s="130"/>
      <c r="O7" s="130"/>
      <c r="P7" s="130"/>
      <c r="Q7" s="130"/>
      <c r="R7" s="130"/>
      <c r="S7" s="131"/>
    </row>
    <row r="8" spans="1:22" ht="10.5" customHeight="1" x14ac:dyDescent="0.2">
      <c r="A8" s="479" t="s">
        <v>23</v>
      </c>
      <c r="B8" s="516"/>
      <c r="C8" s="503"/>
      <c r="E8" s="480" t="s">
        <v>6</v>
      </c>
      <c r="F8" s="228"/>
      <c r="G8" s="234" t="s">
        <v>186</v>
      </c>
      <c r="H8" s="231"/>
      <c r="I8" s="231"/>
      <c r="J8" s="230">
        <v>0</v>
      </c>
      <c r="L8" s="124">
        <v>0.06</v>
      </c>
      <c r="M8" s="129"/>
      <c r="N8" s="130"/>
      <c r="O8" s="130"/>
      <c r="P8" s="130"/>
      <c r="Q8" s="130"/>
      <c r="R8" s="130"/>
      <c r="S8" s="131"/>
    </row>
    <row r="9" spans="1:22" ht="10.5" customHeight="1" x14ac:dyDescent="0.2">
      <c r="A9" s="479" t="s">
        <v>148</v>
      </c>
      <c r="B9" s="516"/>
      <c r="C9" s="503"/>
      <c r="E9" s="482" t="s">
        <v>238</v>
      </c>
      <c r="F9" s="229"/>
      <c r="G9" s="134" t="s">
        <v>863</v>
      </c>
      <c r="H9" s="232"/>
      <c r="I9" s="232"/>
      <c r="J9" s="376">
        <v>0</v>
      </c>
      <c r="L9" s="124">
        <v>7.0000000000000007E-2</v>
      </c>
      <c r="M9" s="129"/>
      <c r="N9" s="130"/>
      <c r="O9" s="130"/>
      <c r="P9" s="130"/>
      <c r="Q9" s="130"/>
      <c r="R9" s="130"/>
      <c r="S9" s="131"/>
    </row>
    <row r="10" spans="1:22" ht="10.5" customHeight="1" x14ac:dyDescent="0.2">
      <c r="A10" s="479" t="s">
        <v>24</v>
      </c>
      <c r="B10" s="516"/>
      <c r="C10" s="503"/>
      <c r="L10" s="124">
        <v>0.08</v>
      </c>
      <c r="M10" s="129"/>
      <c r="N10" s="130"/>
      <c r="O10" s="130"/>
      <c r="P10" s="130"/>
      <c r="Q10" s="130"/>
      <c r="R10" s="130"/>
      <c r="S10" s="131"/>
    </row>
    <row r="11" spans="1:22" ht="10.5" customHeight="1" x14ac:dyDescent="0.2">
      <c r="A11" s="479" t="s">
        <v>25</v>
      </c>
      <c r="B11" s="516"/>
      <c r="C11" s="503"/>
      <c r="E11" s="236" t="s">
        <v>218</v>
      </c>
      <c r="G11" s="139">
        <v>3.22</v>
      </c>
      <c r="H11" s="139"/>
      <c r="I11" s="139"/>
      <c r="J11" s="234"/>
      <c r="L11" s="124">
        <v>0.09</v>
      </c>
      <c r="M11" s="129"/>
      <c r="N11" s="130"/>
      <c r="O11" s="130"/>
      <c r="P11" s="130"/>
      <c r="Q11" s="130"/>
      <c r="R11" s="130"/>
      <c r="S11" s="131"/>
    </row>
    <row r="12" spans="1:22" ht="10.5" customHeight="1" x14ac:dyDescent="0.2">
      <c r="A12" s="479" t="s">
        <v>26</v>
      </c>
      <c r="B12" s="497"/>
      <c r="C12" s="503"/>
      <c r="E12" s="236" t="s">
        <v>219</v>
      </c>
      <c r="G12" s="139">
        <v>2.6</v>
      </c>
      <c r="H12" s="139"/>
      <c r="I12" s="139"/>
      <c r="J12" s="234"/>
      <c r="L12" s="124">
        <v>0.1</v>
      </c>
      <c r="M12" s="129"/>
      <c r="N12" s="130"/>
      <c r="O12" s="130"/>
      <c r="P12" s="130"/>
      <c r="Q12" s="130"/>
      <c r="R12" s="130"/>
      <c r="S12" s="131"/>
    </row>
    <row r="13" spans="1:22" ht="10.5" customHeight="1" x14ac:dyDescent="0.2">
      <c r="A13" s="479" t="s">
        <v>27</v>
      </c>
      <c r="B13" s="519"/>
      <c r="C13" s="503"/>
      <c r="E13" s="236" t="s">
        <v>220</v>
      </c>
      <c r="G13" s="139">
        <v>1.55</v>
      </c>
      <c r="H13" s="139"/>
      <c r="I13" s="139"/>
      <c r="J13" s="234"/>
      <c r="L13" s="124">
        <v>0.11</v>
      </c>
      <c r="M13" s="129"/>
      <c r="N13" s="130"/>
      <c r="O13" s="130"/>
      <c r="P13" s="130"/>
      <c r="Q13" s="130"/>
      <c r="R13" s="130"/>
      <c r="S13" s="131"/>
    </row>
    <row r="14" spans="1:22" ht="10.5" customHeight="1" x14ac:dyDescent="0.2">
      <c r="A14" s="480"/>
      <c r="B14" s="505"/>
      <c r="C14" s="506"/>
      <c r="E14" s="236" t="s">
        <v>664</v>
      </c>
      <c r="G14" s="139">
        <f>Unit_Internal!C35</f>
        <v>0</v>
      </c>
      <c r="L14" s="124">
        <v>0.12</v>
      </c>
      <c r="M14" s="129"/>
      <c r="N14" s="130"/>
      <c r="O14" s="130"/>
      <c r="P14" s="130"/>
      <c r="Q14" s="130"/>
      <c r="R14" s="130"/>
      <c r="S14" s="131"/>
    </row>
    <row r="15" spans="1:22" ht="10.5" customHeight="1" x14ac:dyDescent="0.2">
      <c r="A15" s="480" t="s">
        <v>259</v>
      </c>
      <c r="B15" s="497">
        <v>1</v>
      </c>
      <c r="C15" s="503"/>
      <c r="E15" s="236" t="s">
        <v>677</v>
      </c>
      <c r="G15" s="139">
        <f>Unit_Internal!C46</f>
        <v>11.113959999999999</v>
      </c>
      <c r="H15" s="488"/>
      <c r="L15" s="124">
        <v>0.13</v>
      </c>
      <c r="M15" s="129"/>
      <c r="N15" s="130"/>
      <c r="O15" s="130"/>
      <c r="P15" s="130"/>
      <c r="Q15" s="130"/>
      <c r="R15" s="130"/>
      <c r="S15" s="131"/>
    </row>
    <row r="16" spans="1:22" ht="10.5" customHeight="1" x14ac:dyDescent="0.2">
      <c r="A16" s="480" t="s">
        <v>183</v>
      </c>
      <c r="B16" s="497" t="s">
        <v>126</v>
      </c>
      <c r="C16" s="503"/>
      <c r="L16" s="124">
        <v>0.14000000000000001</v>
      </c>
      <c r="M16" s="129"/>
      <c r="N16" s="130"/>
      <c r="O16" s="130"/>
      <c r="P16" s="130"/>
      <c r="Q16" s="130"/>
      <c r="R16" s="130"/>
      <c r="S16" s="131"/>
    </row>
    <row r="17" spans="1:19" ht="10.5" customHeight="1" x14ac:dyDescent="0.15">
      <c r="A17" s="480" t="s">
        <v>276</v>
      </c>
      <c r="B17" s="517">
        <v>1</v>
      </c>
      <c r="C17" s="518"/>
      <c r="E17" s="489" t="s">
        <v>175</v>
      </c>
      <c r="F17" s="489"/>
      <c r="G17" s="169">
        <f>Sys_NumPanels*Panel_STC</f>
        <v>0</v>
      </c>
      <c r="H17" s="169"/>
      <c r="I17" s="169"/>
      <c r="L17" s="124">
        <v>0.15</v>
      </c>
      <c r="M17" s="129"/>
      <c r="N17" s="130"/>
      <c r="O17" s="130"/>
      <c r="P17" s="130"/>
      <c r="Q17" s="130"/>
      <c r="R17" s="130"/>
      <c r="S17" s="131"/>
    </row>
    <row r="18" spans="1:19" ht="10.5" customHeight="1" x14ac:dyDescent="0.2">
      <c r="A18" s="480" t="s">
        <v>124</v>
      </c>
      <c r="B18" s="497" t="s">
        <v>76</v>
      </c>
      <c r="C18" s="503"/>
      <c r="E18" s="228" t="s">
        <v>240</v>
      </c>
      <c r="F18" s="228"/>
      <c r="G18" s="170">
        <f>Sys_kWhPerYear</f>
        <v>0</v>
      </c>
      <c r="H18" s="170"/>
      <c r="I18" s="170"/>
      <c r="L18" s="124">
        <v>0.16</v>
      </c>
      <c r="M18" s="129"/>
      <c r="N18" s="130"/>
      <c r="O18" s="130"/>
      <c r="P18" s="130"/>
      <c r="Q18" s="130"/>
      <c r="R18" s="130"/>
      <c r="S18" s="131"/>
    </row>
    <row r="19" spans="1:19" ht="10.5" customHeight="1" x14ac:dyDescent="0.2">
      <c r="A19" s="480" t="s">
        <v>15</v>
      </c>
      <c r="B19" s="502">
        <v>0.1</v>
      </c>
      <c r="C19" s="503"/>
      <c r="E19" s="228" t="s">
        <v>174</v>
      </c>
      <c r="F19" s="228"/>
      <c r="G19" s="170" t="str">
        <f>Sys_Factor</f>
        <v>NaN</v>
      </c>
      <c r="H19" s="170"/>
      <c r="I19" s="170"/>
      <c r="L19" s="124">
        <v>0.17</v>
      </c>
      <c r="M19" s="129"/>
      <c r="N19" s="130"/>
      <c r="O19" s="130"/>
      <c r="P19" s="130"/>
      <c r="Q19" s="130"/>
      <c r="R19" s="130"/>
      <c r="S19" s="131"/>
    </row>
    <row r="20" spans="1:19" ht="10.5" customHeight="1" x14ac:dyDescent="0.2">
      <c r="A20" s="480"/>
      <c r="B20" s="505"/>
      <c r="C20" s="506"/>
      <c r="E20" s="228" t="s">
        <v>239</v>
      </c>
      <c r="F20" s="228"/>
      <c r="G20" s="171">
        <f>IFERROR(Sys_kWhPerYear/CustUsage_kWhPerYear,0)</f>
        <v>0</v>
      </c>
      <c r="H20" s="171"/>
      <c r="I20" s="171"/>
      <c r="L20" s="124">
        <v>0.18</v>
      </c>
      <c r="M20" s="129"/>
      <c r="N20" s="130"/>
      <c r="O20" s="130"/>
      <c r="P20" s="130"/>
      <c r="Q20" s="130"/>
      <c r="R20" s="130"/>
      <c r="S20" s="131"/>
    </row>
    <row r="21" spans="1:19" ht="10.5" customHeight="1" x14ac:dyDescent="0.2">
      <c r="A21" s="480" t="s">
        <v>158</v>
      </c>
      <c r="B21" s="504">
        <v>5.86</v>
      </c>
      <c r="C21" s="503"/>
      <c r="D21" s="490"/>
      <c r="L21" s="124">
        <v>0.19</v>
      </c>
      <c r="M21" s="129"/>
      <c r="N21" s="130"/>
      <c r="O21" s="130"/>
      <c r="P21" s="130"/>
      <c r="Q21" s="130"/>
      <c r="R21" s="130"/>
      <c r="S21" s="131"/>
    </row>
    <row r="22" spans="1:19" ht="10.5" customHeight="1" x14ac:dyDescent="0.2">
      <c r="A22" s="480" t="s">
        <v>160</v>
      </c>
      <c r="B22" s="502">
        <v>0.12</v>
      </c>
      <c r="C22" s="503"/>
      <c r="D22" s="490"/>
      <c r="E22" s="228" t="str">
        <f>IF(OR(AND(VLOOKUP(G5,Components!$A$1:$N$108,8,FALSE)&gt;2,B15&lt;=2),AND(VLOOKUP(G5,Components!$A$1:$N$108,8,FALSE)&lt;=2,B15&gt;2)),"Inverter phases does not match CFE Hilos",IF(SysSpec_Inverters_Units*VLOOKUP(G5,Components!$A$1:$N$108,12,FALSE)&lt;$G$17,"Inverter Wp rating too low for System Size",IF(SysSpec_Inverters_Units*VLOOKUP(G5,Components!$A$1:$N$108,11,FALSE)&gt;$G$17,"Inverter Wp rating too high for System Size","")))</f>
        <v/>
      </c>
      <c r="F22" s="228"/>
      <c r="H22" s="228"/>
      <c r="I22" s="228"/>
      <c r="L22" s="124">
        <v>0.2</v>
      </c>
      <c r="M22" s="129"/>
      <c r="N22" s="130"/>
      <c r="O22" s="130"/>
      <c r="P22" s="130"/>
      <c r="Q22" s="130"/>
      <c r="R22" s="130"/>
      <c r="S22" s="131"/>
    </row>
    <row r="23" spans="1:19" ht="10.5" customHeight="1" x14ac:dyDescent="0.2">
      <c r="A23" s="481"/>
      <c r="B23" s="507"/>
      <c r="C23" s="508"/>
      <c r="E23" s="236" t="str">
        <f>IFERROR(IF(G20&gt;1.02,"System Production is greater than Customer Usage.  Either reduce system size or increase Customer Usage",""),"Error")</f>
        <v/>
      </c>
      <c r="L23" s="124">
        <v>0.21</v>
      </c>
      <c r="M23" s="129"/>
      <c r="N23" s="130"/>
      <c r="O23" s="130"/>
      <c r="P23" s="130"/>
      <c r="Q23" s="130"/>
      <c r="R23" s="130"/>
      <c r="S23" s="131"/>
    </row>
    <row r="24" spans="1:19" ht="10.5" customHeight="1" x14ac:dyDescent="0.2">
      <c r="A24" s="482" t="s">
        <v>169</v>
      </c>
      <c r="B24" s="500">
        <v>10000</v>
      </c>
      <c r="C24" s="501"/>
      <c r="L24" s="124">
        <v>0.22</v>
      </c>
      <c r="M24" s="129"/>
      <c r="N24" s="130"/>
      <c r="O24" s="130"/>
      <c r="P24" s="130"/>
      <c r="Q24" s="130"/>
      <c r="R24" s="130"/>
      <c r="S24" s="131"/>
    </row>
    <row r="25" spans="1:19" x14ac:dyDescent="0.15">
      <c r="L25" s="124">
        <v>0.23</v>
      </c>
      <c r="M25" s="129"/>
      <c r="N25" s="130"/>
      <c r="O25" s="130"/>
      <c r="P25" s="130"/>
      <c r="Q25" s="130"/>
      <c r="R25" s="130"/>
      <c r="S25" s="131"/>
    </row>
    <row r="26" spans="1:19" x14ac:dyDescent="0.15">
      <c r="E26" s="491" t="s">
        <v>663</v>
      </c>
      <c r="G26" s="233" t="s">
        <v>30</v>
      </c>
      <c r="L26" s="124">
        <v>0.24</v>
      </c>
      <c r="M26" s="129"/>
      <c r="N26" s="130"/>
      <c r="O26" s="130"/>
      <c r="P26" s="130"/>
      <c r="Q26" s="130"/>
      <c r="R26" s="130"/>
      <c r="S26" s="131"/>
    </row>
    <row r="27" spans="1:19" x14ac:dyDescent="0.15">
      <c r="E27" s="473" t="s">
        <v>30</v>
      </c>
      <c r="F27" s="119"/>
      <c r="G27" s="475">
        <v>0</v>
      </c>
      <c r="L27" s="124">
        <v>0.25</v>
      </c>
      <c r="M27" s="136"/>
      <c r="N27" s="137"/>
      <c r="O27" s="137"/>
      <c r="P27" s="137"/>
      <c r="Q27" s="137"/>
      <c r="R27" s="137"/>
      <c r="S27" s="138"/>
    </row>
    <row r="30" spans="1:19" x14ac:dyDescent="0.15">
      <c r="B30" s="492"/>
      <c r="C30" s="492"/>
    </row>
    <row r="31" spans="1:19" x14ac:dyDescent="0.15">
      <c r="A31" s="493"/>
    </row>
    <row r="32" spans="1:19" x14ac:dyDescent="0.15">
      <c r="A32" s="493"/>
    </row>
    <row r="33" spans="1:1" x14ac:dyDescent="0.15">
      <c r="A33" s="493"/>
    </row>
    <row r="34" spans="1:1" x14ac:dyDescent="0.15">
      <c r="A34" s="493"/>
    </row>
    <row r="35" spans="1:1" x14ac:dyDescent="0.15">
      <c r="A35" s="493"/>
    </row>
    <row r="36" spans="1:1" x14ac:dyDescent="0.15">
      <c r="A36" s="493"/>
    </row>
    <row r="37" spans="1:1" x14ac:dyDescent="0.15">
      <c r="A37" s="493"/>
    </row>
    <row r="38" spans="1:1" x14ac:dyDescent="0.15">
      <c r="A38" s="493"/>
    </row>
    <row r="39" spans="1:1" x14ac:dyDescent="0.15">
      <c r="A39" s="493"/>
    </row>
    <row r="40" spans="1:1" x14ac:dyDescent="0.15">
      <c r="A40" s="493"/>
    </row>
    <row r="41" spans="1:1" x14ac:dyDescent="0.15">
      <c r="A41" s="493"/>
    </row>
    <row r="42" spans="1:1" x14ac:dyDescent="0.15">
      <c r="A42" s="493"/>
    </row>
  </sheetData>
  <sheetProtection formatCells="0"/>
  <mergeCells count="24">
    <mergeCell ref="B8:C8"/>
    <mergeCell ref="B7:C7"/>
    <mergeCell ref="B6:C6"/>
    <mergeCell ref="B17:C17"/>
    <mergeCell ref="B16:C16"/>
    <mergeCell ref="B15:C15"/>
    <mergeCell ref="B14:C14"/>
    <mergeCell ref="B13:C13"/>
    <mergeCell ref="B12:C12"/>
    <mergeCell ref="B11:C11"/>
    <mergeCell ref="B10:C10"/>
    <mergeCell ref="B9:C9"/>
    <mergeCell ref="B5:C5"/>
    <mergeCell ref="B3:C3"/>
    <mergeCell ref="B4:C4"/>
    <mergeCell ref="E2:J2"/>
    <mergeCell ref="A2:C2"/>
    <mergeCell ref="B24:C24"/>
    <mergeCell ref="B22:C22"/>
    <mergeCell ref="B21:C21"/>
    <mergeCell ref="B19:C19"/>
    <mergeCell ref="B18:C18"/>
    <mergeCell ref="B20:C20"/>
    <mergeCell ref="B23:C23"/>
  </mergeCells>
  <conditionalFormatting sqref="M3:S27">
    <cfRule type="expression" dxfId="2" priority="3">
      <formula>IF(AND(M$2=$V$3,$L3=$V$4),TRUE,FALSE)</formula>
    </cfRule>
  </conditionalFormatting>
  <conditionalFormatting sqref="G20">
    <cfRule type="expression" dxfId="0" priority="2">
      <formula>IF(G20&gt;1.02,TRUE,FALSE)</formula>
    </cfRule>
  </conditionalFormatting>
  <dataValidations count="5">
    <dataValidation type="list" allowBlank="1" showInputMessage="1" showErrorMessage="1" sqref="V3">
      <formula1>$M$2:$S$2</formula1>
    </dataValidation>
    <dataValidation type="list" allowBlank="1" showInputMessage="1" showErrorMessage="1" sqref="V4">
      <formula1>$L$3:$L$27</formula1>
    </dataValidation>
    <dataValidation type="list" allowBlank="1" showInputMessage="1" showErrorMessage="1" sqref="G5">
      <formula1>INDIRECT(F5)</formula1>
    </dataValidation>
    <dataValidation type="list" allowBlank="1" showInputMessage="1" showErrorMessage="1" sqref="G26">
      <formula1>"Initial Payment,Final Payment"</formula1>
    </dataValidation>
    <dataValidation type="list" allowBlank="1" showInputMessage="1" showErrorMessage="1" sqref="G7">
      <formula1>INDIRECT(F7)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2" r:id="rId4" name="Button 28">
              <controlPr defaultSize="0" print="0" autoFill="0" autoPict="0" macro="[0]!mcrGenerateScenarios">
                <anchor moveWithCells="1" sizeWithCells="1">
                  <from>
                    <xdr:col>8</xdr:col>
                    <xdr:colOff>9525</xdr:colOff>
                    <xdr:row>25</xdr:row>
                    <xdr:rowOff>0</xdr:rowOff>
                  </from>
                  <to>
                    <xdr:col>10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5" name="Button 35">
              <controlPr defaultSize="0" print="0" autoFill="0" autoPict="0" macro="[0]!mcrSaveFile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10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6" name="Button 51">
              <controlPr defaultSize="0" print="0" autoFill="0" autoPict="0" macro="[0]!mcrClearForm">
                <anchor moveWithCells="1" sizeWithCells="1">
                  <from>
                    <xdr:col>8</xdr:col>
                    <xdr:colOff>9525</xdr:colOff>
                    <xdr:row>34</xdr:row>
                    <xdr:rowOff>0</xdr:rowOff>
                  </from>
                  <to>
                    <xdr:col>10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8" r:id="rId7" name="Button 54">
              <controlPr defaultSize="0" print="0" autoFill="0" autoPict="0" macro="[0]!mcrRecommendSystems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" id="{301D22B3-0EEE-4168-9495-AE30A29F0B3F}">
            <xm:f>IF(OR(OR(AND(VLOOKUP(G5,Components!$A$1:$N$108,8,FALSE)&gt;2,B15&lt;=2),AND(VLOOKUP(G5,Components!$A$1:$N$108,8,FALSE)&lt;=2,B15&gt;2)),J5*VLOOKUP(G5,Components!$A$1:$N$108,12,FALSE)&lt;$G$17,J5*VLOOKUP(G5,Components!$A$1:$N$108,11,FALSE)&gt;$G$17),TRUE,FALSE)</xm:f>
            <x14:dxf>
              <fill>
                <patternFill>
                  <bgColor rgb="FFFF0000"/>
                </patternFill>
              </fill>
            </x14:dxf>
          </x14:cfRule>
          <xm:sqref>G5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Components!$A$2:$A$3</xm:f>
          </x14:formula1>
          <xm:sqref>G4</xm:sqref>
        </x14:dataValidation>
        <x14:dataValidation type="list" allowBlank="1" showInputMessage="1" showErrorMessage="1">
          <x14:formula1>
            <xm:f>ListData!$B$2:$B$12</xm:f>
          </x14:formula1>
          <xm:sqref>B18</xm:sqref>
        </x14:dataValidation>
        <x14:dataValidation type="list" allowBlank="1" showInputMessage="1" showErrorMessage="1">
          <x14:formula1>
            <xm:f>ListData!$B$29:$B$31</xm:f>
          </x14:formula1>
          <xm:sqref>B15</xm:sqref>
        </x14:dataValidation>
        <x14:dataValidation type="list" allowBlank="1" showInputMessage="1" showErrorMessage="1">
          <x14:formula1>
            <xm:f>ListData!$B$20:$B$26</xm:f>
          </x14:formula1>
          <xm:sqref>B17</xm:sqref>
        </x14:dataValidation>
        <x14:dataValidation type="list" allowBlank="1" showInputMessage="1" showErrorMessage="1">
          <x14:formula1>
            <xm:f>ListData!$B$15:$B$16</xm:f>
          </x14:formula1>
          <xm:sqref>B16:C16</xm:sqref>
        </x14:dataValidation>
        <x14:dataValidation type="list" allowBlank="1" showInputMessage="1" showErrorMessage="1">
          <x14:formula1>
            <xm:f>Components!$A$106:$A$108</xm:f>
          </x14:formula1>
          <xm:sqref>G9</xm:sqref>
        </x14:dataValidation>
        <x14:dataValidation type="list" allowBlank="1" showInputMessage="1" showErrorMessage="1">
          <x14:formula1>
            <xm:f>Components!$A$17:$A$22</xm:f>
          </x14:formula1>
          <xm:sqref>G6</xm:sqref>
        </x14:dataValidation>
        <x14:dataValidation type="list" allowBlank="1" showInputMessage="1" showErrorMessage="1">
          <x14:formula1>
            <xm:f>ListData!$B$58:$B$89</xm:f>
          </x14:formula1>
          <xm:sqref>B12:C12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3:G288"/>
  <sheetViews>
    <sheetView zoomScaleNormal="10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515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"PV system size is "&amp;TEXT(Inputs_MySOL!$G$17/1000,"0.00")&amp;"kW"</f>
        <v>PV system size is 0.00kW</v>
      </c>
    </row>
    <row r="9" spans="1:7" ht="15.75" customHeight="1" x14ac:dyDescent="0.2">
      <c r="G9" s="1" t="str">
        <f>IF(SysSpec_PV_Units=0,"",SysSpec_PV_Units&amp;" "&amp;Inputs!G$4)</f>
        <v/>
      </c>
    </row>
    <row r="10" spans="1:7" ht="15.75" customHeight="1" x14ac:dyDescent="0.3">
      <c r="A10"/>
      <c r="B10" s="8"/>
      <c r="C10" s="8"/>
      <c r="G10" s="1" t="str">
        <f>IF(SysSpec_Inverters_Units=0,"",SysSpec_Inverters_Units&amp;" "&amp;Inputs!G$5)</f>
        <v/>
      </c>
    </row>
    <row r="11" spans="1:7" ht="15.75" customHeight="1" x14ac:dyDescent="0.2">
      <c r="A11"/>
      <c r="G11" s="1" t="str">
        <f>IF(SysSpec_Optimizers_Units=0,"",SysSpec_Optimizers_Units&amp;" "&amp;Inputs!G$6)</f>
        <v/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53" t="s">
        <v>516</v>
      </c>
      <c r="E18" s="553"/>
      <c r="F18" s="553"/>
      <c r="G18" s="413" t="s">
        <v>517</v>
      </c>
    </row>
    <row r="19" spans="1:7" ht="15.75" customHeight="1" x14ac:dyDescent="0.2"/>
    <row r="20" spans="1:7" ht="15.75" customHeight="1" x14ac:dyDescent="0.2">
      <c r="A20" s="10" t="s">
        <v>30</v>
      </c>
      <c r="B20" s="11"/>
      <c r="C20" s="11"/>
      <c r="D20" s="12">
        <f>Cust_InitialPymt</f>
        <v>0</v>
      </c>
      <c r="E20" s="12"/>
      <c r="F20" s="12"/>
      <c r="G20" s="414" t="str">
        <f>IF(D20=0,"Go solar with no upfront cost","Go solar with low upfront cost")</f>
        <v>Go solar with no upfront cost</v>
      </c>
    </row>
    <row r="21" spans="1:7" ht="15.75" customHeight="1" x14ac:dyDescent="0.2"/>
    <row r="22" spans="1:7" ht="15.75" customHeight="1" x14ac:dyDescent="0.2">
      <c r="A22" s="10" t="s">
        <v>567</v>
      </c>
      <c r="B22" s="11"/>
      <c r="C22" s="11"/>
      <c r="D22" s="13">
        <f>Savings!AB6/12</f>
        <v>0</v>
      </c>
      <c r="E22" s="13"/>
      <c r="F22" s="13"/>
      <c r="G22" s="414" t="s">
        <v>568</v>
      </c>
    </row>
    <row r="23" spans="1:7" ht="15.75" customHeight="1" x14ac:dyDescent="0.2"/>
    <row r="24" spans="1:7" ht="15.75" customHeight="1" x14ac:dyDescent="0.2">
      <c r="A24" s="10" t="s">
        <v>32</v>
      </c>
      <c r="B24" s="11"/>
      <c r="C24" s="11"/>
      <c r="D24" s="14">
        <f>Inputs_MySOL!$B$11</f>
        <v>3.5000000000000003E-2</v>
      </c>
      <c r="E24" s="14"/>
      <c r="F24" s="14"/>
      <c r="G24" s="414" t="str">
        <f>"Low compared to "&amp;TEXT(Inputs_MySOL!$B$6,"0.0%")&amp;" CFE rate increases"</f>
        <v>Low compared to 8.0% CFE rate increases</v>
      </c>
    </row>
    <row r="25" spans="1:7" ht="15.75" customHeight="1" x14ac:dyDescent="0.2"/>
    <row r="26" spans="1:7" ht="15.75" customHeight="1" x14ac:dyDescent="0.2">
      <c r="A26" s="10" t="s">
        <v>33</v>
      </c>
      <c r="B26" s="11"/>
      <c r="C26" s="11"/>
      <c r="D26" s="15">
        <f>Cust_LeaseTermYears</f>
        <v>15</v>
      </c>
      <c r="E26" s="15"/>
      <c r="F26" s="13"/>
      <c r="G26" s="414" t="s">
        <v>34</v>
      </c>
    </row>
    <row r="27" spans="1:7" ht="15.75" customHeight="1" x14ac:dyDescent="0.2"/>
    <row r="28" spans="1:7" ht="15.75" customHeight="1" x14ac:dyDescent="0.2">
      <c r="A28" s="10" t="s">
        <v>36</v>
      </c>
      <c r="B28" s="11"/>
      <c r="C28" s="11"/>
      <c r="D28" s="13" t="s">
        <v>31</v>
      </c>
      <c r="E28" s="13"/>
      <c r="F28" s="13"/>
      <c r="G28" s="414" t="s">
        <v>273</v>
      </c>
    </row>
    <row r="29" spans="1:7" ht="15.75" customHeight="1" x14ac:dyDescent="0.2"/>
    <row r="30" spans="1:7" ht="15.75" customHeight="1" x14ac:dyDescent="0.2">
      <c r="A30" s="10" t="s">
        <v>38</v>
      </c>
      <c r="B30" s="11"/>
      <c r="C30" s="11"/>
      <c r="D30" s="17" t="s">
        <v>31</v>
      </c>
      <c r="E30" s="17"/>
      <c r="F30" s="17"/>
      <c r="G30" s="415" t="s">
        <v>275</v>
      </c>
    </row>
    <row r="31" spans="1:7" ht="15.75" customHeight="1" x14ac:dyDescent="0.2"/>
    <row r="32" spans="1:7" ht="15.75" customHeight="1" x14ac:dyDescent="0.2">
      <c r="A32" s="10" t="s">
        <v>13</v>
      </c>
      <c r="B32" s="11"/>
      <c r="C32" s="11"/>
      <c r="D32" s="17" t="s">
        <v>31</v>
      </c>
      <c r="E32" s="17"/>
      <c r="F32" s="17"/>
      <c r="G32" s="415" t="s">
        <v>274</v>
      </c>
    </row>
    <row r="33" spans="1:7" ht="15.75" customHeight="1" x14ac:dyDescent="0.2"/>
    <row r="34" spans="1:7" ht="15.75" customHeight="1" x14ac:dyDescent="0.2">
      <c r="A34" s="10" t="s">
        <v>518</v>
      </c>
      <c r="B34" s="11"/>
      <c r="C34" s="11"/>
      <c r="D34" s="13" t="s">
        <v>31</v>
      </c>
      <c r="E34" s="13"/>
      <c r="F34" s="17"/>
      <c r="G34" s="414" t="s">
        <v>363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515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PV system size is 0.00kW</v>
      </c>
    </row>
    <row r="73" spans="1:7" x14ac:dyDescent="0.2">
      <c r="A73"/>
      <c r="G73" s="1" t="str">
        <f>IF(SysSpec_PV_Units=0,"",SysSpec_PV_Units&amp;" "&amp;Inputs!G$4)</f>
        <v/>
      </c>
    </row>
    <row r="74" spans="1:7" ht="20.25" x14ac:dyDescent="0.3">
      <c r="B74" s="8"/>
      <c r="C74" s="8"/>
      <c r="G74" s="1" t="str">
        <f>IF(SysSpec_Inverters_Units=0,"",SysSpec_Inverters_Units&amp;" "&amp;Inputs!G$5)</f>
        <v/>
      </c>
    </row>
    <row r="75" spans="1:7" x14ac:dyDescent="0.2">
      <c r="G75" s="1" t="str">
        <f>IF(SysSpec_Optimizers_Units=0,"",SysSpec_Optimizers_Units&amp;" "&amp;Inputs!G$6)</f>
        <v/>
      </c>
    </row>
    <row r="77" spans="1:7" x14ac:dyDescent="0.2">
      <c r="C77" s="9"/>
    </row>
    <row r="83" spans="1:7" ht="30.75" customHeight="1" x14ac:dyDescent="0.25">
      <c r="A83" s="18" t="s">
        <v>223</v>
      </c>
      <c r="B83" s="19"/>
      <c r="C83" s="149" t="s">
        <v>519</v>
      </c>
      <c r="D83" s="149" t="s">
        <v>520</v>
      </c>
      <c r="E83" s="20" t="s">
        <v>222</v>
      </c>
      <c r="G83" s="21" t="str">
        <f>15&amp;" Year Summary"</f>
        <v>15 Year Summary</v>
      </c>
    </row>
    <row r="84" spans="1:7" ht="15" x14ac:dyDescent="0.2">
      <c r="A84" s="7" t="s">
        <v>18</v>
      </c>
      <c r="B84" s="7"/>
      <c r="C84" s="67">
        <f>Savings!J6</f>
        <v>56571.580799999996</v>
      </c>
      <c r="D84" s="67">
        <f>Savings!X6</f>
        <v>56571.580799999996</v>
      </c>
      <c r="E84" s="7"/>
      <c r="G84" s="22" t="str">
        <f>"Savings in year " &amp;15&amp;" is "&amp;TEXT(Savings!AF20,"0.0%")</f>
        <v>Savings in year 15 is 0.0%</v>
      </c>
    </row>
    <row r="85" spans="1:7" ht="15" x14ac:dyDescent="0.2">
      <c r="A85" s="19" t="s">
        <v>521</v>
      </c>
      <c r="B85" s="19"/>
      <c r="C85" s="68" t="s">
        <v>41</v>
      </c>
      <c r="D85" s="69">
        <f>Savings!AB6</f>
        <v>0</v>
      </c>
      <c r="E85" s="7"/>
      <c r="G85" s="22" t="str">
        <f>"Savings over "&amp;15&amp;" years is $"&amp;TEXT(G138,"#,##")</f>
        <v>Savings over 15 years is $</v>
      </c>
    </row>
    <row r="86" spans="1:7" ht="15.75" x14ac:dyDescent="0.25">
      <c r="A86" s="21" t="s">
        <v>28</v>
      </c>
      <c r="C86" s="23">
        <f>SUM(C84:C85)</f>
        <v>56571.580799999996</v>
      </c>
      <c r="D86" s="23">
        <f>SUM(D84:D85)</f>
        <v>56571.580799999996</v>
      </c>
      <c r="E86" s="147">
        <f>C86-D86</f>
        <v>0</v>
      </c>
      <c r="F86" s="25"/>
      <c r="G86" s="21"/>
    </row>
    <row r="87" spans="1:7" ht="15.75" x14ac:dyDescent="0.25">
      <c r="A87" s="7"/>
      <c r="C87" s="150"/>
      <c r="D87" s="150"/>
      <c r="E87" s="25"/>
      <c r="G87" s="21"/>
    </row>
    <row r="88" spans="1:7" ht="15.75" x14ac:dyDescent="0.25">
      <c r="A88" s="21"/>
      <c r="C88" s="23"/>
      <c r="D88" s="23"/>
      <c r="E88" s="147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.75" thickBot="1" x14ac:dyDescent="0.25">
      <c r="A119" s="554" t="s">
        <v>547</v>
      </c>
      <c r="B119" s="555"/>
      <c r="C119" s="555"/>
      <c r="D119" s="555"/>
      <c r="E119" s="555"/>
      <c r="F119" s="555"/>
      <c r="G119" s="556"/>
    </row>
    <row r="120" spans="1:7" ht="18" customHeight="1" thickBot="1" x14ac:dyDescent="0.25">
      <c r="A120" s="563" t="s">
        <v>20</v>
      </c>
      <c r="B120" s="564"/>
      <c r="C120" s="566" t="s">
        <v>519</v>
      </c>
      <c r="D120" s="567"/>
      <c r="E120" s="568" t="s">
        <v>860</v>
      </c>
      <c r="F120" s="569"/>
      <c r="G120" s="570"/>
    </row>
    <row r="121" spans="1:7" ht="16.5" customHeight="1" x14ac:dyDescent="0.2">
      <c r="A121" s="565"/>
      <c r="B121" s="521"/>
      <c r="C121" s="526" t="s">
        <v>18</v>
      </c>
      <c r="D121" s="521"/>
      <c r="E121" s="527" t="s">
        <v>857</v>
      </c>
      <c r="F121" s="528"/>
      <c r="G121" s="476" t="s">
        <v>859</v>
      </c>
    </row>
    <row r="122" spans="1:7" ht="12.75" customHeight="1" x14ac:dyDescent="0.2">
      <c r="A122" s="520" t="s">
        <v>30</v>
      </c>
      <c r="B122" s="521"/>
      <c r="C122" s="531">
        <v>0</v>
      </c>
      <c r="D122" s="521"/>
      <c r="E122" s="529">
        <f>Cust_InitialPymt</f>
        <v>0</v>
      </c>
      <c r="F122" s="530"/>
      <c r="G122" s="477"/>
    </row>
    <row r="123" spans="1:7" x14ac:dyDescent="0.2">
      <c r="A123" s="522">
        <v>1</v>
      </c>
      <c r="B123" s="523"/>
      <c r="C123" s="531">
        <f>Savings!J6</f>
        <v>56571.580799999996</v>
      </c>
      <c r="D123" s="521"/>
      <c r="E123" s="529"/>
      <c r="F123" s="530"/>
      <c r="G123" s="477">
        <f>Savings!AE6</f>
        <v>0</v>
      </c>
    </row>
    <row r="124" spans="1:7" x14ac:dyDescent="0.2">
      <c r="A124" s="522">
        <v>2</v>
      </c>
      <c r="B124" s="523"/>
      <c r="C124" s="531">
        <f>Savings!J7</f>
        <v>61097.30726400001</v>
      </c>
      <c r="D124" s="521"/>
      <c r="E124" s="529"/>
      <c r="F124" s="530"/>
      <c r="G124" s="477">
        <f>Savings!AE7</f>
        <v>0</v>
      </c>
    </row>
    <row r="125" spans="1:7" x14ac:dyDescent="0.2">
      <c r="A125" s="522">
        <v>3</v>
      </c>
      <c r="B125" s="523"/>
      <c r="C125" s="531">
        <f>Savings!J8</f>
        <v>65985.091845120012</v>
      </c>
      <c r="D125" s="521"/>
      <c r="E125" s="529"/>
      <c r="F125" s="530"/>
      <c r="G125" s="477">
        <f>Savings!AE8</f>
        <v>0</v>
      </c>
    </row>
    <row r="126" spans="1:7" x14ac:dyDescent="0.2">
      <c r="A126" s="522">
        <v>4</v>
      </c>
      <c r="B126" s="523"/>
      <c r="C126" s="531">
        <f>Savings!J9</f>
        <v>71263.899192729616</v>
      </c>
      <c r="D126" s="521"/>
      <c r="E126" s="529"/>
      <c r="F126" s="530"/>
      <c r="G126" s="477">
        <f>Savings!AE9</f>
        <v>0</v>
      </c>
    </row>
    <row r="127" spans="1:7" x14ac:dyDescent="0.2">
      <c r="A127" s="522">
        <v>5</v>
      </c>
      <c r="B127" s="523"/>
      <c r="C127" s="531">
        <f>Savings!J10</f>
        <v>76965.011128147991</v>
      </c>
      <c r="D127" s="521"/>
      <c r="E127" s="529"/>
      <c r="F127" s="530"/>
      <c r="G127" s="477">
        <f>Savings!AE10</f>
        <v>0</v>
      </c>
    </row>
    <row r="128" spans="1:7" x14ac:dyDescent="0.2">
      <c r="A128" s="522">
        <v>6</v>
      </c>
      <c r="B128" s="523"/>
      <c r="C128" s="531">
        <f>Savings!J11</f>
        <v>83122.212018399819</v>
      </c>
      <c r="D128" s="521"/>
      <c r="E128" s="557" t="str">
        <f>IF(A128&lt;&gt;Cust_LeaseTermYears,"",IF(Scenario_Variable="Final Payment",MAX(0,HLOOKUP(A128*12,Model!$D$39:$GA$58,20,FALSE)),Cust_FinalPymtAtTermEnd))</f>
        <v/>
      </c>
      <c r="F128" s="530" t="str">
        <f>IF(OR(D128&lt;5,D128&gt;Cust_LeaseTermYears),"N/A",IF(OR(Scenario_Variable="Final Payment",D128&lt;Cust_LeaseTermYears),MAX(0,HLOOKUP(D128*12,Model!$D$39:$GA$58,20,FALSE)),Cust_FinalPymtAtTermEnd))</f>
        <v>N/A</v>
      </c>
      <c r="G128" s="477">
        <f>Savings!AE11</f>
        <v>0</v>
      </c>
    </row>
    <row r="129" spans="1:7" x14ac:dyDescent="0.2">
      <c r="A129" s="522">
        <v>7</v>
      </c>
      <c r="B129" s="523"/>
      <c r="C129" s="531">
        <f>Savings!J12</f>
        <v>89771.988979871836</v>
      </c>
      <c r="D129" s="521"/>
      <c r="E129" s="529" t="str">
        <f>IF(A129&lt;&gt;Cust_LeaseTermYears,"",IF(Scenario_Variable="Final Payment",MAX(0,HLOOKUP(A129*12,Model!$D$39:$GA$58,20,FALSE)),Cust_FinalPymtAtTermEnd))</f>
        <v/>
      </c>
      <c r="F129" s="530" t="str">
        <f>IF(OR(D129&lt;5,D129&gt;Cust_LeaseTermYears),"N/A",IF(OR(Scenario_Variable="Final Payment",D129&lt;Cust_LeaseTermYears),MAX(0,HLOOKUP(D129*12,Model!$D$39:$GA$58,20,FALSE)),Cust_FinalPymtAtTermEnd))</f>
        <v>N/A</v>
      </c>
      <c r="G129" s="477">
        <f>Savings!AE12</f>
        <v>0</v>
      </c>
    </row>
    <row r="130" spans="1:7" x14ac:dyDescent="0.2">
      <c r="A130" s="522">
        <v>8</v>
      </c>
      <c r="B130" s="523"/>
      <c r="C130" s="531">
        <f>Savings!J13</f>
        <v>96953.748098261567</v>
      </c>
      <c r="D130" s="521"/>
      <c r="E130" s="529" t="str">
        <f>IF(A130&lt;&gt;Cust_LeaseTermYears,"",IF(Scenario_Variable="Final Payment",MAX(0,HLOOKUP(A130*12,Model!$D$39:$GA$58,20,FALSE)),Cust_FinalPymtAtTermEnd))</f>
        <v/>
      </c>
      <c r="F130" s="530" t="str">
        <f>IF(OR(D130&lt;5,D130&gt;Cust_LeaseTermYears),"N/A",IF(OR(Scenario_Variable="Final Payment",D130&lt;Cust_LeaseTermYears),MAX(0,HLOOKUP(D130*12,Model!$D$39:$GA$58,20,FALSE)),Cust_FinalPymtAtTermEnd))</f>
        <v>N/A</v>
      </c>
      <c r="G130" s="477">
        <f>Savings!AE13</f>
        <v>0</v>
      </c>
    </row>
    <row r="131" spans="1:7" x14ac:dyDescent="0.2">
      <c r="A131" s="522">
        <v>9</v>
      </c>
      <c r="B131" s="523"/>
      <c r="C131" s="531">
        <f>Savings!J14</f>
        <v>104710.04794612252</v>
      </c>
      <c r="D131" s="521"/>
      <c r="E131" s="529" t="str">
        <f>IF(A131&lt;&gt;Cust_LeaseTermYears,"",IF(Scenario_Variable="Final Payment",MAX(0,HLOOKUP(A131*12,Model!$D$39:$GA$58,20,FALSE)),Cust_FinalPymtAtTermEnd))</f>
        <v/>
      </c>
      <c r="F131" s="530" t="str">
        <f>IF(OR(D131&lt;5,D131&gt;Cust_LeaseTermYears),"N/A",IF(OR(Scenario_Variable="Final Payment",D131&lt;Cust_LeaseTermYears),MAX(0,HLOOKUP(D131*12,Model!$D$39:$GA$58,20,FALSE)),Cust_FinalPymtAtTermEnd))</f>
        <v>N/A</v>
      </c>
      <c r="G131" s="477">
        <f>Savings!AE14</f>
        <v>0</v>
      </c>
    </row>
    <row r="132" spans="1:7" x14ac:dyDescent="0.2">
      <c r="A132" s="522">
        <v>10</v>
      </c>
      <c r="B132" s="523"/>
      <c r="C132" s="531">
        <f>Savings!J15</f>
        <v>113086.85178181232</v>
      </c>
      <c r="D132" s="521"/>
      <c r="E132" s="529" t="str">
        <f>IF(A132&lt;&gt;Cust_LeaseTermYears,"",IF(Scenario_Variable="Final Payment",MAX(0,HLOOKUP(A132*12,Model!$D$39:$GA$58,20,FALSE)),Cust_FinalPymtAtTermEnd))</f>
        <v/>
      </c>
      <c r="F132" s="530" t="str">
        <f>IF(OR(D132&lt;5,D132&gt;Cust_LeaseTermYears),"N/A",IF(OR(Scenario_Variable="Final Payment",D132&lt;Cust_LeaseTermYears),MAX(0,HLOOKUP(D132*12,Model!$D$39:$GA$58,20,FALSE)),Cust_FinalPymtAtTermEnd))</f>
        <v>N/A</v>
      </c>
      <c r="G132" s="477">
        <f>Savings!AE15</f>
        <v>0</v>
      </c>
    </row>
    <row r="133" spans="1:7" x14ac:dyDescent="0.2">
      <c r="A133" s="522">
        <v>11</v>
      </c>
      <c r="B133" s="523"/>
      <c r="C133" s="531">
        <f>Savings!J16</f>
        <v>122133.79992435733</v>
      </c>
      <c r="D133" s="521"/>
      <c r="E133" s="529" t="str">
        <f>IF(A133&lt;&gt;Cust_LeaseTermYears,"",IF(Scenario_Variable="Final Payment",MAX(0,HLOOKUP(A133*12,Model!$D$39:$GA$58,20,FALSE)),Cust_FinalPymtAtTermEnd))</f>
        <v/>
      </c>
      <c r="F133" s="530" t="str">
        <f>IF(OR(D133&lt;5,D133&gt;Cust_LeaseTermYears),"N/A",IF(OR(Scenario_Variable="Final Payment",D133&lt;Cust_LeaseTermYears),MAX(0,HLOOKUP(D133*12,Model!$D$39:$GA$58,20,FALSE)),Cust_FinalPymtAtTermEnd))</f>
        <v>N/A</v>
      </c>
      <c r="G133" s="477">
        <f>Savings!AE16</f>
        <v>0</v>
      </c>
    </row>
    <row r="134" spans="1:7" x14ac:dyDescent="0.2">
      <c r="A134" s="522">
        <v>12</v>
      </c>
      <c r="B134" s="523"/>
      <c r="C134" s="531">
        <f>Savings!J17</f>
        <v>131904.50391830591</v>
      </c>
      <c r="D134" s="521"/>
      <c r="E134" s="529" t="str">
        <f>IF(A134&lt;&gt;Cust_LeaseTermYears,"",IF(Scenario_Variable="Final Payment",MAX(0,HLOOKUP(A134*12,Model!$D$39:$GA$58,20,FALSE)),Cust_FinalPymtAtTermEnd))</f>
        <v/>
      </c>
      <c r="F134" s="530" t="str">
        <f>IF(OR(D134&lt;5,D134&gt;Cust_LeaseTermYears),"N/A",IF(OR(Scenario_Variable="Final Payment",D134&lt;Cust_LeaseTermYears),MAX(0,HLOOKUP(D134*12,Model!$D$39:$GA$58,20,FALSE)),Cust_FinalPymtAtTermEnd))</f>
        <v>N/A</v>
      </c>
      <c r="G134" s="477">
        <f>Savings!AE17</f>
        <v>0</v>
      </c>
    </row>
    <row r="135" spans="1:7" x14ac:dyDescent="0.2">
      <c r="A135" s="522">
        <v>13</v>
      </c>
      <c r="B135" s="523"/>
      <c r="C135" s="531">
        <f>Savings!J18</f>
        <v>142456.86423177039</v>
      </c>
      <c r="D135" s="521"/>
      <c r="E135" s="529" t="str">
        <f>IF(A135&lt;&gt;Cust_LeaseTermYears,"",IF(Scenario_Variable="Final Payment",MAX(0,HLOOKUP(A135*12,Model!$D$39:$GA$58,20,FALSE)),Cust_FinalPymtAtTermEnd))</f>
        <v/>
      </c>
      <c r="F135" s="530" t="str">
        <f>IF(OR(D135&lt;5,D135&gt;Cust_LeaseTermYears),"N/A",IF(OR(Scenario_Variable="Final Payment",D135&lt;Cust_LeaseTermYears),MAX(0,HLOOKUP(D135*12,Model!$D$39:$GA$58,20,FALSE)),Cust_FinalPymtAtTermEnd))</f>
        <v>N/A</v>
      </c>
      <c r="G135" s="477">
        <f>Savings!AE18</f>
        <v>0</v>
      </c>
    </row>
    <row r="136" spans="1:7" x14ac:dyDescent="0.2">
      <c r="A136" s="522">
        <v>14</v>
      </c>
      <c r="B136" s="523"/>
      <c r="C136" s="531">
        <f>Savings!J19</f>
        <v>153853.41337031202</v>
      </c>
      <c r="D136" s="521"/>
      <c r="E136" s="529" t="str">
        <f>IF(A136&lt;&gt;Cust_LeaseTermYears,"",IF(Scenario_Variable="Final Payment",MAX(0,HLOOKUP(A136*12,Model!$D$39:$GA$58,20,FALSE)),Cust_FinalPymtAtTermEnd))</f>
        <v/>
      </c>
      <c r="F136" s="530" t="str">
        <f>IF(OR(D136&lt;5,D136&gt;Cust_LeaseTermYears),"N/A",IF(OR(Scenario_Variable="Final Payment",D136&lt;Cust_LeaseTermYears),MAX(0,HLOOKUP(D136*12,Model!$D$39:$GA$58,20,FALSE)),Cust_FinalPymtAtTermEnd))</f>
        <v>N/A</v>
      </c>
      <c r="G136" s="477">
        <f>Savings!AE19</f>
        <v>0</v>
      </c>
    </row>
    <row r="137" spans="1:7" ht="13.5" thickBot="1" x14ac:dyDescent="0.25">
      <c r="A137" s="522">
        <v>15</v>
      </c>
      <c r="B137" s="523"/>
      <c r="C137" s="531">
        <f>Savings!J20</f>
        <v>166161.68643993698</v>
      </c>
      <c r="D137" s="521"/>
      <c r="E137" s="529">
        <f>IF(A137&lt;&gt;Cust_LeaseTermYears,"",IF(Scenario_Variable="Final Payment",MAX(0,HLOOKUP(A137*12,Model!$D$39:$GA$58,20,FALSE)),Cust_FinalPymtAtTermEnd))</f>
        <v>100</v>
      </c>
      <c r="F137" s="530" t="str">
        <f>IF(OR(D137&lt;5,D137&gt;Cust_LeaseTermYears),"N/A",IF(OR(Scenario_Variable="Final Payment",D137&lt;Cust_LeaseTermYears),MAX(0,HLOOKUP(D137*12,Model!$D$39:$GA$58,20,FALSE)),Cust_FinalPymtAtTermEnd))</f>
        <v>N/A</v>
      </c>
      <c r="G137" s="477">
        <f>Savings!AE20</f>
        <v>0</v>
      </c>
    </row>
    <row r="138" spans="1:7" ht="16.5" thickBot="1" x14ac:dyDescent="0.25">
      <c r="A138" s="571" t="s">
        <v>35</v>
      </c>
      <c r="B138" s="562"/>
      <c r="C138" s="561">
        <f>SUM(C122:D137)</f>
        <v>1536038.0069391483</v>
      </c>
      <c r="D138" s="562"/>
      <c r="E138" s="524">
        <f>SUM(E122:F137)</f>
        <v>100</v>
      </c>
      <c r="F138" s="525"/>
      <c r="G138" s="478">
        <f>SUM(G123:G137)</f>
        <v>0</v>
      </c>
    </row>
    <row r="140" spans="1:7" x14ac:dyDescent="0.2">
      <c r="A140" s="582"/>
      <c r="B140" s="583"/>
      <c r="C140" s="583"/>
      <c r="D140" s="583"/>
      <c r="E140" s="583"/>
      <c r="F140" s="583"/>
      <c r="G140" s="583"/>
    </row>
    <row r="141" spans="1:7" ht="13.5" thickBot="1" x14ac:dyDescent="0.25">
      <c r="A141" s="584"/>
      <c r="B141" s="584"/>
      <c r="C141" s="584"/>
      <c r="D141" s="584"/>
      <c r="E141" s="584"/>
      <c r="F141" s="584"/>
      <c r="G141" s="584"/>
    </row>
    <row r="142" spans="1:7" x14ac:dyDescent="0.2">
      <c r="A142" s="585" t="s">
        <v>392</v>
      </c>
      <c r="B142" s="586"/>
      <c r="C142" s="586"/>
      <c r="D142" s="586"/>
      <c r="E142" s="586"/>
      <c r="F142" s="586"/>
      <c r="G142" s="586"/>
    </row>
    <row r="143" spans="1:7" x14ac:dyDescent="0.2">
      <c r="A143" s="498"/>
      <c r="B143" s="498"/>
      <c r="C143" s="498"/>
      <c r="D143" s="498"/>
      <c r="E143" s="498"/>
      <c r="F143" s="498"/>
      <c r="G143" s="498"/>
    </row>
    <row r="159" spans="1:7" ht="28.5" customHeight="1" x14ac:dyDescent="0.35">
      <c r="A159" s="581" t="s">
        <v>365</v>
      </c>
      <c r="B159" s="581"/>
      <c r="C159" s="581"/>
      <c r="D159" s="581"/>
      <c r="E159" s="581"/>
      <c r="F159" s="581"/>
      <c r="G159" s="581"/>
    </row>
    <row r="160" spans="1:7" ht="15.75" x14ac:dyDescent="0.25">
      <c r="A160" s="558" t="s">
        <v>366</v>
      </c>
      <c r="B160" s="559"/>
      <c r="C160" s="559"/>
      <c r="D160" s="559"/>
      <c r="E160" s="559"/>
      <c r="F160" s="559"/>
      <c r="G160" s="559"/>
    </row>
    <row r="162" spans="1:7" ht="12.75" customHeight="1" x14ac:dyDescent="0.2">
      <c r="A162" s="560" t="s">
        <v>367</v>
      </c>
      <c r="B162" s="560"/>
      <c r="C162" s="560"/>
      <c r="D162" s="560"/>
      <c r="E162" s="560"/>
      <c r="F162" s="560"/>
      <c r="G162" s="560"/>
    </row>
    <row r="163" spans="1:7" x14ac:dyDescent="0.2">
      <c r="A163" s="560"/>
      <c r="B163" s="560"/>
      <c r="C163" s="560"/>
      <c r="D163" s="560"/>
      <c r="E163" s="560"/>
      <c r="F163" s="560"/>
      <c r="G163" s="560"/>
    </row>
    <row r="164" spans="1:7" x14ac:dyDescent="0.2">
      <c r="A164" s="560"/>
      <c r="B164" s="560"/>
      <c r="C164" s="560"/>
      <c r="D164" s="560"/>
      <c r="E164" s="560"/>
      <c r="F164" s="560"/>
      <c r="G164" s="560"/>
    </row>
    <row r="165" spans="1:7" ht="12.75" customHeight="1" x14ac:dyDescent="0.2">
      <c r="A165" s="587" t="s">
        <v>368</v>
      </c>
      <c r="B165" s="560"/>
      <c r="C165" s="560"/>
      <c r="D165" s="560"/>
      <c r="E165" s="560"/>
      <c r="F165" s="560"/>
      <c r="G165" s="560"/>
    </row>
    <row r="166" spans="1:7" x14ac:dyDescent="0.2">
      <c r="A166" s="560"/>
      <c r="B166" s="560"/>
      <c r="C166" s="560"/>
      <c r="D166" s="560"/>
      <c r="E166" s="560"/>
      <c r="F166" s="560"/>
      <c r="G166" s="560"/>
    </row>
    <row r="167" spans="1:7" x14ac:dyDescent="0.2">
      <c r="A167" s="560"/>
      <c r="B167" s="560"/>
      <c r="C167" s="560"/>
      <c r="D167" s="560"/>
      <c r="E167" s="560"/>
      <c r="F167" s="560"/>
      <c r="G167" s="560"/>
    </row>
    <row r="168" spans="1:7" x14ac:dyDescent="0.2">
      <c r="A168" s="560"/>
      <c r="B168" s="560"/>
      <c r="C168" s="560"/>
      <c r="D168" s="560"/>
      <c r="E168" s="560"/>
      <c r="F168" s="560"/>
      <c r="G168" s="560"/>
    </row>
    <row r="169" spans="1:7" x14ac:dyDescent="0.2">
      <c r="A169" s="560"/>
      <c r="B169" s="560"/>
      <c r="C169" s="560"/>
      <c r="D169" s="560"/>
      <c r="E169" s="560"/>
      <c r="F169" s="560"/>
      <c r="G169" s="560"/>
    </row>
    <row r="170" spans="1:7" x14ac:dyDescent="0.2">
      <c r="A170" s="560"/>
      <c r="B170" s="560"/>
      <c r="C170" s="560"/>
      <c r="D170" s="560"/>
      <c r="E170" s="560"/>
      <c r="F170" s="560"/>
      <c r="G170" s="560"/>
    </row>
    <row r="171" spans="1:7" ht="12.75" customHeight="1" x14ac:dyDescent="0.2">
      <c r="A171" s="560" t="s">
        <v>369</v>
      </c>
      <c r="B171" s="560"/>
      <c r="C171" s="560"/>
      <c r="D171" s="560"/>
      <c r="E171" s="560"/>
      <c r="F171" s="560"/>
      <c r="G171" s="560"/>
    </row>
    <row r="172" spans="1:7" x14ac:dyDescent="0.2">
      <c r="A172" s="560"/>
      <c r="B172" s="560"/>
      <c r="C172" s="560"/>
      <c r="D172" s="560"/>
      <c r="E172" s="560"/>
      <c r="F172" s="560"/>
      <c r="G172" s="560"/>
    </row>
    <row r="173" spans="1:7" x14ac:dyDescent="0.2">
      <c r="A173" s="406"/>
      <c r="B173" s="406"/>
      <c r="C173" s="406"/>
      <c r="D173" s="406"/>
      <c r="E173" s="406"/>
      <c r="F173" s="406"/>
      <c r="G173" s="406"/>
    </row>
    <row r="174" spans="1:7" x14ac:dyDescent="0.2">
      <c r="A174" s="365"/>
      <c r="B174" s="365"/>
      <c r="C174" s="365"/>
      <c r="D174" s="365"/>
      <c r="E174" s="365"/>
      <c r="F174" s="365"/>
      <c r="G174" s="365"/>
    </row>
    <row r="175" spans="1:7" x14ac:dyDescent="0.2">
      <c r="A175" s="588" t="s">
        <v>370</v>
      </c>
      <c r="B175" s="559"/>
      <c r="C175" s="559"/>
      <c r="D175" s="559"/>
      <c r="E175" s="559"/>
      <c r="F175" s="559"/>
      <c r="G175" s="559"/>
    </row>
    <row r="176" spans="1:7" ht="13.5" thickBot="1" x14ac:dyDescent="0.25"/>
    <row r="177" spans="1:7" ht="36" thickBot="1" x14ac:dyDescent="0.25">
      <c r="A177"/>
      <c r="B177"/>
      <c r="C177" s="372"/>
      <c r="D177" s="590" t="s">
        <v>371</v>
      </c>
      <c r="E177" s="591"/>
      <c r="F177" s="366"/>
    </row>
    <row r="178" spans="1:7" ht="36" thickBot="1" x14ac:dyDescent="0.25">
      <c r="A178" s="367"/>
      <c r="C178" s="372"/>
      <c r="D178" s="590" t="s">
        <v>372</v>
      </c>
      <c r="E178" s="591"/>
      <c r="F178" s="366"/>
    </row>
    <row r="179" spans="1:7" ht="36" thickBot="1" x14ac:dyDescent="0.25">
      <c r="C179" s="372"/>
      <c r="D179" s="590" t="s">
        <v>371</v>
      </c>
      <c r="E179" s="591"/>
      <c r="F179" s="366"/>
    </row>
    <row r="181" spans="1:7" x14ac:dyDescent="0.2">
      <c r="A181" s="2" t="s">
        <v>373</v>
      </c>
      <c r="B181" s="2"/>
    </row>
    <row r="182" spans="1:7" ht="25.5" customHeight="1" thickBot="1" x14ac:dyDescent="0.25">
      <c r="A182" s="589"/>
      <c r="B182" s="573"/>
      <c r="C182" s="573"/>
      <c r="D182" s="573"/>
      <c r="E182" s="573"/>
      <c r="F182" s="573"/>
      <c r="G182" s="573"/>
    </row>
    <row r="184" spans="1:7" x14ac:dyDescent="0.2">
      <c r="A184" s="2" t="s">
        <v>374</v>
      </c>
      <c r="B184" s="2"/>
    </row>
    <row r="185" spans="1:7" ht="25.5" customHeight="1" thickBot="1" x14ac:dyDescent="0.25">
      <c r="A185" s="535"/>
      <c r="B185" s="573"/>
      <c r="C185" s="573"/>
      <c r="D185" s="573"/>
      <c r="E185" s="573"/>
      <c r="F185" s="573"/>
      <c r="G185" s="573"/>
    </row>
    <row r="187" spans="1:7" ht="25.5" customHeight="1" thickBot="1" x14ac:dyDescent="0.25">
      <c r="A187" s="2" t="s">
        <v>375</v>
      </c>
      <c r="B187" s="410"/>
      <c r="C187" s="411"/>
      <c r="D187" s="597"/>
      <c r="E187" s="573"/>
      <c r="F187" s="573"/>
      <c r="G187" s="573"/>
    </row>
    <row r="189" spans="1:7" ht="25.5" customHeight="1" thickBot="1" x14ac:dyDescent="0.25">
      <c r="A189" s="410" t="s">
        <v>376</v>
      </c>
      <c r="B189" s="572"/>
      <c r="C189" s="573"/>
      <c r="D189" s="573"/>
      <c r="E189" s="573"/>
      <c r="F189" s="573"/>
      <c r="G189" s="573"/>
    </row>
    <row r="191" spans="1:7" ht="25.5" customHeight="1" thickBot="1" x14ac:dyDescent="0.25">
      <c r="A191" s="410" t="s">
        <v>377</v>
      </c>
      <c r="B191" s="573"/>
      <c r="C191" s="573"/>
      <c r="D191" s="573"/>
      <c r="E191" s="573"/>
      <c r="F191" s="573"/>
      <c r="G191" s="573"/>
    </row>
    <row r="193" spans="1:7" ht="25.5" customHeight="1" thickBot="1" x14ac:dyDescent="0.25">
      <c r="A193" s="2" t="s">
        <v>378</v>
      </c>
      <c r="B193" s="417"/>
      <c r="C193" s="407"/>
      <c r="D193" s="407"/>
      <c r="E193" s="407"/>
      <c r="F193" s="2" t="s">
        <v>379</v>
      </c>
      <c r="G193" s="368"/>
    </row>
    <row r="195" spans="1:7" ht="25.5" customHeight="1" thickBot="1" x14ac:dyDescent="0.25">
      <c r="A195" s="2" t="s">
        <v>380</v>
      </c>
      <c r="B195" s="417"/>
      <c r="C195" s="407"/>
      <c r="D195" s="407"/>
      <c r="E195" s="407"/>
      <c r="F195" s="2" t="s">
        <v>381</v>
      </c>
      <c r="G195" s="368"/>
    </row>
    <row r="197" spans="1:7" ht="25.5" customHeight="1" thickBot="1" x14ac:dyDescent="0.25">
      <c r="A197" s="410" t="s">
        <v>382</v>
      </c>
      <c r="B197" s="410"/>
      <c r="C197" s="411"/>
      <c r="D197" s="412"/>
      <c r="E197" s="593"/>
      <c r="F197" s="593"/>
      <c r="G197" s="593"/>
    </row>
    <row r="199" spans="1:7" ht="12.75" customHeight="1" x14ac:dyDescent="0.2">
      <c r="A199" s="592" t="s">
        <v>383</v>
      </c>
      <c r="B199" s="575"/>
      <c r="C199" s="575"/>
      <c r="D199" s="575"/>
      <c r="E199" s="575"/>
      <c r="F199" s="575"/>
      <c r="G199" s="575"/>
    </row>
    <row r="200" spans="1:7" x14ac:dyDescent="0.2">
      <c r="A200" s="575"/>
      <c r="B200" s="575"/>
      <c r="C200" s="575"/>
      <c r="D200" s="575"/>
      <c r="E200" s="575"/>
      <c r="F200" s="575"/>
      <c r="G200" s="575"/>
    </row>
    <row r="201" spans="1:7" x14ac:dyDescent="0.2">
      <c r="A201" s="575"/>
      <c r="B201" s="575"/>
      <c r="C201" s="575"/>
      <c r="D201" s="575"/>
      <c r="E201" s="575"/>
      <c r="F201" s="575"/>
      <c r="G201" s="575"/>
    </row>
    <row r="202" spans="1:7" x14ac:dyDescent="0.2">
      <c r="A202" s="575"/>
      <c r="B202" s="575"/>
      <c r="C202" s="575"/>
      <c r="D202" s="575"/>
      <c r="E202" s="575"/>
      <c r="F202" s="575"/>
      <c r="G202" s="575"/>
    </row>
    <row r="205" spans="1:7" ht="25.5" customHeight="1" thickBot="1" x14ac:dyDescent="0.25">
      <c r="A205" s="593"/>
      <c r="B205" s="594"/>
      <c r="C205" s="594"/>
      <c r="D205" s="594"/>
      <c r="E205" s="594"/>
      <c r="F205" s="594"/>
      <c r="G205" s="594"/>
    </row>
    <row r="206" spans="1:7" x14ac:dyDescent="0.2">
      <c r="A206" s="595" t="s">
        <v>384</v>
      </c>
      <c r="B206" s="559"/>
      <c r="C206" s="559"/>
      <c r="D206" s="559"/>
      <c r="E206" s="559"/>
      <c r="F206" s="559"/>
      <c r="G206" s="559"/>
    </row>
    <row r="207" spans="1:7" x14ac:dyDescent="0.2">
      <c r="A207" s="409"/>
      <c r="B207" s="409"/>
      <c r="C207" s="409"/>
      <c r="D207" s="409"/>
      <c r="E207" s="409"/>
      <c r="F207" s="409"/>
      <c r="G207" s="409"/>
    </row>
    <row r="208" spans="1:7" x14ac:dyDescent="0.2">
      <c r="A208" s="596" t="s">
        <v>385</v>
      </c>
      <c r="B208" s="498"/>
      <c r="C208" s="498"/>
      <c r="D208" s="498"/>
      <c r="E208" s="498"/>
      <c r="F208" s="498"/>
      <c r="G208" s="498"/>
    </row>
    <row r="210" spans="1:7" ht="12.75" customHeight="1" x14ac:dyDescent="0.2">
      <c r="A210" s="574" t="s">
        <v>386</v>
      </c>
      <c r="B210" s="575"/>
      <c r="C210" s="575"/>
      <c r="D210" s="575"/>
      <c r="E210" s="575"/>
      <c r="F210" s="575"/>
      <c r="G210" s="575"/>
    </row>
    <row r="211" spans="1:7" x14ac:dyDescent="0.2">
      <c r="A211" s="575"/>
      <c r="B211" s="575"/>
      <c r="C211" s="575"/>
      <c r="D211" s="575"/>
      <c r="E211" s="575"/>
      <c r="F211" s="575"/>
      <c r="G211" s="575"/>
    </row>
    <row r="213" spans="1:7" ht="12.75" customHeight="1" x14ac:dyDescent="0.2">
      <c r="A213" s="408"/>
      <c r="B213" s="409"/>
      <c r="C213" s="409"/>
      <c r="D213" s="409"/>
      <c r="E213" s="409"/>
      <c r="F213" s="409"/>
      <c r="G213" s="409"/>
    </row>
    <row r="214" spans="1:7" x14ac:dyDescent="0.2">
      <c r="A214" s="409"/>
      <c r="B214" s="409"/>
      <c r="C214" s="409"/>
      <c r="D214" s="409"/>
      <c r="E214" s="409"/>
      <c r="F214" s="409"/>
      <c r="G214" s="409"/>
    </row>
    <row r="215" spans="1:7" x14ac:dyDescent="0.2">
      <c r="A215" s="409"/>
      <c r="B215" s="409"/>
      <c r="C215" s="409"/>
      <c r="D215" s="409"/>
      <c r="E215" s="409"/>
      <c r="F215" s="409"/>
      <c r="G215" s="409"/>
    </row>
    <row r="216" spans="1:7" x14ac:dyDescent="0.2">
      <c r="A216" s="576" t="s">
        <v>387</v>
      </c>
      <c r="B216" s="577"/>
      <c r="C216" s="577"/>
      <c r="D216" s="577"/>
      <c r="E216" s="577"/>
      <c r="F216" s="577"/>
      <c r="G216" s="577"/>
    </row>
    <row r="217" spans="1:7" x14ac:dyDescent="0.2">
      <c r="A217" s="577"/>
      <c r="B217" s="577"/>
      <c r="C217" s="577"/>
      <c r="D217" s="577"/>
      <c r="E217" s="577"/>
      <c r="F217" s="577"/>
      <c r="G217" s="577"/>
    </row>
    <row r="218" spans="1:7" x14ac:dyDescent="0.2">
      <c r="A218" s="577"/>
      <c r="B218" s="577"/>
      <c r="C218" s="577"/>
      <c r="D218" s="577"/>
      <c r="E218" s="577"/>
      <c r="F218" s="577"/>
      <c r="G218" s="577"/>
    </row>
    <row r="219" spans="1:7" x14ac:dyDescent="0.2">
      <c r="A219" s="577"/>
      <c r="B219" s="577"/>
      <c r="C219" s="577"/>
      <c r="D219" s="577"/>
      <c r="E219" s="577"/>
      <c r="F219" s="577"/>
      <c r="G219" s="577"/>
    </row>
    <row r="220" spans="1:7" x14ac:dyDescent="0.2">
      <c r="A220" s="577"/>
      <c r="B220" s="577"/>
      <c r="C220" s="577"/>
      <c r="D220" s="577"/>
      <c r="E220" s="577"/>
      <c r="F220" s="577"/>
      <c r="G220" s="577"/>
    </row>
    <row r="221" spans="1:7" x14ac:dyDescent="0.2">
      <c r="A221" s="370"/>
      <c r="B221" s="409"/>
      <c r="C221" s="409"/>
      <c r="D221" s="409"/>
      <c r="E221" s="409"/>
      <c r="F221" s="409"/>
      <c r="G221" s="409"/>
    </row>
    <row r="222" spans="1:7" ht="12.75" customHeight="1" x14ac:dyDescent="0.2">
      <c r="A222" s="578" t="s">
        <v>388</v>
      </c>
      <c r="B222" s="498"/>
      <c r="C222" s="498"/>
      <c r="D222" s="498"/>
      <c r="E222" s="498"/>
      <c r="F222" s="498"/>
      <c r="G222" s="498"/>
    </row>
    <row r="223" spans="1:7" x14ac:dyDescent="0.2">
      <c r="A223" s="498"/>
      <c r="B223" s="498"/>
      <c r="C223" s="498"/>
      <c r="D223" s="498"/>
      <c r="E223" s="498"/>
      <c r="F223" s="498"/>
      <c r="G223" s="498"/>
    </row>
    <row r="224" spans="1:7" x14ac:dyDescent="0.2">
      <c r="A224" s="498"/>
      <c r="B224" s="498"/>
      <c r="C224" s="498"/>
      <c r="D224" s="498"/>
      <c r="E224" s="498"/>
      <c r="F224" s="498"/>
      <c r="G224" s="498"/>
    </row>
    <row r="225" spans="1:7" ht="25.5" customHeight="1" thickBot="1" x14ac:dyDescent="0.25">
      <c r="A225" s="579" t="s">
        <v>389</v>
      </c>
      <c r="B225" s="498"/>
      <c r="C225" s="498"/>
      <c r="D225" s="498"/>
      <c r="E225" s="580"/>
      <c r="F225" s="580"/>
      <c r="G225" s="580"/>
    </row>
    <row r="226" spans="1:7" ht="25.5" customHeight="1" thickBot="1" x14ac:dyDescent="0.25">
      <c r="A226" s="579" t="s">
        <v>390</v>
      </c>
      <c r="B226" s="498"/>
      <c r="C226" s="498"/>
      <c r="D226" s="498"/>
      <c r="E226" s="580"/>
      <c r="F226" s="580"/>
      <c r="G226" s="580"/>
    </row>
    <row r="227" spans="1:7" ht="25.5" customHeight="1" thickBot="1" x14ac:dyDescent="0.25">
      <c r="A227" s="579" t="s">
        <v>391</v>
      </c>
      <c r="B227" s="498"/>
      <c r="C227" s="498"/>
      <c r="D227" s="498"/>
      <c r="E227" s="580"/>
      <c r="F227" s="580"/>
      <c r="G227" s="580"/>
    </row>
    <row r="235" spans="1:7" ht="13.5" thickBot="1" x14ac:dyDescent="0.25"/>
    <row r="236" spans="1:7" ht="24" thickBot="1" x14ac:dyDescent="0.4">
      <c r="A236" s="549" t="s">
        <v>605</v>
      </c>
      <c r="B236" s="550"/>
      <c r="C236" s="550"/>
      <c r="D236" s="550"/>
      <c r="E236" s="550"/>
      <c r="F236" s="550"/>
      <c r="G236" s="551"/>
    </row>
    <row r="237" spans="1:7" ht="25.5" customHeight="1" thickBot="1" x14ac:dyDescent="0.25">
      <c r="A237" s="552" t="s">
        <v>637</v>
      </c>
      <c r="B237" s="541"/>
      <c r="C237" s="542"/>
      <c r="D237" s="543"/>
      <c r="E237" s="543"/>
      <c r="F237" s="543"/>
      <c r="G237" s="544"/>
    </row>
    <row r="238" spans="1:7" ht="25.5" customHeight="1" thickBot="1" x14ac:dyDescent="0.25">
      <c r="A238" s="548" t="s">
        <v>638</v>
      </c>
      <c r="B238" s="533"/>
      <c r="C238" s="534"/>
      <c r="D238" s="535"/>
      <c r="E238" s="535"/>
      <c r="F238" s="535"/>
      <c r="G238" s="536"/>
    </row>
    <row r="239" spans="1:7" ht="12.75" customHeight="1" thickBot="1" x14ac:dyDescent="0.25">
      <c r="A239" s="428"/>
      <c r="B239" s="429"/>
      <c r="C239" s="429"/>
      <c r="D239" s="421"/>
      <c r="E239" s="421"/>
      <c r="F239" s="421"/>
      <c r="G239" s="424"/>
    </row>
    <row r="240" spans="1:7" ht="12.75" customHeight="1" thickBot="1" x14ac:dyDescent="0.25">
      <c r="A240" s="410"/>
      <c r="B240" s="410"/>
      <c r="C240" s="410"/>
      <c r="D240" s="416"/>
      <c r="E240" s="416"/>
      <c r="F240" s="416"/>
      <c r="G240" s="416"/>
    </row>
    <row r="241" spans="1:7" ht="12.75" customHeight="1" thickBot="1" x14ac:dyDescent="0.25">
      <c r="A241" s="537" t="s">
        <v>607</v>
      </c>
      <c r="B241" s="538"/>
      <c r="C241" s="539"/>
      <c r="D241" s="420"/>
      <c r="E241" s="421"/>
      <c r="F241" s="421"/>
      <c r="G241" s="421"/>
    </row>
    <row r="242" spans="1:7" ht="25.5" customHeight="1" thickBot="1" x14ac:dyDescent="0.25">
      <c r="A242" s="540" t="s">
        <v>428</v>
      </c>
      <c r="B242" s="541"/>
      <c r="C242" s="542"/>
      <c r="D242" s="535"/>
      <c r="E242" s="535"/>
      <c r="F242" s="535"/>
      <c r="G242" s="536"/>
    </row>
    <row r="243" spans="1:7" ht="25.5" customHeight="1" thickBot="1" x14ac:dyDescent="0.25">
      <c r="A243" s="532" t="s">
        <v>603</v>
      </c>
      <c r="B243" s="533"/>
      <c r="C243" s="534"/>
      <c r="D243" s="535"/>
      <c r="E243" s="535"/>
      <c r="F243" s="535"/>
      <c r="G243" s="536"/>
    </row>
    <row r="244" spans="1:7" ht="12.75" customHeight="1" thickBot="1" x14ac:dyDescent="0.25">
      <c r="A244" s="422"/>
      <c r="B244" s="423"/>
      <c r="C244" s="423"/>
      <c r="D244" s="421"/>
      <c r="E244" s="421"/>
      <c r="F244" s="421"/>
      <c r="G244" s="424"/>
    </row>
    <row r="245" spans="1:7" ht="12.75" customHeight="1" thickBot="1" x14ac:dyDescent="0.25">
      <c r="A245" s="410"/>
      <c r="B245" s="410"/>
      <c r="C245" s="410"/>
      <c r="D245" s="416"/>
      <c r="E245" s="416"/>
      <c r="F245" s="416"/>
      <c r="G245" s="416"/>
    </row>
    <row r="246" spans="1:7" ht="12.75" customHeight="1" thickBot="1" x14ac:dyDescent="0.25">
      <c r="A246" s="537" t="s">
        <v>606</v>
      </c>
      <c r="B246" s="538"/>
      <c r="C246" s="539"/>
      <c r="D246" s="420"/>
      <c r="E246" s="421"/>
      <c r="F246" s="421"/>
      <c r="G246" s="421"/>
    </row>
    <row r="247" spans="1:7" ht="25.5" customHeight="1" thickBot="1" x14ac:dyDescent="0.25">
      <c r="A247" s="540" t="s">
        <v>588</v>
      </c>
      <c r="B247" s="541"/>
      <c r="C247" s="542"/>
      <c r="D247" s="535"/>
      <c r="E247" s="535"/>
      <c r="F247" s="535"/>
      <c r="G247" s="536"/>
    </row>
    <row r="248" spans="1:7" ht="25.5" customHeight="1" thickBot="1" x14ac:dyDescent="0.25">
      <c r="A248" s="532" t="s">
        <v>589</v>
      </c>
      <c r="B248" s="533"/>
      <c r="C248" s="534"/>
      <c r="D248" s="535"/>
      <c r="E248" s="535"/>
      <c r="F248" s="535"/>
      <c r="G248" s="536"/>
    </row>
    <row r="249" spans="1:7" ht="25.5" customHeight="1" thickBot="1" x14ac:dyDescent="0.25">
      <c r="A249" s="532" t="s">
        <v>590</v>
      </c>
      <c r="B249" s="533"/>
      <c r="C249" s="534"/>
      <c r="D249" s="535"/>
      <c r="E249" s="535"/>
      <c r="F249" s="535"/>
      <c r="G249" s="536"/>
    </row>
    <row r="250" spans="1:7" ht="25.5" customHeight="1" thickBot="1" x14ac:dyDescent="0.25">
      <c r="A250" s="532" t="s">
        <v>591</v>
      </c>
      <c r="B250" s="533"/>
      <c r="C250" s="534"/>
      <c r="D250" s="535"/>
      <c r="E250" s="535"/>
      <c r="F250" s="535"/>
      <c r="G250" s="536"/>
    </row>
    <row r="251" spans="1:7" ht="25.5" customHeight="1" thickBot="1" x14ac:dyDescent="0.25">
      <c r="A251" s="532" t="s">
        <v>592</v>
      </c>
      <c r="B251" s="533"/>
      <c r="C251" s="534"/>
      <c r="D251" s="535"/>
      <c r="E251" s="535"/>
      <c r="F251" s="535"/>
      <c r="G251" s="536"/>
    </row>
    <row r="252" spans="1:7" ht="25.5" customHeight="1" thickBot="1" x14ac:dyDescent="0.25">
      <c r="A252" s="532" t="s">
        <v>593</v>
      </c>
      <c r="B252" s="533"/>
      <c r="C252" s="534"/>
      <c r="D252" s="535"/>
      <c r="E252" s="535"/>
      <c r="F252" s="535"/>
      <c r="G252" s="536"/>
    </row>
    <row r="253" spans="1:7" ht="25.5" customHeight="1" thickBot="1" x14ac:dyDescent="0.25">
      <c r="A253" s="532" t="s">
        <v>594</v>
      </c>
      <c r="B253" s="533"/>
      <c r="C253" s="534"/>
      <c r="D253" s="535"/>
      <c r="E253" s="535"/>
      <c r="F253" s="535"/>
      <c r="G253" s="536"/>
    </row>
    <row r="254" spans="1:7" ht="25.5" customHeight="1" thickBot="1" x14ac:dyDescent="0.25">
      <c r="A254" s="532" t="s">
        <v>601</v>
      </c>
      <c r="B254" s="533"/>
      <c r="C254" s="534"/>
      <c r="D254" s="535"/>
      <c r="E254" s="535"/>
      <c r="F254" s="535"/>
      <c r="G254" s="536"/>
    </row>
    <row r="255" spans="1:7" ht="25.5" customHeight="1" thickBot="1" x14ac:dyDescent="0.25">
      <c r="A255" s="532" t="s">
        <v>595</v>
      </c>
      <c r="B255" s="533"/>
      <c r="C255" s="534"/>
      <c r="D255" s="535"/>
      <c r="E255" s="535"/>
      <c r="F255" s="535"/>
      <c r="G255" s="536"/>
    </row>
    <row r="256" spans="1:7" ht="25.5" customHeight="1" thickBot="1" x14ac:dyDescent="0.25">
      <c r="A256" s="532" t="s">
        <v>596</v>
      </c>
      <c r="B256" s="533"/>
      <c r="C256" s="534"/>
      <c r="D256" s="535"/>
      <c r="E256" s="535"/>
      <c r="F256" s="535"/>
      <c r="G256" s="536"/>
    </row>
    <row r="257" spans="1:7" ht="25.5" customHeight="1" thickBot="1" x14ac:dyDescent="0.25">
      <c r="A257" s="532" t="s">
        <v>597</v>
      </c>
      <c r="B257" s="533"/>
      <c r="C257" s="534"/>
      <c r="D257" s="535"/>
      <c r="E257" s="535"/>
      <c r="F257" s="535"/>
      <c r="G257" s="536"/>
    </row>
    <row r="258" spans="1:7" ht="25.5" customHeight="1" thickBot="1" x14ac:dyDescent="0.25">
      <c r="A258" s="532" t="s">
        <v>598</v>
      </c>
      <c r="B258" s="533"/>
      <c r="C258" s="534"/>
      <c r="D258" s="535"/>
      <c r="E258" s="535"/>
      <c r="F258" s="535"/>
      <c r="G258" s="536"/>
    </row>
    <row r="259" spans="1:7" ht="25.5" customHeight="1" thickBot="1" x14ac:dyDescent="0.25">
      <c r="A259" s="532" t="s">
        <v>599</v>
      </c>
      <c r="B259" s="533"/>
      <c r="C259" s="534"/>
      <c r="D259" s="535"/>
      <c r="E259" s="535"/>
      <c r="F259" s="535"/>
      <c r="G259" s="536"/>
    </row>
    <row r="260" spans="1:7" ht="25.5" customHeight="1" thickBot="1" x14ac:dyDescent="0.25">
      <c r="A260" s="545" t="s">
        <v>604</v>
      </c>
      <c r="B260" s="546"/>
      <c r="C260" s="547"/>
      <c r="D260" s="535"/>
      <c r="E260" s="535"/>
      <c r="F260" s="535"/>
      <c r="G260" s="536"/>
    </row>
    <row r="261" spans="1:7" ht="25.5" customHeight="1" thickBot="1" x14ac:dyDescent="0.25">
      <c r="A261" s="532" t="s">
        <v>600</v>
      </c>
      <c r="B261" s="533"/>
      <c r="C261" s="534"/>
      <c r="D261" s="535"/>
      <c r="E261" s="535"/>
      <c r="F261" s="535"/>
      <c r="G261" s="536"/>
    </row>
    <row r="262" spans="1:7" ht="12.75" customHeight="1" thickBot="1" x14ac:dyDescent="0.25">
      <c r="A262" s="422"/>
      <c r="B262" s="423"/>
      <c r="C262" s="423"/>
      <c r="D262" s="421"/>
      <c r="E262" s="421"/>
      <c r="F262" s="421"/>
      <c r="G262" s="424"/>
    </row>
    <row r="263" spans="1:7" ht="12.75" customHeight="1" thickBot="1" x14ac:dyDescent="0.25">
      <c r="A263" s="419"/>
      <c r="B263" s="419"/>
      <c r="C263" s="419"/>
      <c r="D263" s="416"/>
      <c r="E263" s="416"/>
      <c r="F263" s="416"/>
      <c r="G263" s="416"/>
    </row>
    <row r="264" spans="1:7" ht="12.75" customHeight="1" thickBot="1" x14ac:dyDescent="0.25">
      <c r="A264" s="537" t="s">
        <v>608</v>
      </c>
      <c r="B264" s="538"/>
      <c r="C264" s="539"/>
      <c r="D264" s="420"/>
      <c r="E264" s="421"/>
      <c r="F264" s="421"/>
      <c r="G264" s="421"/>
    </row>
    <row r="265" spans="1:7" ht="25.5" customHeight="1" thickBot="1" x14ac:dyDescent="0.25">
      <c r="A265" s="540" t="s">
        <v>458</v>
      </c>
      <c r="B265" s="541"/>
      <c r="C265" s="542"/>
      <c r="D265" s="535"/>
      <c r="E265" s="535"/>
      <c r="F265" s="535"/>
      <c r="G265" s="536"/>
    </row>
    <row r="266" spans="1:7" ht="25.5" customHeight="1" thickBot="1" x14ac:dyDescent="0.25">
      <c r="A266" s="548" t="s">
        <v>638</v>
      </c>
      <c r="B266" s="533"/>
      <c r="C266" s="534"/>
      <c r="D266" s="535"/>
      <c r="E266" s="535"/>
      <c r="F266" s="535"/>
      <c r="G266" s="536"/>
    </row>
    <row r="267" spans="1:7" ht="12.75" customHeight="1" thickBot="1" x14ac:dyDescent="0.25">
      <c r="A267" s="422"/>
      <c r="B267" s="423"/>
      <c r="C267" s="423"/>
      <c r="D267" s="421"/>
      <c r="E267" s="421"/>
      <c r="F267" s="421"/>
      <c r="G267" s="424"/>
    </row>
    <row r="268" spans="1:7" ht="12.75" customHeight="1" thickBot="1" x14ac:dyDescent="0.25">
      <c r="A268" s="410"/>
      <c r="B268" s="410"/>
      <c r="C268" s="410"/>
      <c r="D268" s="416"/>
      <c r="E268" s="416"/>
      <c r="F268" s="416"/>
      <c r="G268" s="416"/>
    </row>
    <row r="269" spans="1:7" ht="12.75" customHeight="1" thickBot="1" x14ac:dyDescent="0.25">
      <c r="A269" s="537" t="s">
        <v>609</v>
      </c>
      <c r="B269" s="538"/>
      <c r="C269" s="539"/>
      <c r="D269" s="420"/>
      <c r="E269" s="421"/>
      <c r="F269" s="421"/>
      <c r="G269" s="421"/>
    </row>
    <row r="270" spans="1:7" ht="25.5" customHeight="1" thickBot="1" x14ac:dyDescent="0.25">
      <c r="A270" s="540" t="s">
        <v>428</v>
      </c>
      <c r="B270" s="541"/>
      <c r="C270" s="542"/>
      <c r="D270" s="543"/>
      <c r="E270" s="543"/>
      <c r="F270" s="543"/>
      <c r="G270" s="544"/>
    </row>
    <row r="271" spans="1:7" ht="25.5" customHeight="1" thickBot="1" x14ac:dyDescent="0.25">
      <c r="A271" s="532" t="s">
        <v>603</v>
      </c>
      <c r="B271" s="533"/>
      <c r="C271" s="534"/>
      <c r="D271" s="535"/>
      <c r="E271" s="535"/>
      <c r="F271" s="535"/>
      <c r="G271" s="536"/>
    </row>
    <row r="272" spans="1:7" ht="12.75" customHeight="1" thickBot="1" x14ac:dyDescent="0.25">
      <c r="A272" s="422"/>
      <c r="B272" s="423"/>
      <c r="C272" s="423"/>
      <c r="D272" s="421"/>
      <c r="E272" s="421"/>
      <c r="F272" s="421"/>
      <c r="G272" s="424"/>
    </row>
    <row r="273" spans="1:7" ht="12.75" customHeight="1" thickBot="1" x14ac:dyDescent="0.25">
      <c r="A273" s="410"/>
      <c r="B273" s="410"/>
      <c r="C273" s="410"/>
      <c r="D273" s="416"/>
      <c r="E273" s="416"/>
      <c r="F273" s="416"/>
      <c r="G273" s="416"/>
    </row>
    <row r="274" spans="1:7" ht="12.75" customHeight="1" thickBot="1" x14ac:dyDescent="0.25">
      <c r="A274" s="537" t="s">
        <v>610</v>
      </c>
      <c r="B274" s="538"/>
      <c r="C274" s="539"/>
      <c r="D274" s="420"/>
      <c r="E274" s="421"/>
      <c r="F274" s="421"/>
      <c r="G274" s="421"/>
    </row>
    <row r="275" spans="1:7" ht="25.5" customHeight="1" thickBot="1" x14ac:dyDescent="0.25">
      <c r="A275" s="540" t="s">
        <v>588</v>
      </c>
      <c r="B275" s="541"/>
      <c r="C275" s="542"/>
      <c r="D275" s="535"/>
      <c r="E275" s="535"/>
      <c r="F275" s="535"/>
      <c r="G275" s="536"/>
    </row>
    <row r="276" spans="1:7" ht="25.5" customHeight="1" thickBot="1" x14ac:dyDescent="0.25">
      <c r="A276" s="532" t="s">
        <v>589</v>
      </c>
      <c r="B276" s="533"/>
      <c r="C276" s="534"/>
      <c r="D276" s="535"/>
      <c r="E276" s="535"/>
      <c r="F276" s="535"/>
      <c r="G276" s="536"/>
    </row>
    <row r="277" spans="1:7" ht="25.5" customHeight="1" thickBot="1" x14ac:dyDescent="0.25">
      <c r="A277" s="532" t="s">
        <v>590</v>
      </c>
      <c r="B277" s="533"/>
      <c r="C277" s="534"/>
      <c r="D277" s="535"/>
      <c r="E277" s="535"/>
      <c r="F277" s="535"/>
      <c r="G277" s="536"/>
    </row>
    <row r="278" spans="1:7" ht="25.5" customHeight="1" thickBot="1" x14ac:dyDescent="0.25">
      <c r="A278" s="532" t="s">
        <v>591</v>
      </c>
      <c r="B278" s="533"/>
      <c r="C278" s="534"/>
      <c r="D278" s="535"/>
      <c r="E278" s="535"/>
      <c r="F278" s="535"/>
      <c r="G278" s="536"/>
    </row>
    <row r="279" spans="1:7" ht="25.5" customHeight="1" thickBot="1" x14ac:dyDescent="0.25">
      <c r="A279" s="532" t="s">
        <v>592</v>
      </c>
      <c r="B279" s="533"/>
      <c r="C279" s="534"/>
      <c r="D279" s="535"/>
      <c r="E279" s="535"/>
      <c r="F279" s="535"/>
      <c r="G279" s="536"/>
    </row>
    <row r="280" spans="1:7" ht="25.5" customHeight="1" thickBot="1" x14ac:dyDescent="0.25">
      <c r="A280" s="532" t="s">
        <v>593</v>
      </c>
      <c r="B280" s="533"/>
      <c r="C280" s="534"/>
      <c r="D280" s="535"/>
      <c r="E280" s="535"/>
      <c r="F280" s="535"/>
      <c r="G280" s="536"/>
    </row>
    <row r="281" spans="1:7" ht="25.5" customHeight="1" thickBot="1" x14ac:dyDescent="0.25">
      <c r="A281" s="532" t="s">
        <v>594</v>
      </c>
      <c r="B281" s="533"/>
      <c r="C281" s="534"/>
      <c r="D281" s="535"/>
      <c r="E281" s="535"/>
      <c r="F281" s="535"/>
      <c r="G281" s="536"/>
    </row>
    <row r="282" spans="1:7" ht="25.5" customHeight="1" thickBot="1" x14ac:dyDescent="0.25">
      <c r="A282" s="532" t="s">
        <v>601</v>
      </c>
      <c r="B282" s="533"/>
      <c r="C282" s="534"/>
      <c r="D282" s="535"/>
      <c r="E282" s="535"/>
      <c r="F282" s="535"/>
      <c r="G282" s="536"/>
    </row>
    <row r="283" spans="1:7" ht="25.5" customHeight="1" thickBot="1" x14ac:dyDescent="0.25">
      <c r="A283" s="532" t="s">
        <v>595</v>
      </c>
      <c r="B283" s="533"/>
      <c r="C283" s="534"/>
      <c r="D283" s="535"/>
      <c r="E283" s="535"/>
      <c r="F283" s="535"/>
      <c r="G283" s="536"/>
    </row>
    <row r="284" spans="1:7" ht="25.5" customHeight="1" thickBot="1" x14ac:dyDescent="0.25">
      <c r="A284" s="532" t="s">
        <v>596</v>
      </c>
      <c r="B284" s="533"/>
      <c r="C284" s="534"/>
      <c r="D284" s="535"/>
      <c r="E284" s="535"/>
      <c r="F284" s="535"/>
      <c r="G284" s="536"/>
    </row>
    <row r="285" spans="1:7" ht="25.5" customHeight="1" thickBot="1" x14ac:dyDescent="0.25">
      <c r="A285" s="532" t="s">
        <v>597</v>
      </c>
      <c r="B285" s="533"/>
      <c r="C285" s="534"/>
      <c r="D285" s="535"/>
      <c r="E285" s="535"/>
      <c r="F285" s="535"/>
      <c r="G285" s="536"/>
    </row>
    <row r="286" spans="1:7" ht="25.5" customHeight="1" thickBot="1" x14ac:dyDescent="0.25">
      <c r="A286" s="532" t="s">
        <v>598</v>
      </c>
      <c r="B286" s="533"/>
      <c r="C286" s="534"/>
      <c r="D286" s="535"/>
      <c r="E286" s="535"/>
      <c r="F286" s="535"/>
      <c r="G286" s="536"/>
    </row>
    <row r="287" spans="1:7" ht="25.5" customHeight="1" thickBot="1" x14ac:dyDescent="0.25">
      <c r="A287" s="532" t="s">
        <v>599</v>
      </c>
      <c r="B287" s="533"/>
      <c r="C287" s="534"/>
      <c r="D287" s="535"/>
      <c r="E287" s="535"/>
      <c r="F287" s="535"/>
      <c r="G287" s="536"/>
    </row>
    <row r="288" spans="1:7" ht="13.5" thickBot="1" x14ac:dyDescent="0.25">
      <c r="A288" s="425"/>
      <c r="B288" s="426"/>
      <c r="C288" s="426"/>
      <c r="D288" s="426"/>
      <c r="E288" s="426"/>
      <c r="F288" s="426"/>
      <c r="G288" s="427"/>
    </row>
  </sheetData>
  <sheetProtection selectLockedCells="1" selectUnlockedCells="1"/>
  <mergeCells count="166">
    <mergeCell ref="A227:D227"/>
    <mergeCell ref="A140:G141"/>
    <mergeCell ref="A142:G143"/>
    <mergeCell ref="A165:G170"/>
    <mergeCell ref="A171:G172"/>
    <mergeCell ref="A175:G175"/>
    <mergeCell ref="A182:G182"/>
    <mergeCell ref="A185:G185"/>
    <mergeCell ref="D177:E177"/>
    <mergeCell ref="D178:E178"/>
    <mergeCell ref="D179:E179"/>
    <mergeCell ref="E227:G227"/>
    <mergeCell ref="A199:G202"/>
    <mergeCell ref="A205:G205"/>
    <mergeCell ref="A206:G206"/>
    <mergeCell ref="A208:G208"/>
    <mergeCell ref="A226:D226"/>
    <mergeCell ref="E226:G226"/>
    <mergeCell ref="B191:G191"/>
    <mergeCell ref="E197:G197"/>
    <mergeCell ref="D187:G187"/>
    <mergeCell ref="A241:C241"/>
    <mergeCell ref="A125:B125"/>
    <mergeCell ref="A126:B126"/>
    <mergeCell ref="A127:B127"/>
    <mergeCell ref="A128:B128"/>
    <mergeCell ref="A129:B129"/>
    <mergeCell ref="A130:B130"/>
    <mergeCell ref="A135:B135"/>
    <mergeCell ref="A136:B136"/>
    <mergeCell ref="A137:B137"/>
    <mergeCell ref="A138:B138"/>
    <mergeCell ref="C125:D125"/>
    <mergeCell ref="C126:D126"/>
    <mergeCell ref="B189:G189"/>
    <mergeCell ref="A210:G211"/>
    <mergeCell ref="A216:G220"/>
    <mergeCell ref="A131:B131"/>
    <mergeCell ref="A132:B132"/>
    <mergeCell ref="A133:B133"/>
    <mergeCell ref="A134:B134"/>
    <mergeCell ref="A222:G224"/>
    <mergeCell ref="A225:D225"/>
    <mergeCell ref="E225:G225"/>
    <mergeCell ref="A159:G159"/>
    <mergeCell ref="A236:G236"/>
    <mergeCell ref="A237:C237"/>
    <mergeCell ref="D237:G237"/>
    <mergeCell ref="A238:C238"/>
    <mergeCell ref="D238:G238"/>
    <mergeCell ref="D18:F18"/>
    <mergeCell ref="A119:G119"/>
    <mergeCell ref="E125:F125"/>
    <mergeCell ref="E126:F126"/>
    <mergeCell ref="E127:F127"/>
    <mergeCell ref="E128:F128"/>
    <mergeCell ref="E129:F129"/>
    <mergeCell ref="E130:F130"/>
    <mergeCell ref="C122:D122"/>
    <mergeCell ref="C123:D123"/>
    <mergeCell ref="C124:D124"/>
    <mergeCell ref="A160:G160"/>
    <mergeCell ref="A162:G164"/>
    <mergeCell ref="C136:D136"/>
    <mergeCell ref="C137:D137"/>
    <mergeCell ref="C138:D138"/>
    <mergeCell ref="A120:B121"/>
    <mergeCell ref="C120:D120"/>
    <mergeCell ref="E120:G120"/>
    <mergeCell ref="A246:C246"/>
    <mergeCell ref="A247:C247"/>
    <mergeCell ref="D247:G247"/>
    <mergeCell ref="A248:C248"/>
    <mergeCell ref="D248:G248"/>
    <mergeCell ref="A242:C242"/>
    <mergeCell ref="D242:G242"/>
    <mergeCell ref="A243:C243"/>
    <mergeCell ref="D243:G243"/>
    <mergeCell ref="A252:C252"/>
    <mergeCell ref="D252:G252"/>
    <mergeCell ref="A253:C253"/>
    <mergeCell ref="D253:G253"/>
    <mergeCell ref="A254:C254"/>
    <mergeCell ref="D254:G254"/>
    <mergeCell ref="A249:C249"/>
    <mergeCell ref="D249:G249"/>
    <mergeCell ref="A250:C250"/>
    <mergeCell ref="D250:G250"/>
    <mergeCell ref="A251:C251"/>
    <mergeCell ref="D251:G251"/>
    <mergeCell ref="D260:G260"/>
    <mergeCell ref="A266:C266"/>
    <mergeCell ref="D266:G266"/>
    <mergeCell ref="A269:C269"/>
    <mergeCell ref="A255:C255"/>
    <mergeCell ref="D255:G255"/>
    <mergeCell ref="A256:C256"/>
    <mergeCell ref="D256:G256"/>
    <mergeCell ref="A257:C257"/>
    <mergeCell ref="D257:G257"/>
    <mergeCell ref="A287:C287"/>
    <mergeCell ref="D287:G287"/>
    <mergeCell ref="A282:C282"/>
    <mergeCell ref="D282:G282"/>
    <mergeCell ref="A283:C283"/>
    <mergeCell ref="D283:G283"/>
    <mergeCell ref="A284:C284"/>
    <mergeCell ref="D284:G284"/>
    <mergeCell ref="A279:C279"/>
    <mergeCell ref="D279:G279"/>
    <mergeCell ref="A280:C280"/>
    <mergeCell ref="D280:G280"/>
    <mergeCell ref="A281:C281"/>
    <mergeCell ref="D281:G281"/>
    <mergeCell ref="A285:C285"/>
    <mergeCell ref="D285:G285"/>
    <mergeCell ref="A286:C286"/>
    <mergeCell ref="D286:G286"/>
    <mergeCell ref="C135:D135"/>
    <mergeCell ref="A276:C276"/>
    <mergeCell ref="D276:G276"/>
    <mergeCell ref="A277:C277"/>
    <mergeCell ref="D277:G277"/>
    <mergeCell ref="A278:C278"/>
    <mergeCell ref="D278:G278"/>
    <mergeCell ref="A271:C271"/>
    <mergeCell ref="D271:G271"/>
    <mergeCell ref="A274:C274"/>
    <mergeCell ref="A275:C275"/>
    <mergeCell ref="D275:G275"/>
    <mergeCell ref="A270:C270"/>
    <mergeCell ref="D270:G270"/>
    <mergeCell ref="A261:C261"/>
    <mergeCell ref="D261:G261"/>
    <mergeCell ref="A264:C264"/>
    <mergeCell ref="A265:C265"/>
    <mergeCell ref="D265:G265"/>
    <mergeCell ref="A258:C258"/>
    <mergeCell ref="D258:G258"/>
    <mergeCell ref="A259:C259"/>
    <mergeCell ref="D259:G259"/>
    <mergeCell ref="A260:C260"/>
    <mergeCell ref="A122:B122"/>
    <mergeCell ref="A123:B123"/>
    <mergeCell ref="A124:B124"/>
    <mergeCell ref="E138:F138"/>
    <mergeCell ref="C121:D121"/>
    <mergeCell ref="E121:F121"/>
    <mergeCell ref="E122:F122"/>
    <mergeCell ref="E123:F123"/>
    <mergeCell ref="E124:F124"/>
    <mergeCell ref="E135:F135"/>
    <mergeCell ref="E136:F136"/>
    <mergeCell ref="E137:F137"/>
    <mergeCell ref="E131:F131"/>
    <mergeCell ref="E132:F132"/>
    <mergeCell ref="E133:F133"/>
    <mergeCell ref="E134:F134"/>
    <mergeCell ref="C127:D127"/>
    <mergeCell ref="C128:D128"/>
    <mergeCell ref="C129:D129"/>
    <mergeCell ref="C130:D130"/>
    <mergeCell ref="C131:D131"/>
    <mergeCell ref="C132:D132"/>
    <mergeCell ref="C133:D133"/>
    <mergeCell ref="C134:D134"/>
  </mergeCells>
  <printOptions horizontalCentered="1"/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&amp;Cproposal valid for 15 days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3:G288"/>
  <sheetViews>
    <sheetView zoomScaleNormal="100" zoomScalePageLayoutView="150" workbookViewId="0"/>
  </sheetViews>
  <sheetFormatPr defaultColWidth="11.42578125" defaultRowHeight="12.75" x14ac:dyDescent="0.2"/>
  <cols>
    <col min="1" max="1" width="15.7109375" style="3" customWidth="1"/>
    <col min="2" max="2" width="7.42578125" style="3" customWidth="1"/>
    <col min="3" max="3" width="12.42578125" style="3" customWidth="1"/>
    <col min="4" max="4" width="12.7109375" style="3" bestFit="1" customWidth="1"/>
    <col min="5" max="5" width="11.42578125" style="3"/>
    <col min="6" max="6" width="14.7109375" style="3" customWidth="1"/>
    <col min="7" max="7" width="59.7109375" style="3" customWidth="1"/>
    <col min="8" max="16384" width="11.42578125" style="3"/>
  </cols>
  <sheetData>
    <row r="3" spans="1:7" ht="23.25" x14ac:dyDescent="0.35">
      <c r="G3" s="4" t="s">
        <v>514</v>
      </c>
    </row>
    <row r="4" spans="1:7" ht="20.25" x14ac:dyDescent="0.3">
      <c r="B4" s="5"/>
      <c r="G4" s="6" t="str">
        <f>IF(Cust_Company="",Cust_FirstName&amp;" "&amp;Cust_LastName,Cust_Company)</f>
        <v xml:space="preserve"> </v>
      </c>
    </row>
    <row r="5" spans="1:7" ht="15" x14ac:dyDescent="0.2">
      <c r="G5" s="7" t="str">
        <f>IF(Inputs!B10="","",Inputs!B10)</f>
        <v/>
      </c>
    </row>
    <row r="6" spans="1:7" ht="15" x14ac:dyDescent="0.2">
      <c r="G6" s="7" t="str">
        <f>IF(Inputs!B11="","",Inputs!B11)</f>
        <v/>
      </c>
    </row>
    <row r="7" spans="1:7" ht="15" x14ac:dyDescent="0.2">
      <c r="G7" s="7" t="str">
        <f>Inputs!B12&amp;"  "&amp;Inputs!B13</f>
        <v xml:space="preserve">  </v>
      </c>
    </row>
    <row r="8" spans="1:7" ht="15" x14ac:dyDescent="0.2">
      <c r="G8" s="7" t="str">
        <f>"Tamaño  de Sistema PV  "&amp;TEXT(Inputs_MySOL!$G$17/1000,"0.00")&amp;"kW"</f>
        <v>Tamaño  de Sistema PV  0.00kW</v>
      </c>
    </row>
    <row r="9" spans="1:7" ht="15.75" customHeight="1" x14ac:dyDescent="0.2">
      <c r="G9" s="1" t="str">
        <f>IF(SysSpec_PV_Units=0,"",SysSpec_PV_Units&amp;" "&amp;Inputs!G$4)</f>
        <v/>
      </c>
    </row>
    <row r="10" spans="1:7" ht="15.75" customHeight="1" x14ac:dyDescent="0.3">
      <c r="A10"/>
      <c r="B10" s="8"/>
      <c r="C10" s="8"/>
      <c r="G10" s="1" t="str">
        <f>IF(SysSpec_Inverters_Units=0,"",SysSpec_Inverters_Units&amp;" "&amp;Inputs!G$5)</f>
        <v/>
      </c>
    </row>
    <row r="11" spans="1:7" ht="15.75" customHeight="1" x14ac:dyDescent="0.2">
      <c r="A11"/>
      <c r="G11" s="1" t="str">
        <f>IF(SysSpec_Optimizers_Units=0,"",SysSpec_Optimizers_Units&amp;" "&amp;Inputs!G$6)</f>
        <v/>
      </c>
    </row>
    <row r="12" spans="1:7" ht="15.75" customHeight="1" x14ac:dyDescent="0.2">
      <c r="A12"/>
    </row>
    <row r="13" spans="1:7" ht="15.75" customHeight="1" x14ac:dyDescent="0.2">
      <c r="A13"/>
      <c r="C13" s="9"/>
    </row>
    <row r="14" spans="1:7" ht="15.75" customHeight="1" x14ac:dyDescent="0.2"/>
    <row r="15" spans="1:7" ht="15.75" customHeight="1" x14ac:dyDescent="0.2"/>
    <row r="16" spans="1:7" ht="15.75" customHeight="1" x14ac:dyDescent="0.2"/>
    <row r="17" spans="1:7" ht="15.75" customHeight="1" x14ac:dyDescent="0.2"/>
    <row r="18" spans="1:7" ht="15.75" customHeight="1" x14ac:dyDescent="0.2">
      <c r="A18" s="1"/>
      <c r="B18" s="1"/>
      <c r="C18" s="1"/>
      <c r="D18" s="553" t="s">
        <v>541</v>
      </c>
      <c r="E18" s="553"/>
      <c r="F18" s="553"/>
      <c r="G18" s="144" t="s">
        <v>542</v>
      </c>
    </row>
    <row r="19" spans="1:7" ht="15.75" customHeight="1" x14ac:dyDescent="0.2"/>
    <row r="20" spans="1:7" ht="15.75" customHeight="1" x14ac:dyDescent="0.2">
      <c r="A20" s="10" t="s">
        <v>130</v>
      </c>
      <c r="B20" s="11"/>
      <c r="C20" s="11"/>
      <c r="D20" s="12">
        <f>Cust_InitialPymt</f>
        <v>0</v>
      </c>
      <c r="E20" s="12"/>
      <c r="F20" s="12"/>
      <c r="G20" s="13" t="str">
        <f>IF(D20=0,"Independizate a Solar con $0 pesos","Independizate a Solar con $"&amp;TEXT(D20,"#,##")&amp;" pesos")</f>
        <v>Independizate a Solar con $0 pesos</v>
      </c>
    </row>
    <row r="21" spans="1:7" ht="15.75" customHeight="1" x14ac:dyDescent="0.2"/>
    <row r="22" spans="1:7" ht="15.75" customHeight="1" x14ac:dyDescent="0.2">
      <c r="A22" s="10" t="s">
        <v>569</v>
      </c>
      <c r="B22" s="11"/>
      <c r="C22" s="11"/>
      <c r="D22" s="13">
        <f>Savings!AB6/12</f>
        <v>0</v>
      </c>
      <c r="E22" s="13"/>
      <c r="F22" s="13"/>
      <c r="G22" s="13" t="s">
        <v>570</v>
      </c>
    </row>
    <row r="23" spans="1:7" ht="15.75" customHeight="1" x14ac:dyDescent="0.2"/>
    <row r="24" spans="1:7" ht="15.75" customHeight="1" x14ac:dyDescent="0.2">
      <c r="A24" s="10" t="s">
        <v>131</v>
      </c>
      <c r="B24" s="11"/>
      <c r="C24" s="11"/>
      <c r="D24" s="14">
        <f>Inputs_MySOL!$B$11</f>
        <v>3.5000000000000003E-2</v>
      </c>
      <c r="E24" s="14"/>
      <c r="F24" s="14"/>
      <c r="G24" s="13" t="str">
        <f>"Bajo comparado con incrementos tarifas CFE "&amp;TEXT(Inputs_MySOL!$B$6,"0.0%")&amp;""</f>
        <v>Bajo comparado con incrementos tarifas CFE 8.0%</v>
      </c>
    </row>
    <row r="25" spans="1:7" ht="15.75" customHeight="1" x14ac:dyDescent="0.2"/>
    <row r="26" spans="1:7" ht="15.75" customHeight="1" x14ac:dyDescent="0.2">
      <c r="A26" s="10" t="s">
        <v>132</v>
      </c>
      <c r="B26" s="11"/>
      <c r="C26" s="11"/>
      <c r="D26" s="15">
        <f>Cust_LeaseTermYears</f>
        <v>15</v>
      </c>
      <c r="E26" s="15"/>
      <c r="F26" s="13"/>
      <c r="G26" s="13" t="s">
        <v>133</v>
      </c>
    </row>
    <row r="27" spans="1:7" ht="15.75" customHeight="1" x14ac:dyDescent="0.2"/>
    <row r="28" spans="1:7" ht="15.75" customHeight="1" x14ac:dyDescent="0.2">
      <c r="A28" s="10" t="s">
        <v>641</v>
      </c>
      <c r="B28" s="11"/>
      <c r="C28" s="11"/>
      <c r="D28" s="13" t="s">
        <v>134</v>
      </c>
      <c r="E28" s="13"/>
      <c r="F28" s="13"/>
      <c r="G28" s="13" t="s">
        <v>642</v>
      </c>
    </row>
    <row r="29" spans="1:7" ht="15.75" customHeight="1" x14ac:dyDescent="0.2"/>
    <row r="30" spans="1:7" ht="15.75" customHeight="1" x14ac:dyDescent="0.2">
      <c r="A30" s="10" t="s">
        <v>135</v>
      </c>
      <c r="B30" s="11"/>
      <c r="C30" s="11"/>
      <c r="D30" s="13" t="s">
        <v>134</v>
      </c>
      <c r="E30" s="17"/>
      <c r="F30" s="17"/>
      <c r="G30" s="17" t="s">
        <v>277</v>
      </c>
    </row>
    <row r="31" spans="1:7" ht="15.75" customHeight="1" x14ac:dyDescent="0.2"/>
    <row r="32" spans="1:7" ht="15.75" customHeight="1" x14ac:dyDescent="0.2">
      <c r="A32" s="10" t="s">
        <v>136</v>
      </c>
      <c r="B32" s="11"/>
      <c r="C32" s="11"/>
      <c r="D32" s="13" t="s">
        <v>134</v>
      </c>
      <c r="E32" s="17"/>
      <c r="F32" s="17"/>
      <c r="G32" s="17" t="s">
        <v>278</v>
      </c>
    </row>
    <row r="33" spans="1:7" ht="15.75" customHeight="1" x14ac:dyDescent="0.2"/>
    <row r="34" spans="1:7" ht="15.75" customHeight="1" x14ac:dyDescent="0.2">
      <c r="A34" s="10" t="s">
        <v>543</v>
      </c>
      <c r="B34" s="11"/>
      <c r="C34" s="11"/>
      <c r="D34" s="13" t="s">
        <v>134</v>
      </c>
      <c r="E34" s="13"/>
      <c r="F34" s="17"/>
      <c r="G34" s="13" t="s">
        <v>364</v>
      </c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6"/>
      <c r="B39" s="1"/>
      <c r="C39" s="1"/>
      <c r="D39" s="1"/>
      <c r="E39" s="1"/>
      <c r="F39" s="1"/>
      <c r="G39" s="1"/>
    </row>
    <row r="67" spans="1:7" ht="23.25" x14ac:dyDescent="0.35">
      <c r="G67" s="4" t="s">
        <v>514</v>
      </c>
    </row>
    <row r="68" spans="1:7" ht="20.25" x14ac:dyDescent="0.3">
      <c r="B68" s="5"/>
      <c r="G68" s="6" t="str">
        <f>G4</f>
        <v xml:space="preserve"> </v>
      </c>
    </row>
    <row r="69" spans="1:7" ht="15" x14ac:dyDescent="0.2">
      <c r="G69" s="7" t="str">
        <f>G5</f>
        <v/>
      </c>
    </row>
    <row r="70" spans="1:7" ht="15" x14ac:dyDescent="0.2">
      <c r="G70" s="7" t="str">
        <f>G6</f>
        <v/>
      </c>
    </row>
    <row r="71" spans="1:7" ht="15" x14ac:dyDescent="0.2">
      <c r="G71" s="7" t="str">
        <f>G7</f>
        <v xml:space="preserve">  </v>
      </c>
    </row>
    <row r="72" spans="1:7" ht="15" x14ac:dyDescent="0.2">
      <c r="G72" s="7" t="str">
        <f>G8</f>
        <v>Tamaño  de Sistema PV  0.00kW</v>
      </c>
    </row>
    <row r="73" spans="1:7" x14ac:dyDescent="0.2">
      <c r="A73"/>
      <c r="G73" s="1" t="str">
        <f>IF(SysSpec_PV_Units=0,"",SysSpec_PV_Units&amp;" "&amp;Inputs!G$4)</f>
        <v/>
      </c>
    </row>
    <row r="74" spans="1:7" ht="20.25" x14ac:dyDescent="0.3">
      <c r="B74" s="8"/>
      <c r="C74" s="8"/>
      <c r="G74" s="1" t="str">
        <f>IF(SysSpec_Inverters_Units=0,"",SysSpec_Inverters_Units&amp;" "&amp;Inputs!G$5)</f>
        <v/>
      </c>
    </row>
    <row r="75" spans="1:7" x14ac:dyDescent="0.2">
      <c r="G75" s="1" t="str">
        <f>IF(SysSpec_Optimizers_Units=0,"",SysSpec_Optimizers_Units&amp;" "&amp;Inputs!G$6)</f>
        <v/>
      </c>
    </row>
    <row r="77" spans="1:7" x14ac:dyDescent="0.2">
      <c r="C77" s="9"/>
    </row>
    <row r="83" spans="1:7" ht="30.75" customHeight="1" x14ac:dyDescent="0.25">
      <c r="A83" s="18" t="s">
        <v>201</v>
      </c>
      <c r="B83" s="19"/>
      <c r="C83" s="20" t="s">
        <v>137</v>
      </c>
      <c r="D83" s="149" t="s">
        <v>544</v>
      </c>
      <c r="E83" s="20" t="s">
        <v>224</v>
      </c>
      <c r="G83" s="21" t="str">
        <f>"Resumen "&amp;15&amp;" Años"</f>
        <v>Resumen 15 Años</v>
      </c>
    </row>
    <row r="84" spans="1:7" ht="15" x14ac:dyDescent="0.2">
      <c r="A84" s="7" t="s">
        <v>141</v>
      </c>
      <c r="B84" s="7"/>
      <c r="C84" s="67">
        <f>Savings!J6</f>
        <v>56571.580799999996</v>
      </c>
      <c r="D84" s="67">
        <f>Savings!X6</f>
        <v>56571.580799999996</v>
      </c>
      <c r="E84" s="7"/>
      <c r="G84" s="22" t="str">
        <f>"Ahorros en el año "&amp;15&amp;" son de un "&amp;TEXT(Savings!AF20,"0.0%")</f>
        <v>Ahorros en el año 15 son de un 0.0%</v>
      </c>
    </row>
    <row r="85" spans="1:7" ht="15" x14ac:dyDescent="0.2">
      <c r="A85" s="19" t="s">
        <v>545</v>
      </c>
      <c r="B85" s="19"/>
      <c r="C85" s="68" t="s">
        <v>41</v>
      </c>
      <c r="D85" s="69">
        <f>Savings!AB6</f>
        <v>0</v>
      </c>
      <c r="E85" s="7"/>
      <c r="G85" s="22" t="str">
        <f>"Ahorros Totales durante "&amp;15&amp;" años "&amp;TEXT(G138,"$000,000")</f>
        <v>Ahorros Totales durante 15 años $000,000</v>
      </c>
    </row>
    <row r="86" spans="1:7" ht="15.75" x14ac:dyDescent="0.25">
      <c r="A86" s="97" t="s">
        <v>28</v>
      </c>
      <c r="C86" s="23">
        <f>SUM(C84:C85)</f>
        <v>56571.580799999996</v>
      </c>
      <c r="D86" s="23">
        <f>SUM(D84:D85)</f>
        <v>56571.580799999996</v>
      </c>
      <c r="E86" s="147">
        <f>C86-D86</f>
        <v>0</v>
      </c>
      <c r="F86" s="25"/>
      <c r="G86" s="21"/>
    </row>
    <row r="87" spans="1:7" ht="15.75" x14ac:dyDescent="0.25">
      <c r="A87" s="98"/>
      <c r="C87" s="150"/>
      <c r="D87" s="150"/>
      <c r="E87" s="148"/>
      <c r="G87" s="21"/>
    </row>
    <row r="88" spans="1:7" ht="15.75" x14ac:dyDescent="0.25">
      <c r="A88" s="97"/>
      <c r="C88" s="23"/>
      <c r="D88" s="23"/>
      <c r="E88" s="147"/>
      <c r="F88" s="25"/>
      <c r="G88" s="21"/>
    </row>
    <row r="89" spans="1:7" x14ac:dyDescent="0.2">
      <c r="A89" s="2"/>
      <c r="C89" s="24"/>
    </row>
    <row r="118" spans="1:7" ht="13.5" thickBot="1" x14ac:dyDescent="0.25"/>
    <row r="119" spans="1:7" ht="18.75" thickBot="1" x14ac:dyDescent="0.25">
      <c r="A119" s="554" t="s">
        <v>546</v>
      </c>
      <c r="B119" s="555"/>
      <c r="C119" s="555"/>
      <c r="D119" s="555"/>
      <c r="E119" s="555"/>
      <c r="F119" s="555"/>
      <c r="G119" s="556"/>
    </row>
    <row r="120" spans="1:7" ht="18" customHeight="1" thickBot="1" x14ac:dyDescent="0.25">
      <c r="A120" s="563" t="s">
        <v>138</v>
      </c>
      <c r="B120" s="564"/>
      <c r="C120" s="566" t="s">
        <v>861</v>
      </c>
      <c r="D120" s="567"/>
      <c r="E120" s="568" t="s">
        <v>544</v>
      </c>
      <c r="F120" s="569"/>
      <c r="G120" s="570"/>
    </row>
    <row r="121" spans="1:7" ht="16.5" customHeight="1" x14ac:dyDescent="0.2">
      <c r="A121" s="565"/>
      <c r="B121" s="521"/>
      <c r="C121" s="526" t="s">
        <v>141</v>
      </c>
      <c r="D121" s="521"/>
      <c r="E121" s="606" t="s">
        <v>862</v>
      </c>
      <c r="F121" s="607"/>
      <c r="G121" s="476" t="s">
        <v>140</v>
      </c>
    </row>
    <row r="122" spans="1:7" x14ac:dyDescent="0.2">
      <c r="A122" s="520" t="s">
        <v>139</v>
      </c>
      <c r="B122" s="521"/>
      <c r="C122" s="531">
        <v>0</v>
      </c>
      <c r="D122" s="521"/>
      <c r="E122" s="529">
        <f>Cust_InitialPymt</f>
        <v>0</v>
      </c>
      <c r="F122" s="530"/>
      <c r="G122" s="477"/>
    </row>
    <row r="123" spans="1:7" x14ac:dyDescent="0.2">
      <c r="A123" s="522">
        <v>1</v>
      </c>
      <c r="B123" s="523"/>
      <c r="C123" s="531">
        <f>Savings!J6</f>
        <v>56571.580799999996</v>
      </c>
      <c r="D123" s="521"/>
      <c r="E123" s="529"/>
      <c r="F123" s="530"/>
      <c r="G123" s="477">
        <f>Savings!AE6</f>
        <v>0</v>
      </c>
    </row>
    <row r="124" spans="1:7" x14ac:dyDescent="0.2">
      <c r="A124" s="522">
        <v>2</v>
      </c>
      <c r="B124" s="523"/>
      <c r="C124" s="531">
        <f>Savings!J7</f>
        <v>61097.30726400001</v>
      </c>
      <c r="D124" s="521"/>
      <c r="E124" s="529"/>
      <c r="F124" s="530"/>
      <c r="G124" s="477">
        <f>Savings!AE7</f>
        <v>0</v>
      </c>
    </row>
    <row r="125" spans="1:7" x14ac:dyDescent="0.2">
      <c r="A125" s="522">
        <v>3</v>
      </c>
      <c r="B125" s="523"/>
      <c r="C125" s="531">
        <f>Savings!J8</f>
        <v>65985.091845120012</v>
      </c>
      <c r="D125" s="521"/>
      <c r="E125" s="529"/>
      <c r="F125" s="530"/>
      <c r="G125" s="477">
        <f>Savings!AE8</f>
        <v>0</v>
      </c>
    </row>
    <row r="126" spans="1:7" x14ac:dyDescent="0.2">
      <c r="A126" s="522">
        <v>4</v>
      </c>
      <c r="B126" s="523"/>
      <c r="C126" s="531">
        <f>Savings!J9</f>
        <v>71263.899192729616</v>
      </c>
      <c r="D126" s="521"/>
      <c r="E126" s="529"/>
      <c r="F126" s="530"/>
      <c r="G126" s="477">
        <f>Savings!AE9</f>
        <v>0</v>
      </c>
    </row>
    <row r="127" spans="1:7" x14ac:dyDescent="0.2">
      <c r="A127" s="522">
        <v>5</v>
      </c>
      <c r="B127" s="523"/>
      <c r="C127" s="531">
        <f>Savings!J10</f>
        <v>76965.011128147991</v>
      </c>
      <c r="D127" s="521"/>
      <c r="E127" s="529"/>
      <c r="F127" s="530"/>
      <c r="G127" s="477">
        <f>Savings!AE10</f>
        <v>0</v>
      </c>
    </row>
    <row r="128" spans="1:7" x14ac:dyDescent="0.2">
      <c r="A128" s="522">
        <v>6</v>
      </c>
      <c r="B128" s="523"/>
      <c r="C128" s="531">
        <f>Savings!J11</f>
        <v>83122.212018399819</v>
      </c>
      <c r="D128" s="521"/>
      <c r="E128" s="557" t="str">
        <f>IF(A128&lt;&gt;Cust_LeaseTermYears,"",IF(Scenario_Variable="Final Payment",MAX(0,HLOOKUP(A128*12,Model!$D$39:$GA$58,20,FALSE)),Cust_FinalPymtAtTermEnd))</f>
        <v/>
      </c>
      <c r="F128" s="530" t="str">
        <f>IF(OR(D128&lt;5,D128&gt;Cust_LeaseTermYears),"N/A",IF(OR(Scenario_Variable="Final Payment",D128&lt;Cust_LeaseTermYears),MAX(0,HLOOKUP(D128*12,Model!$D$39:$GA$58,20,FALSE)),Cust_FinalPymtAtTermEnd))</f>
        <v>N/A</v>
      </c>
      <c r="G128" s="477">
        <f>Savings!AE11</f>
        <v>0</v>
      </c>
    </row>
    <row r="129" spans="1:7" x14ac:dyDescent="0.2">
      <c r="A129" s="522">
        <v>7</v>
      </c>
      <c r="B129" s="523"/>
      <c r="C129" s="531">
        <f>Savings!J12</f>
        <v>89771.988979871836</v>
      </c>
      <c r="D129" s="521"/>
      <c r="E129" s="529" t="str">
        <f>IF(A129&lt;&gt;Cust_LeaseTermYears,"",IF(Scenario_Variable="Final Payment",MAX(0,HLOOKUP(A129*12,Model!$D$39:$GA$58,20,FALSE)),Cust_FinalPymtAtTermEnd))</f>
        <v/>
      </c>
      <c r="F129" s="530" t="str">
        <f>IF(OR(D129&lt;5,D129&gt;Cust_LeaseTermYears),"N/A",IF(OR(Scenario_Variable="Final Payment",D129&lt;Cust_LeaseTermYears),MAX(0,HLOOKUP(D129*12,Model!$D$39:$GA$58,20,FALSE)),Cust_FinalPymtAtTermEnd))</f>
        <v>N/A</v>
      </c>
      <c r="G129" s="477">
        <f>Savings!AE12</f>
        <v>0</v>
      </c>
    </row>
    <row r="130" spans="1:7" x14ac:dyDescent="0.2">
      <c r="A130" s="522">
        <v>8</v>
      </c>
      <c r="B130" s="523"/>
      <c r="C130" s="531">
        <f>Savings!J13</f>
        <v>96953.748098261567</v>
      </c>
      <c r="D130" s="521"/>
      <c r="E130" s="529" t="str">
        <f>IF(A130&lt;&gt;Cust_LeaseTermYears,"",IF(Scenario_Variable="Final Payment",MAX(0,HLOOKUP(A130*12,Model!$D$39:$GA$58,20,FALSE)),Cust_FinalPymtAtTermEnd))</f>
        <v/>
      </c>
      <c r="F130" s="530" t="str">
        <f>IF(OR(D130&lt;5,D130&gt;Cust_LeaseTermYears),"N/A",IF(OR(Scenario_Variable="Final Payment",D130&lt;Cust_LeaseTermYears),MAX(0,HLOOKUP(D130*12,Model!$D$39:$GA$58,20,FALSE)),Cust_FinalPymtAtTermEnd))</f>
        <v>N/A</v>
      </c>
      <c r="G130" s="477">
        <f>Savings!AE13</f>
        <v>0</v>
      </c>
    </row>
    <row r="131" spans="1:7" x14ac:dyDescent="0.2">
      <c r="A131" s="522">
        <v>9</v>
      </c>
      <c r="B131" s="523"/>
      <c r="C131" s="531">
        <f>Savings!J14</f>
        <v>104710.04794612252</v>
      </c>
      <c r="D131" s="521"/>
      <c r="E131" s="529" t="str">
        <f>IF(A131&lt;&gt;Cust_LeaseTermYears,"",IF(Scenario_Variable="Final Payment",MAX(0,HLOOKUP(A131*12,Model!$D$39:$GA$58,20,FALSE)),Cust_FinalPymtAtTermEnd))</f>
        <v/>
      </c>
      <c r="F131" s="530" t="str">
        <f>IF(OR(D131&lt;5,D131&gt;Cust_LeaseTermYears),"N/A",IF(OR(Scenario_Variable="Final Payment",D131&lt;Cust_LeaseTermYears),MAX(0,HLOOKUP(D131*12,Model!$D$39:$GA$58,20,FALSE)),Cust_FinalPymtAtTermEnd))</f>
        <v>N/A</v>
      </c>
      <c r="G131" s="477">
        <f>Savings!AE14</f>
        <v>0</v>
      </c>
    </row>
    <row r="132" spans="1:7" x14ac:dyDescent="0.2">
      <c r="A132" s="522">
        <v>10</v>
      </c>
      <c r="B132" s="523"/>
      <c r="C132" s="531">
        <f>Savings!J15</f>
        <v>113086.85178181232</v>
      </c>
      <c r="D132" s="521"/>
      <c r="E132" s="529" t="str">
        <f>IF(A132&lt;&gt;Cust_LeaseTermYears,"",IF(Scenario_Variable="Final Payment",MAX(0,HLOOKUP(A132*12,Model!$D$39:$GA$58,20,FALSE)),Cust_FinalPymtAtTermEnd))</f>
        <v/>
      </c>
      <c r="F132" s="530" t="str">
        <f>IF(OR(D132&lt;5,D132&gt;Cust_LeaseTermYears),"N/A",IF(OR(Scenario_Variable="Final Payment",D132&lt;Cust_LeaseTermYears),MAX(0,HLOOKUP(D132*12,Model!$D$39:$GA$58,20,FALSE)),Cust_FinalPymtAtTermEnd))</f>
        <v>N/A</v>
      </c>
      <c r="G132" s="477">
        <f>Savings!AE15</f>
        <v>0</v>
      </c>
    </row>
    <row r="133" spans="1:7" x14ac:dyDescent="0.2">
      <c r="A133" s="522">
        <v>11</v>
      </c>
      <c r="B133" s="523"/>
      <c r="C133" s="531">
        <f>Savings!J16</f>
        <v>122133.79992435733</v>
      </c>
      <c r="D133" s="521"/>
      <c r="E133" s="529" t="str">
        <f>IF(A133&lt;&gt;Cust_LeaseTermYears,"",IF(Scenario_Variable="Final Payment",MAX(0,HLOOKUP(A133*12,Model!$D$39:$GA$58,20,FALSE)),Cust_FinalPymtAtTermEnd))</f>
        <v/>
      </c>
      <c r="F133" s="530" t="str">
        <f>IF(OR(D133&lt;5,D133&gt;Cust_LeaseTermYears),"N/A",IF(OR(Scenario_Variable="Final Payment",D133&lt;Cust_LeaseTermYears),MAX(0,HLOOKUP(D133*12,Model!$D$39:$GA$58,20,FALSE)),Cust_FinalPymtAtTermEnd))</f>
        <v>N/A</v>
      </c>
      <c r="G133" s="477">
        <f>Savings!AE16</f>
        <v>0</v>
      </c>
    </row>
    <row r="134" spans="1:7" x14ac:dyDescent="0.2">
      <c r="A134" s="522">
        <v>12</v>
      </c>
      <c r="B134" s="523"/>
      <c r="C134" s="531">
        <f>Savings!J17</f>
        <v>131904.50391830591</v>
      </c>
      <c r="D134" s="521"/>
      <c r="E134" s="529" t="str">
        <f>IF(A134&lt;&gt;Cust_LeaseTermYears,"",IF(Scenario_Variable="Final Payment",MAX(0,HLOOKUP(A134*12,Model!$D$39:$GA$58,20,FALSE)),Cust_FinalPymtAtTermEnd))</f>
        <v/>
      </c>
      <c r="F134" s="530" t="str">
        <f>IF(OR(D134&lt;5,D134&gt;Cust_LeaseTermYears),"N/A",IF(OR(Scenario_Variable="Final Payment",D134&lt;Cust_LeaseTermYears),MAX(0,HLOOKUP(D134*12,Model!$D$39:$GA$58,20,FALSE)),Cust_FinalPymtAtTermEnd))</f>
        <v>N/A</v>
      </c>
      <c r="G134" s="477">
        <f>Savings!AE17</f>
        <v>0</v>
      </c>
    </row>
    <row r="135" spans="1:7" x14ac:dyDescent="0.2">
      <c r="A135" s="522">
        <v>13</v>
      </c>
      <c r="B135" s="523"/>
      <c r="C135" s="531">
        <f>Savings!J18</f>
        <v>142456.86423177039</v>
      </c>
      <c r="D135" s="521"/>
      <c r="E135" s="529" t="str">
        <f>IF(A135&lt;&gt;Cust_LeaseTermYears,"",IF(Scenario_Variable="Final Payment",MAX(0,HLOOKUP(A135*12,Model!$D$39:$GA$58,20,FALSE)),Cust_FinalPymtAtTermEnd))</f>
        <v/>
      </c>
      <c r="F135" s="530" t="str">
        <f>IF(OR(D135&lt;5,D135&gt;Cust_LeaseTermYears),"N/A",IF(OR(Scenario_Variable="Final Payment",D135&lt;Cust_LeaseTermYears),MAX(0,HLOOKUP(D135*12,Model!$D$39:$GA$58,20,FALSE)),Cust_FinalPymtAtTermEnd))</f>
        <v>N/A</v>
      </c>
      <c r="G135" s="477">
        <f>Savings!AE18</f>
        <v>0</v>
      </c>
    </row>
    <row r="136" spans="1:7" x14ac:dyDescent="0.2">
      <c r="A136" s="522">
        <v>14</v>
      </c>
      <c r="B136" s="523"/>
      <c r="C136" s="531">
        <f>Savings!J19</f>
        <v>153853.41337031202</v>
      </c>
      <c r="D136" s="521"/>
      <c r="E136" s="529" t="str">
        <f>IF(A136&lt;&gt;Cust_LeaseTermYears,"",IF(Scenario_Variable="Final Payment",MAX(0,HLOOKUP(A136*12,Model!$D$39:$GA$58,20,FALSE)),Cust_FinalPymtAtTermEnd))</f>
        <v/>
      </c>
      <c r="F136" s="530" t="str">
        <f>IF(OR(D136&lt;5,D136&gt;Cust_LeaseTermYears),"N/A",IF(OR(Scenario_Variable="Final Payment",D136&lt;Cust_LeaseTermYears),MAX(0,HLOOKUP(D136*12,Model!$D$39:$GA$58,20,FALSE)),Cust_FinalPymtAtTermEnd))</f>
        <v>N/A</v>
      </c>
      <c r="G136" s="477">
        <f>Savings!AE19</f>
        <v>0</v>
      </c>
    </row>
    <row r="137" spans="1:7" ht="13.5" thickBot="1" x14ac:dyDescent="0.25">
      <c r="A137" s="522">
        <v>15</v>
      </c>
      <c r="B137" s="523"/>
      <c r="C137" s="531">
        <f>Savings!J20</f>
        <v>166161.68643993698</v>
      </c>
      <c r="D137" s="521"/>
      <c r="E137" s="529">
        <f>IF(A137&lt;&gt;Cust_LeaseTermYears,"",IF(Scenario_Variable="Final Payment",MAX(0,HLOOKUP(A137*12,Model!$D$39:$GA$58,20,FALSE)),Cust_FinalPymtAtTermEnd))</f>
        <v>100</v>
      </c>
      <c r="F137" s="530" t="str">
        <f>IF(OR(D137&lt;5,D137&gt;Cust_LeaseTermYears),"N/A",IF(OR(Scenario_Variable="Final Payment",D137&lt;Cust_LeaseTermYears),MAX(0,HLOOKUP(D137*12,Model!$D$39:$GA$58,20,FALSE)),Cust_FinalPymtAtTermEnd))</f>
        <v>N/A</v>
      </c>
      <c r="G137" s="477">
        <f>Savings!AE20</f>
        <v>0</v>
      </c>
    </row>
    <row r="138" spans="1:7" ht="16.5" thickBot="1" x14ac:dyDescent="0.25">
      <c r="A138" s="571" t="s">
        <v>35</v>
      </c>
      <c r="B138" s="562"/>
      <c r="C138" s="561">
        <f>SUM(C122:D137)</f>
        <v>1536038.0069391483</v>
      </c>
      <c r="D138" s="562"/>
      <c r="E138" s="524">
        <f>SUM(E122:F137)</f>
        <v>100</v>
      </c>
      <c r="F138" s="525"/>
      <c r="G138" s="478">
        <f>SUM(G123:G137)</f>
        <v>0</v>
      </c>
    </row>
    <row r="140" spans="1:7" x14ac:dyDescent="0.2">
      <c r="A140" s="582"/>
      <c r="B140" s="583"/>
      <c r="C140" s="583"/>
      <c r="D140" s="583"/>
      <c r="E140" s="583"/>
      <c r="F140" s="583"/>
      <c r="G140" s="583"/>
    </row>
    <row r="141" spans="1:7" ht="13.5" thickBot="1" x14ac:dyDescent="0.25">
      <c r="A141" s="584"/>
      <c r="B141" s="584"/>
      <c r="C141" s="584"/>
      <c r="D141" s="584"/>
      <c r="E141" s="584"/>
      <c r="F141" s="584"/>
      <c r="G141" s="584"/>
    </row>
    <row r="142" spans="1:7" x14ac:dyDescent="0.2">
      <c r="A142" s="608" t="s">
        <v>393</v>
      </c>
      <c r="B142" s="498"/>
      <c r="C142" s="498"/>
      <c r="D142" s="498"/>
      <c r="E142" s="498"/>
      <c r="F142" s="498"/>
      <c r="G142" s="498"/>
    </row>
    <row r="143" spans="1:7" x14ac:dyDescent="0.2">
      <c r="A143" s="498"/>
      <c r="B143" s="498"/>
      <c r="C143" s="498"/>
      <c r="D143" s="498"/>
      <c r="E143" s="498"/>
      <c r="F143" s="498"/>
      <c r="G143" s="498"/>
    </row>
    <row r="159" spans="1:7" ht="28.5" customHeight="1" x14ac:dyDescent="0.35">
      <c r="A159" s="581" t="s">
        <v>365</v>
      </c>
      <c r="B159" s="581"/>
      <c r="C159" s="581"/>
      <c r="D159" s="581"/>
      <c r="E159" s="581"/>
      <c r="F159" s="581"/>
      <c r="G159" s="581"/>
    </row>
    <row r="160" spans="1:7" ht="15.75" x14ac:dyDescent="0.25">
      <c r="A160" s="558" t="s">
        <v>366</v>
      </c>
      <c r="B160" s="559"/>
      <c r="C160" s="559"/>
      <c r="D160" s="559"/>
      <c r="E160" s="559"/>
      <c r="F160" s="559"/>
      <c r="G160" s="559"/>
    </row>
    <row r="162" spans="1:7" ht="12.75" customHeight="1" x14ac:dyDescent="0.2">
      <c r="A162" s="560" t="s">
        <v>367</v>
      </c>
      <c r="B162" s="560"/>
      <c r="C162" s="560"/>
      <c r="D162" s="560"/>
      <c r="E162" s="560"/>
      <c r="F162" s="560"/>
      <c r="G162" s="560"/>
    </row>
    <row r="163" spans="1:7" x14ac:dyDescent="0.2">
      <c r="A163" s="560"/>
      <c r="B163" s="560"/>
      <c r="C163" s="560"/>
      <c r="D163" s="560"/>
      <c r="E163" s="560"/>
      <c r="F163" s="560"/>
      <c r="G163" s="560"/>
    </row>
    <row r="164" spans="1:7" x14ac:dyDescent="0.2">
      <c r="A164" s="560"/>
      <c r="B164" s="560"/>
      <c r="C164" s="560"/>
      <c r="D164" s="560"/>
      <c r="E164" s="560"/>
      <c r="F164" s="560"/>
      <c r="G164" s="560"/>
    </row>
    <row r="165" spans="1:7" ht="12.75" customHeight="1" x14ac:dyDescent="0.2">
      <c r="A165" s="587" t="s">
        <v>368</v>
      </c>
      <c r="B165" s="560"/>
      <c r="C165" s="560"/>
      <c r="D165" s="560"/>
      <c r="E165" s="560"/>
      <c r="F165" s="560"/>
      <c r="G165" s="560"/>
    </row>
    <row r="166" spans="1:7" x14ac:dyDescent="0.2">
      <c r="A166" s="560"/>
      <c r="B166" s="560"/>
      <c r="C166" s="560"/>
      <c r="D166" s="560"/>
      <c r="E166" s="560"/>
      <c r="F166" s="560"/>
      <c r="G166" s="560"/>
    </row>
    <row r="167" spans="1:7" x14ac:dyDescent="0.2">
      <c r="A167" s="560"/>
      <c r="B167" s="560"/>
      <c r="C167" s="560"/>
      <c r="D167" s="560"/>
      <c r="E167" s="560"/>
      <c r="F167" s="560"/>
      <c r="G167" s="560"/>
    </row>
    <row r="168" spans="1:7" x14ac:dyDescent="0.2">
      <c r="A168" s="560"/>
      <c r="B168" s="560"/>
      <c r="C168" s="560"/>
      <c r="D168" s="560"/>
      <c r="E168" s="560"/>
      <c r="F168" s="560"/>
      <c r="G168" s="560"/>
    </row>
    <row r="169" spans="1:7" x14ac:dyDescent="0.2">
      <c r="A169" s="560"/>
      <c r="B169" s="560"/>
      <c r="C169" s="560"/>
      <c r="D169" s="560"/>
      <c r="E169" s="560"/>
      <c r="F169" s="560"/>
      <c r="G169" s="560"/>
    </row>
    <row r="170" spans="1:7" x14ac:dyDescent="0.2">
      <c r="A170" s="560"/>
      <c r="B170" s="560"/>
      <c r="C170" s="560"/>
      <c r="D170" s="560"/>
      <c r="E170" s="560"/>
      <c r="F170" s="560"/>
      <c r="G170" s="560"/>
    </row>
    <row r="171" spans="1:7" ht="12.75" customHeight="1" x14ac:dyDescent="0.2">
      <c r="A171" s="560" t="s">
        <v>369</v>
      </c>
      <c r="B171" s="560"/>
      <c r="C171" s="560"/>
      <c r="D171" s="560"/>
      <c r="E171" s="560"/>
      <c r="F171" s="560"/>
      <c r="G171" s="560"/>
    </row>
    <row r="172" spans="1:7" x14ac:dyDescent="0.2">
      <c r="A172" s="560"/>
      <c r="B172" s="560"/>
      <c r="C172" s="560"/>
      <c r="D172" s="560"/>
      <c r="E172" s="560"/>
      <c r="F172" s="560"/>
      <c r="G172" s="560"/>
    </row>
    <row r="173" spans="1:7" x14ac:dyDescent="0.2">
      <c r="A173" s="371"/>
      <c r="B173" s="371"/>
      <c r="C173" s="371"/>
      <c r="D173" s="371"/>
      <c r="E173" s="371"/>
      <c r="F173" s="371"/>
      <c r="G173" s="371"/>
    </row>
    <row r="174" spans="1:7" x14ac:dyDescent="0.2">
      <c r="A174" s="365"/>
      <c r="B174" s="365"/>
      <c r="C174" s="365"/>
      <c r="D174" s="365"/>
      <c r="E174" s="365"/>
      <c r="F174" s="365"/>
      <c r="G174" s="365"/>
    </row>
    <row r="175" spans="1:7" x14ac:dyDescent="0.2">
      <c r="A175" s="588" t="s">
        <v>370</v>
      </c>
      <c r="B175" s="559"/>
      <c r="C175" s="559"/>
      <c r="D175" s="559"/>
      <c r="E175" s="559"/>
      <c r="F175" s="559"/>
      <c r="G175" s="559"/>
    </row>
    <row r="176" spans="1:7" ht="13.5" thickBot="1" x14ac:dyDescent="0.25"/>
    <row r="177" spans="1:7" ht="36" thickBot="1" x14ac:dyDescent="0.25">
      <c r="A177"/>
      <c r="B177"/>
      <c r="C177" s="372"/>
      <c r="D177" s="590" t="s">
        <v>371</v>
      </c>
      <c r="E177" s="591"/>
      <c r="F177" s="366"/>
    </row>
    <row r="178" spans="1:7" ht="36" thickBot="1" x14ac:dyDescent="0.25">
      <c r="A178" s="367"/>
      <c r="C178" s="372"/>
      <c r="D178" s="590" t="s">
        <v>372</v>
      </c>
      <c r="E178" s="591"/>
      <c r="F178" s="366"/>
    </row>
    <row r="179" spans="1:7" ht="36" thickBot="1" x14ac:dyDescent="0.25">
      <c r="C179" s="372"/>
      <c r="D179" s="590" t="s">
        <v>371</v>
      </c>
      <c r="E179" s="591"/>
      <c r="F179" s="366"/>
    </row>
    <row r="181" spans="1:7" x14ac:dyDescent="0.2">
      <c r="A181" s="2" t="s">
        <v>373</v>
      </c>
      <c r="B181" s="2"/>
    </row>
    <row r="182" spans="1:7" ht="25.5" customHeight="1" thickBot="1" x14ac:dyDescent="0.25">
      <c r="A182" s="589"/>
      <c r="B182" s="573"/>
      <c r="C182" s="573"/>
      <c r="D182" s="573"/>
      <c r="E182" s="573"/>
      <c r="F182" s="573"/>
      <c r="G182" s="573"/>
    </row>
    <row r="184" spans="1:7" x14ac:dyDescent="0.2">
      <c r="A184" s="2" t="s">
        <v>374</v>
      </c>
      <c r="B184" s="2"/>
    </row>
    <row r="185" spans="1:7" ht="25.5" customHeight="1" thickBot="1" x14ac:dyDescent="0.25">
      <c r="A185" s="535"/>
      <c r="B185" s="573"/>
      <c r="C185" s="573"/>
      <c r="D185" s="573"/>
      <c r="E185" s="573"/>
      <c r="F185" s="573"/>
      <c r="G185" s="573"/>
    </row>
    <row r="187" spans="1:7" ht="25.5" customHeight="1" thickBot="1" x14ac:dyDescent="0.25">
      <c r="A187" s="2" t="s">
        <v>375</v>
      </c>
      <c r="B187" s="410"/>
      <c r="C187" s="411"/>
      <c r="D187" s="597"/>
      <c r="E187" s="573"/>
      <c r="F187" s="573"/>
      <c r="G187" s="573"/>
    </row>
    <row r="189" spans="1:7" ht="25.5" customHeight="1" thickBot="1" x14ac:dyDescent="0.25">
      <c r="A189" s="410" t="s">
        <v>376</v>
      </c>
      <c r="B189" s="572"/>
      <c r="C189" s="573"/>
      <c r="D189" s="573"/>
      <c r="E189" s="573"/>
      <c r="F189" s="573"/>
      <c r="G189" s="573"/>
    </row>
    <row r="191" spans="1:7" ht="25.5" customHeight="1" thickBot="1" x14ac:dyDescent="0.25">
      <c r="A191" s="410" t="s">
        <v>377</v>
      </c>
      <c r="B191" s="573"/>
      <c r="C191" s="573"/>
      <c r="D191" s="573"/>
      <c r="E191" s="573"/>
      <c r="F191" s="573"/>
      <c r="G191" s="573"/>
    </row>
    <row r="193" spans="1:7" ht="25.5" customHeight="1" thickBot="1" x14ac:dyDescent="0.25">
      <c r="A193" s="2" t="s">
        <v>378</v>
      </c>
      <c r="B193" s="417"/>
      <c r="C193" s="407"/>
      <c r="D193" s="407"/>
      <c r="E193" s="407"/>
      <c r="F193" s="2" t="s">
        <v>379</v>
      </c>
      <c r="G193" s="368"/>
    </row>
    <row r="195" spans="1:7" ht="25.5" customHeight="1" thickBot="1" x14ac:dyDescent="0.25">
      <c r="A195" s="2" t="s">
        <v>380</v>
      </c>
      <c r="B195" s="417"/>
      <c r="C195" s="407"/>
      <c r="D195" s="407"/>
      <c r="E195" s="407"/>
      <c r="F195" s="2" t="s">
        <v>381</v>
      </c>
      <c r="G195" s="368"/>
    </row>
    <row r="197" spans="1:7" ht="25.5" customHeight="1" thickBot="1" x14ac:dyDescent="0.25">
      <c r="A197" s="410" t="s">
        <v>382</v>
      </c>
      <c r="B197" s="410"/>
      <c r="C197" s="411"/>
      <c r="D197" s="412"/>
      <c r="E197" s="593"/>
      <c r="F197" s="593"/>
      <c r="G197" s="593"/>
    </row>
    <row r="199" spans="1:7" ht="12.75" customHeight="1" x14ac:dyDescent="0.2">
      <c r="A199" s="592" t="s">
        <v>383</v>
      </c>
      <c r="B199" s="575"/>
      <c r="C199" s="575"/>
      <c r="D199" s="575"/>
      <c r="E199" s="575"/>
      <c r="F199" s="575"/>
      <c r="G199" s="575"/>
    </row>
    <row r="200" spans="1:7" x14ac:dyDescent="0.2">
      <c r="A200" s="575"/>
      <c r="B200" s="575"/>
      <c r="C200" s="575"/>
      <c r="D200" s="575"/>
      <c r="E200" s="575"/>
      <c r="F200" s="575"/>
      <c r="G200" s="575"/>
    </row>
    <row r="201" spans="1:7" x14ac:dyDescent="0.2">
      <c r="A201" s="575"/>
      <c r="B201" s="575"/>
      <c r="C201" s="575"/>
      <c r="D201" s="575"/>
      <c r="E201" s="575"/>
      <c r="F201" s="575"/>
      <c r="G201" s="575"/>
    </row>
    <row r="202" spans="1:7" x14ac:dyDescent="0.2">
      <c r="A202" s="575"/>
      <c r="B202" s="575"/>
      <c r="C202" s="575"/>
      <c r="D202" s="575"/>
      <c r="E202" s="575"/>
      <c r="F202" s="575"/>
      <c r="G202" s="575"/>
    </row>
    <row r="205" spans="1:7" ht="25.5" customHeight="1" thickBot="1" x14ac:dyDescent="0.25">
      <c r="A205" s="593"/>
      <c r="B205" s="594"/>
      <c r="C205" s="594"/>
      <c r="D205" s="594"/>
      <c r="E205" s="594"/>
      <c r="F205" s="594"/>
      <c r="G205" s="594"/>
    </row>
    <row r="206" spans="1:7" x14ac:dyDescent="0.2">
      <c r="A206" s="595" t="s">
        <v>384</v>
      </c>
      <c r="B206" s="559"/>
      <c r="C206" s="559"/>
      <c r="D206" s="559"/>
      <c r="E206" s="559"/>
      <c r="F206" s="559"/>
      <c r="G206" s="559"/>
    </row>
    <row r="207" spans="1:7" x14ac:dyDescent="0.2">
      <c r="A207" s="369"/>
      <c r="B207" s="369"/>
      <c r="C207" s="369"/>
      <c r="D207" s="369"/>
      <c r="E207" s="369"/>
      <c r="F207" s="369"/>
      <c r="G207" s="369"/>
    </row>
    <row r="208" spans="1:7" x14ac:dyDescent="0.2">
      <c r="A208" s="596" t="s">
        <v>385</v>
      </c>
      <c r="B208" s="498"/>
      <c r="C208" s="498"/>
      <c r="D208" s="498"/>
      <c r="E208" s="498"/>
      <c r="F208" s="498"/>
      <c r="G208" s="498"/>
    </row>
    <row r="210" spans="1:7" ht="12.75" customHeight="1" x14ac:dyDescent="0.2">
      <c r="A210" s="574" t="s">
        <v>386</v>
      </c>
      <c r="B210" s="575"/>
      <c r="C210" s="575"/>
      <c r="D210" s="575"/>
      <c r="E210" s="575"/>
      <c r="F210" s="575"/>
      <c r="G210" s="575"/>
    </row>
    <row r="211" spans="1:7" x14ac:dyDescent="0.2">
      <c r="A211" s="575"/>
      <c r="B211" s="575"/>
      <c r="C211" s="575"/>
      <c r="D211" s="575"/>
      <c r="E211" s="575"/>
      <c r="F211" s="575"/>
      <c r="G211" s="575"/>
    </row>
    <row r="213" spans="1:7" ht="12.75" customHeight="1" x14ac:dyDescent="0.2">
      <c r="A213" s="408"/>
      <c r="B213" s="409"/>
      <c r="C213" s="409"/>
      <c r="D213" s="409"/>
      <c r="E213" s="409"/>
      <c r="F213" s="409"/>
      <c r="G213" s="409"/>
    </row>
    <row r="214" spans="1:7" x14ac:dyDescent="0.2">
      <c r="A214" s="409"/>
      <c r="B214" s="409"/>
      <c r="C214" s="409"/>
      <c r="D214" s="409"/>
      <c r="E214" s="409"/>
      <c r="F214" s="409"/>
      <c r="G214" s="409"/>
    </row>
    <row r="215" spans="1:7" x14ac:dyDescent="0.2">
      <c r="A215" s="409"/>
      <c r="B215" s="409"/>
      <c r="C215" s="409"/>
      <c r="D215" s="409"/>
      <c r="E215" s="409"/>
      <c r="F215" s="409"/>
      <c r="G215" s="409"/>
    </row>
    <row r="216" spans="1:7" x14ac:dyDescent="0.2">
      <c r="A216" s="576" t="s">
        <v>387</v>
      </c>
      <c r="B216" s="577"/>
      <c r="C216" s="577"/>
      <c r="D216" s="577"/>
      <c r="E216" s="577"/>
      <c r="F216" s="577"/>
      <c r="G216" s="577"/>
    </row>
    <row r="217" spans="1:7" x14ac:dyDescent="0.2">
      <c r="A217" s="577"/>
      <c r="B217" s="577"/>
      <c r="C217" s="577"/>
      <c r="D217" s="577"/>
      <c r="E217" s="577"/>
      <c r="F217" s="577"/>
      <c r="G217" s="577"/>
    </row>
    <row r="218" spans="1:7" x14ac:dyDescent="0.2">
      <c r="A218" s="577"/>
      <c r="B218" s="577"/>
      <c r="C218" s="577"/>
      <c r="D218" s="577"/>
      <c r="E218" s="577"/>
      <c r="F218" s="577"/>
      <c r="G218" s="577"/>
    </row>
    <row r="219" spans="1:7" x14ac:dyDescent="0.2">
      <c r="A219" s="577"/>
      <c r="B219" s="577"/>
      <c r="C219" s="577"/>
      <c r="D219" s="577"/>
      <c r="E219" s="577"/>
      <c r="F219" s="577"/>
      <c r="G219" s="577"/>
    </row>
    <row r="220" spans="1:7" x14ac:dyDescent="0.2">
      <c r="A220" s="577"/>
      <c r="B220" s="577"/>
      <c r="C220" s="577"/>
      <c r="D220" s="577"/>
      <c r="E220" s="577"/>
      <c r="F220" s="577"/>
      <c r="G220" s="577"/>
    </row>
    <row r="221" spans="1:7" x14ac:dyDescent="0.2">
      <c r="A221" s="370"/>
      <c r="B221" s="369"/>
      <c r="C221" s="369"/>
      <c r="D221" s="369"/>
      <c r="E221" s="369"/>
      <c r="F221" s="369"/>
      <c r="G221" s="369"/>
    </row>
    <row r="222" spans="1:7" ht="12.75" customHeight="1" x14ac:dyDescent="0.2">
      <c r="A222" s="578" t="s">
        <v>388</v>
      </c>
      <c r="B222" s="498"/>
      <c r="C222" s="498"/>
      <c r="D222" s="498"/>
      <c r="E222" s="498"/>
      <c r="F222" s="498"/>
      <c r="G222" s="498"/>
    </row>
    <row r="223" spans="1:7" x14ac:dyDescent="0.2">
      <c r="A223" s="498"/>
      <c r="B223" s="498"/>
      <c r="C223" s="498"/>
      <c r="D223" s="498"/>
      <c r="E223" s="498"/>
      <c r="F223" s="498"/>
      <c r="G223" s="498"/>
    </row>
    <row r="224" spans="1:7" x14ac:dyDescent="0.2">
      <c r="A224" s="498"/>
      <c r="B224" s="498"/>
      <c r="C224" s="498"/>
      <c r="D224" s="498"/>
      <c r="E224" s="498"/>
      <c r="F224" s="498"/>
      <c r="G224" s="498"/>
    </row>
    <row r="225" spans="1:7" ht="25.5" customHeight="1" thickBot="1" x14ac:dyDescent="0.25">
      <c r="A225" s="579" t="s">
        <v>389</v>
      </c>
      <c r="B225" s="498"/>
      <c r="C225" s="498"/>
      <c r="D225" s="498"/>
      <c r="E225" s="580"/>
      <c r="F225" s="580"/>
      <c r="G225" s="580"/>
    </row>
    <row r="226" spans="1:7" ht="25.5" customHeight="1" thickBot="1" x14ac:dyDescent="0.25">
      <c r="A226" s="579" t="s">
        <v>390</v>
      </c>
      <c r="B226" s="498"/>
      <c r="C226" s="498"/>
      <c r="D226" s="498"/>
      <c r="E226" s="580"/>
      <c r="F226" s="580"/>
      <c r="G226" s="580"/>
    </row>
    <row r="227" spans="1:7" ht="25.5" customHeight="1" thickBot="1" x14ac:dyDescent="0.25">
      <c r="A227" s="579" t="s">
        <v>391</v>
      </c>
      <c r="B227" s="498"/>
      <c r="C227" s="498"/>
      <c r="D227" s="498"/>
      <c r="E227" s="580"/>
      <c r="F227" s="580"/>
      <c r="G227" s="580"/>
    </row>
    <row r="235" spans="1:7" ht="13.5" thickBot="1" x14ac:dyDescent="0.25"/>
    <row r="236" spans="1:7" ht="24" thickBot="1" x14ac:dyDescent="0.4">
      <c r="A236" s="549" t="s">
        <v>611</v>
      </c>
      <c r="B236" s="550"/>
      <c r="C236" s="550"/>
      <c r="D236" s="550"/>
      <c r="E236" s="550"/>
      <c r="F236" s="550"/>
      <c r="G236" s="551"/>
    </row>
    <row r="237" spans="1:7" ht="25.5" customHeight="1" thickBot="1" x14ac:dyDescent="0.25">
      <c r="A237" s="552" t="s">
        <v>612</v>
      </c>
      <c r="B237" s="541"/>
      <c r="C237" s="541"/>
      <c r="D237" s="601"/>
      <c r="E237" s="543"/>
      <c r="F237" s="603"/>
      <c r="G237" s="604"/>
    </row>
    <row r="238" spans="1:7" ht="25.5" customHeight="1" thickBot="1" x14ac:dyDescent="0.25">
      <c r="A238" s="548" t="s">
        <v>614</v>
      </c>
      <c r="B238" s="533"/>
      <c r="C238" s="533"/>
      <c r="D238" s="602"/>
      <c r="E238" s="598"/>
      <c r="F238" s="599"/>
      <c r="G238" s="600"/>
    </row>
    <row r="239" spans="1:7" ht="12.75" customHeight="1" thickBot="1" x14ac:dyDescent="0.25">
      <c r="A239" s="428"/>
      <c r="B239" s="429"/>
      <c r="C239" s="429"/>
      <c r="D239" s="421"/>
      <c r="E239" s="421"/>
      <c r="F239" s="421"/>
      <c r="G239" s="424"/>
    </row>
    <row r="240" spans="1:7" ht="12.75" customHeight="1" thickBot="1" x14ac:dyDescent="0.25">
      <c r="A240" s="410"/>
      <c r="B240" s="410"/>
      <c r="C240" s="410"/>
      <c r="D240" s="416"/>
      <c r="E240" s="416"/>
      <c r="F240" s="416"/>
      <c r="G240" s="416"/>
    </row>
    <row r="241" spans="1:7" ht="12.75" customHeight="1" thickBot="1" x14ac:dyDescent="0.25">
      <c r="A241" s="537" t="s">
        <v>613</v>
      </c>
      <c r="B241" s="538"/>
      <c r="C241" s="539"/>
      <c r="D241" s="420"/>
      <c r="E241" s="421"/>
      <c r="F241" s="421"/>
      <c r="G241" s="421"/>
    </row>
    <row r="242" spans="1:7" ht="25.5" customHeight="1" thickBot="1" x14ac:dyDescent="0.25">
      <c r="A242" s="552" t="s">
        <v>615</v>
      </c>
      <c r="B242" s="541"/>
      <c r="C242" s="541"/>
      <c r="D242" s="601"/>
      <c r="E242" s="543"/>
      <c r="F242" s="603"/>
      <c r="G242" s="604"/>
    </row>
    <row r="243" spans="1:7" ht="25.5" customHeight="1" thickBot="1" x14ac:dyDescent="0.25">
      <c r="A243" s="605" t="s">
        <v>616</v>
      </c>
      <c r="B243" s="533"/>
      <c r="C243" s="533"/>
      <c r="D243" s="602"/>
      <c r="E243" s="598"/>
      <c r="F243" s="599"/>
      <c r="G243" s="600"/>
    </row>
    <row r="244" spans="1:7" ht="12.75" customHeight="1" thickBot="1" x14ac:dyDescent="0.25">
      <c r="A244" s="422"/>
      <c r="B244" s="423"/>
      <c r="C244" s="423"/>
      <c r="D244" s="421"/>
      <c r="E244" s="421"/>
      <c r="F244" s="421"/>
      <c r="G244" s="424"/>
    </row>
    <row r="245" spans="1:7" ht="12.75" customHeight="1" thickBot="1" x14ac:dyDescent="0.25">
      <c r="A245" s="410"/>
      <c r="B245" s="410"/>
      <c r="C245" s="410"/>
      <c r="D245" s="416"/>
      <c r="E245" s="416"/>
      <c r="F245" s="416"/>
      <c r="G245" s="416"/>
    </row>
    <row r="246" spans="1:7" ht="12.75" customHeight="1" thickBot="1" x14ac:dyDescent="0.25">
      <c r="A246" s="537" t="s">
        <v>631</v>
      </c>
      <c r="B246" s="538"/>
      <c r="C246" s="539"/>
      <c r="D246" s="420"/>
      <c r="E246" s="421"/>
      <c r="F246" s="421"/>
      <c r="G246" s="421"/>
    </row>
    <row r="247" spans="1:7" ht="25.5" customHeight="1" thickBot="1" x14ac:dyDescent="0.25">
      <c r="A247" s="552" t="s">
        <v>617</v>
      </c>
      <c r="B247" s="541"/>
      <c r="C247" s="541"/>
      <c r="D247" s="601"/>
      <c r="E247" s="543"/>
      <c r="F247" s="603"/>
      <c r="G247" s="604"/>
    </row>
    <row r="248" spans="1:7" ht="25.5" customHeight="1" thickBot="1" x14ac:dyDescent="0.25">
      <c r="A248" s="548" t="s">
        <v>618</v>
      </c>
      <c r="B248" s="533"/>
      <c r="C248" s="533"/>
      <c r="D248" s="602"/>
      <c r="E248" s="598"/>
      <c r="F248" s="599"/>
      <c r="G248" s="600"/>
    </row>
    <row r="249" spans="1:7" ht="25.5" customHeight="1" thickBot="1" x14ac:dyDescent="0.25">
      <c r="A249" s="548" t="s">
        <v>619</v>
      </c>
      <c r="B249" s="533"/>
      <c r="C249" s="533"/>
      <c r="D249" s="602"/>
      <c r="E249" s="598"/>
      <c r="F249" s="599"/>
      <c r="G249" s="600"/>
    </row>
    <row r="250" spans="1:7" ht="25.5" customHeight="1" thickBot="1" x14ac:dyDescent="0.25">
      <c r="A250" s="548" t="s">
        <v>620</v>
      </c>
      <c r="B250" s="533"/>
      <c r="C250" s="533"/>
      <c r="D250" s="602"/>
      <c r="E250" s="598"/>
      <c r="F250" s="599"/>
      <c r="G250" s="600"/>
    </row>
    <row r="251" spans="1:7" ht="25.5" customHeight="1" thickBot="1" x14ac:dyDescent="0.25">
      <c r="A251" s="548" t="s">
        <v>621</v>
      </c>
      <c r="B251" s="533"/>
      <c r="C251" s="533"/>
      <c r="D251" s="602"/>
      <c r="E251" s="598"/>
      <c r="F251" s="599"/>
      <c r="G251" s="600"/>
    </row>
    <row r="252" spans="1:7" ht="25.5" customHeight="1" thickBot="1" x14ac:dyDescent="0.25">
      <c r="A252" s="548" t="s">
        <v>622</v>
      </c>
      <c r="B252" s="533"/>
      <c r="C252" s="533"/>
      <c r="D252" s="602"/>
      <c r="E252" s="598"/>
      <c r="F252" s="599"/>
      <c r="G252" s="600"/>
    </row>
    <row r="253" spans="1:7" ht="25.5" customHeight="1" thickBot="1" x14ac:dyDescent="0.25">
      <c r="A253" s="548" t="s">
        <v>623</v>
      </c>
      <c r="B253" s="533"/>
      <c r="C253" s="533"/>
      <c r="D253" s="602"/>
      <c r="E253" s="598"/>
      <c r="F253" s="599"/>
      <c r="G253" s="600"/>
    </row>
    <row r="254" spans="1:7" ht="25.5" customHeight="1" thickBot="1" x14ac:dyDescent="0.25">
      <c r="A254" s="548" t="s">
        <v>624</v>
      </c>
      <c r="B254" s="533"/>
      <c r="C254" s="533"/>
      <c r="D254" s="602"/>
      <c r="E254" s="598"/>
      <c r="F254" s="599"/>
      <c r="G254" s="600"/>
    </row>
    <row r="255" spans="1:7" ht="25.5" customHeight="1" thickBot="1" x14ac:dyDescent="0.25">
      <c r="A255" s="548" t="s">
        <v>625</v>
      </c>
      <c r="B255" s="533"/>
      <c r="C255" s="533"/>
      <c r="D255" s="602"/>
      <c r="E255" s="598"/>
      <c r="F255" s="599"/>
      <c r="G255" s="600"/>
    </row>
    <row r="256" spans="1:7" ht="25.5" customHeight="1" thickBot="1" x14ac:dyDescent="0.25">
      <c r="A256" s="548" t="s">
        <v>634</v>
      </c>
      <c r="B256" s="533"/>
      <c r="C256" s="533"/>
      <c r="D256" s="602"/>
      <c r="E256" s="598"/>
      <c r="F256" s="599"/>
      <c r="G256" s="600"/>
    </row>
    <row r="257" spans="1:7" ht="25.5" customHeight="1" thickBot="1" x14ac:dyDescent="0.25">
      <c r="A257" s="548" t="s">
        <v>626</v>
      </c>
      <c r="B257" s="533"/>
      <c r="C257" s="533"/>
      <c r="D257" s="602"/>
      <c r="E257" s="598"/>
      <c r="F257" s="599"/>
      <c r="G257" s="600"/>
    </row>
    <row r="258" spans="1:7" ht="25.5" customHeight="1" thickBot="1" x14ac:dyDescent="0.25">
      <c r="A258" s="548" t="s">
        <v>627</v>
      </c>
      <c r="B258" s="533"/>
      <c r="C258" s="533"/>
      <c r="D258" s="602"/>
      <c r="E258" s="598"/>
      <c r="F258" s="599"/>
      <c r="G258" s="600"/>
    </row>
    <row r="259" spans="1:7" ht="25.5" customHeight="1" thickBot="1" x14ac:dyDescent="0.25">
      <c r="A259" s="548" t="s">
        <v>628</v>
      </c>
      <c r="B259" s="533"/>
      <c r="C259" s="533"/>
      <c r="D259" s="602"/>
      <c r="E259" s="598"/>
      <c r="F259" s="599"/>
      <c r="G259" s="600"/>
    </row>
    <row r="260" spans="1:7" ht="25.5" customHeight="1" thickBot="1" x14ac:dyDescent="0.25">
      <c r="A260" s="545" t="s">
        <v>635</v>
      </c>
      <c r="B260" s="546"/>
      <c r="C260" s="546"/>
      <c r="D260" s="602"/>
      <c r="E260" s="598"/>
      <c r="F260" s="599"/>
      <c r="G260" s="600"/>
    </row>
    <row r="261" spans="1:7" ht="25.5" customHeight="1" thickBot="1" x14ac:dyDescent="0.25">
      <c r="A261" s="548" t="s">
        <v>636</v>
      </c>
      <c r="B261" s="533"/>
      <c r="C261" s="533"/>
      <c r="D261" s="602"/>
      <c r="E261" s="598"/>
      <c r="F261" s="599"/>
      <c r="G261" s="600"/>
    </row>
    <row r="262" spans="1:7" ht="12.75" customHeight="1" thickBot="1" x14ac:dyDescent="0.25">
      <c r="A262" s="422"/>
      <c r="B262" s="423"/>
      <c r="C262" s="423"/>
      <c r="D262" s="421"/>
      <c r="E262" s="421"/>
      <c r="F262" s="421"/>
      <c r="G262" s="424"/>
    </row>
    <row r="263" spans="1:7" ht="12.75" customHeight="1" thickBot="1" x14ac:dyDescent="0.25">
      <c r="A263" s="419"/>
      <c r="B263" s="419"/>
      <c r="C263" s="419"/>
      <c r="D263" s="416"/>
      <c r="E263" s="416"/>
      <c r="F263" s="416"/>
      <c r="G263" s="416"/>
    </row>
    <row r="264" spans="1:7" ht="12.75" customHeight="1" thickBot="1" x14ac:dyDescent="0.25">
      <c r="A264" s="537" t="s">
        <v>630</v>
      </c>
      <c r="B264" s="538"/>
      <c r="C264" s="539"/>
      <c r="D264" s="420"/>
      <c r="E264" s="421"/>
      <c r="F264" s="421"/>
      <c r="G264" s="421"/>
    </row>
    <row r="265" spans="1:7" ht="25.5" customHeight="1" thickBot="1" x14ac:dyDescent="0.25">
      <c r="A265" s="552" t="s">
        <v>629</v>
      </c>
      <c r="B265" s="541"/>
      <c r="C265" s="541"/>
      <c r="D265" s="601"/>
      <c r="E265" s="543"/>
      <c r="F265" s="603"/>
      <c r="G265" s="604"/>
    </row>
    <row r="266" spans="1:7" ht="25.5" customHeight="1" thickBot="1" x14ac:dyDescent="0.25">
      <c r="A266" s="548" t="s">
        <v>614</v>
      </c>
      <c r="B266" s="533"/>
      <c r="C266" s="533"/>
      <c r="D266" s="602"/>
      <c r="E266" s="598"/>
      <c r="F266" s="599"/>
      <c r="G266" s="600"/>
    </row>
    <row r="267" spans="1:7" ht="12.75" customHeight="1" thickBot="1" x14ac:dyDescent="0.25">
      <c r="A267" s="422"/>
      <c r="B267" s="423"/>
      <c r="C267" s="423"/>
      <c r="D267" s="421"/>
      <c r="E267" s="421"/>
      <c r="F267" s="421"/>
      <c r="G267" s="424"/>
    </row>
    <row r="268" spans="1:7" ht="12.75" customHeight="1" thickBot="1" x14ac:dyDescent="0.25">
      <c r="A268" s="410"/>
      <c r="B268" s="410"/>
      <c r="C268" s="410"/>
      <c r="D268" s="416"/>
      <c r="E268" s="416"/>
      <c r="F268" s="416"/>
      <c r="G268" s="416"/>
    </row>
    <row r="269" spans="1:7" ht="12.75" customHeight="1" thickBot="1" x14ac:dyDescent="0.25">
      <c r="A269" s="537" t="s">
        <v>632</v>
      </c>
      <c r="B269" s="538"/>
      <c r="C269" s="539"/>
      <c r="D269" s="420"/>
      <c r="E269" s="421"/>
      <c r="F269" s="421"/>
      <c r="G269" s="421"/>
    </row>
    <row r="270" spans="1:7" ht="25.5" customHeight="1" thickBot="1" x14ac:dyDescent="0.25">
      <c r="A270" s="552" t="s">
        <v>615</v>
      </c>
      <c r="B270" s="541"/>
      <c r="C270" s="541"/>
      <c r="D270" s="601"/>
      <c r="E270" s="543"/>
      <c r="F270" s="603"/>
      <c r="G270" s="604"/>
    </row>
    <row r="271" spans="1:7" ht="25.5" customHeight="1" thickBot="1" x14ac:dyDescent="0.25">
      <c r="A271" s="548" t="s">
        <v>616</v>
      </c>
      <c r="B271" s="533"/>
      <c r="C271" s="533"/>
      <c r="D271" s="602"/>
      <c r="E271" s="598"/>
      <c r="F271" s="599"/>
      <c r="G271" s="600"/>
    </row>
    <row r="272" spans="1:7" ht="12.75" customHeight="1" thickBot="1" x14ac:dyDescent="0.25">
      <c r="A272" s="422"/>
      <c r="B272" s="423"/>
      <c r="C272" s="423"/>
      <c r="D272" s="421"/>
      <c r="E272" s="421"/>
      <c r="F272" s="421"/>
      <c r="G272" s="424"/>
    </row>
    <row r="273" spans="1:7" ht="12.75" customHeight="1" thickBot="1" x14ac:dyDescent="0.25">
      <c r="A273" s="410"/>
      <c r="B273" s="410"/>
      <c r="C273" s="410"/>
      <c r="D273" s="416"/>
      <c r="E273" s="416"/>
      <c r="F273" s="416"/>
      <c r="G273" s="416"/>
    </row>
    <row r="274" spans="1:7" ht="12.75" customHeight="1" thickBot="1" x14ac:dyDescent="0.25">
      <c r="A274" s="537" t="s">
        <v>633</v>
      </c>
      <c r="B274" s="538"/>
      <c r="C274" s="539"/>
      <c r="D274" s="420"/>
      <c r="E274" s="421"/>
      <c r="F274" s="421"/>
      <c r="G274" s="421"/>
    </row>
    <row r="275" spans="1:7" ht="25.5" customHeight="1" thickBot="1" x14ac:dyDescent="0.25">
      <c r="A275" s="540" t="s">
        <v>617</v>
      </c>
      <c r="B275" s="541"/>
      <c r="C275" s="541"/>
      <c r="D275" s="601"/>
      <c r="E275" s="543"/>
      <c r="F275" s="603"/>
      <c r="G275" s="604"/>
    </row>
    <row r="276" spans="1:7" ht="25.5" customHeight="1" thickBot="1" x14ac:dyDescent="0.25">
      <c r="A276" s="532" t="s">
        <v>618</v>
      </c>
      <c r="B276" s="533"/>
      <c r="C276" s="533"/>
      <c r="D276" s="602"/>
      <c r="E276" s="598"/>
      <c r="F276" s="599"/>
      <c r="G276" s="600"/>
    </row>
    <row r="277" spans="1:7" ht="25.5" customHeight="1" thickBot="1" x14ac:dyDescent="0.25">
      <c r="A277" s="532" t="s">
        <v>619</v>
      </c>
      <c r="B277" s="533"/>
      <c r="C277" s="533"/>
      <c r="D277" s="602"/>
      <c r="E277" s="598"/>
      <c r="F277" s="599"/>
      <c r="G277" s="600"/>
    </row>
    <row r="278" spans="1:7" ht="25.5" customHeight="1" thickBot="1" x14ac:dyDescent="0.25">
      <c r="A278" s="532" t="s">
        <v>620</v>
      </c>
      <c r="B278" s="533"/>
      <c r="C278" s="533"/>
      <c r="D278" s="602"/>
      <c r="E278" s="598"/>
      <c r="F278" s="599"/>
      <c r="G278" s="600"/>
    </row>
    <row r="279" spans="1:7" ht="25.5" customHeight="1" thickBot="1" x14ac:dyDescent="0.25">
      <c r="A279" s="532" t="s">
        <v>621</v>
      </c>
      <c r="B279" s="533"/>
      <c r="C279" s="533"/>
      <c r="D279" s="602"/>
      <c r="E279" s="598"/>
      <c r="F279" s="599"/>
      <c r="G279" s="600"/>
    </row>
    <row r="280" spans="1:7" ht="25.5" customHeight="1" thickBot="1" x14ac:dyDescent="0.25">
      <c r="A280" s="532" t="s">
        <v>622</v>
      </c>
      <c r="B280" s="533"/>
      <c r="C280" s="533"/>
      <c r="D280" s="602"/>
      <c r="E280" s="598"/>
      <c r="F280" s="599"/>
      <c r="G280" s="600"/>
    </row>
    <row r="281" spans="1:7" ht="25.5" customHeight="1" thickBot="1" x14ac:dyDescent="0.25">
      <c r="A281" s="532" t="s">
        <v>623</v>
      </c>
      <c r="B281" s="533"/>
      <c r="C281" s="533"/>
      <c r="D281" s="602"/>
      <c r="E281" s="598"/>
      <c r="F281" s="599"/>
      <c r="G281" s="600"/>
    </row>
    <row r="282" spans="1:7" ht="25.5" customHeight="1" thickBot="1" x14ac:dyDescent="0.25">
      <c r="A282" s="532" t="s">
        <v>624</v>
      </c>
      <c r="B282" s="533"/>
      <c r="C282" s="533"/>
      <c r="D282" s="602"/>
      <c r="E282" s="598"/>
      <c r="F282" s="599"/>
      <c r="G282" s="600"/>
    </row>
    <row r="283" spans="1:7" ht="25.5" customHeight="1" thickBot="1" x14ac:dyDescent="0.25">
      <c r="A283" s="532" t="s">
        <v>625</v>
      </c>
      <c r="B283" s="533"/>
      <c r="C283" s="533"/>
      <c r="D283" s="602"/>
      <c r="E283" s="598"/>
      <c r="F283" s="599"/>
      <c r="G283" s="600"/>
    </row>
    <row r="284" spans="1:7" ht="25.5" customHeight="1" thickBot="1" x14ac:dyDescent="0.25">
      <c r="A284" s="548" t="s">
        <v>634</v>
      </c>
      <c r="B284" s="533"/>
      <c r="C284" s="533"/>
      <c r="D284" s="602"/>
      <c r="E284" s="598"/>
      <c r="F284" s="599"/>
      <c r="G284" s="600"/>
    </row>
    <row r="285" spans="1:7" ht="25.5" customHeight="1" thickBot="1" x14ac:dyDescent="0.25">
      <c r="A285" s="532" t="s">
        <v>626</v>
      </c>
      <c r="B285" s="533"/>
      <c r="C285" s="533"/>
      <c r="D285" s="602"/>
      <c r="E285" s="598"/>
      <c r="F285" s="599"/>
      <c r="G285" s="600"/>
    </row>
    <row r="286" spans="1:7" ht="25.5" customHeight="1" thickBot="1" x14ac:dyDescent="0.25">
      <c r="A286" s="532" t="s">
        <v>627</v>
      </c>
      <c r="B286" s="533"/>
      <c r="C286" s="533"/>
      <c r="D286" s="602"/>
      <c r="E286" s="598"/>
      <c r="F286" s="599"/>
      <c r="G286" s="600"/>
    </row>
    <row r="287" spans="1:7" ht="25.5" customHeight="1" thickBot="1" x14ac:dyDescent="0.25">
      <c r="A287" s="532" t="s">
        <v>628</v>
      </c>
      <c r="B287" s="533"/>
      <c r="C287" s="533"/>
      <c r="D287" s="602"/>
      <c r="E287" s="598"/>
      <c r="F287" s="599"/>
      <c r="G287" s="600"/>
    </row>
    <row r="288" spans="1:7" ht="13.5" thickBot="1" x14ac:dyDescent="0.25">
      <c r="A288" s="425"/>
      <c r="B288" s="426"/>
      <c r="C288" s="426"/>
      <c r="D288" s="426"/>
      <c r="E288" s="426"/>
      <c r="F288" s="426"/>
      <c r="G288" s="427"/>
    </row>
  </sheetData>
  <sheetProtection selectLockedCells="1" selectUnlockedCells="1"/>
  <mergeCells count="166">
    <mergeCell ref="A130:B130"/>
    <mergeCell ref="C130:D130"/>
    <mergeCell ref="E130:F130"/>
    <mergeCell ref="A135:B135"/>
    <mergeCell ref="C135:D135"/>
    <mergeCell ref="E135:F135"/>
    <mergeCell ref="A136:B136"/>
    <mergeCell ref="C136:D136"/>
    <mergeCell ref="E136:F136"/>
    <mergeCell ref="E133:F133"/>
    <mergeCell ref="A134:B134"/>
    <mergeCell ref="C134:D134"/>
    <mergeCell ref="E134:F134"/>
    <mergeCell ref="A137:B137"/>
    <mergeCell ref="C137:D137"/>
    <mergeCell ref="E137:F137"/>
    <mergeCell ref="A138:B138"/>
    <mergeCell ref="C138:D138"/>
    <mergeCell ref="E138:F138"/>
    <mergeCell ref="E123:F123"/>
    <mergeCell ref="A124:B124"/>
    <mergeCell ref="C124:D124"/>
    <mergeCell ref="E124:F124"/>
    <mergeCell ref="A125:B125"/>
    <mergeCell ref="C125:D125"/>
    <mergeCell ref="E125:F125"/>
    <mergeCell ref="A126:B126"/>
    <mergeCell ref="C126:D126"/>
    <mergeCell ref="E126:F126"/>
    <mergeCell ref="A131:B131"/>
    <mergeCell ref="C131:D131"/>
    <mergeCell ref="E131:F131"/>
    <mergeCell ref="A132:B132"/>
    <mergeCell ref="C132:D132"/>
    <mergeCell ref="E132:F132"/>
    <mergeCell ref="A133:B133"/>
    <mergeCell ref="C133:D133"/>
    <mergeCell ref="E197:G197"/>
    <mergeCell ref="A199:G202"/>
    <mergeCell ref="D187:G187"/>
    <mergeCell ref="B189:G189"/>
    <mergeCell ref="B191:G191"/>
    <mergeCell ref="A227:D227"/>
    <mergeCell ref="A216:G220"/>
    <mergeCell ref="A206:G206"/>
    <mergeCell ref="A205:G205"/>
    <mergeCell ref="A208:G208"/>
    <mergeCell ref="A210:G211"/>
    <mergeCell ref="E227:G227"/>
    <mergeCell ref="E225:G225"/>
    <mergeCell ref="E226:G226"/>
    <mergeCell ref="A222:G224"/>
    <mergeCell ref="A225:D225"/>
    <mergeCell ref="A226:D226"/>
    <mergeCell ref="A185:G185"/>
    <mergeCell ref="D177:E177"/>
    <mergeCell ref="D178:E178"/>
    <mergeCell ref="A159:G159"/>
    <mergeCell ref="A140:G141"/>
    <mergeCell ref="A142:G143"/>
    <mergeCell ref="D179:E179"/>
    <mergeCell ref="A175:G175"/>
    <mergeCell ref="A182:G182"/>
    <mergeCell ref="A160:G160"/>
    <mergeCell ref="A162:G164"/>
    <mergeCell ref="A165:G170"/>
    <mergeCell ref="A171:G172"/>
    <mergeCell ref="D18:F18"/>
    <mergeCell ref="A119:G119"/>
    <mergeCell ref="A120:B121"/>
    <mergeCell ref="C120:D120"/>
    <mergeCell ref="E120:G120"/>
    <mergeCell ref="C121:D121"/>
    <mergeCell ref="E121:F121"/>
    <mergeCell ref="A122:B122"/>
    <mergeCell ref="C122:D122"/>
    <mergeCell ref="E122:F122"/>
    <mergeCell ref="A123:B123"/>
    <mergeCell ref="C123:D123"/>
    <mergeCell ref="A247:D247"/>
    <mergeCell ref="A242:D242"/>
    <mergeCell ref="A243:D243"/>
    <mergeCell ref="A237:D237"/>
    <mergeCell ref="A238:D238"/>
    <mergeCell ref="E237:G237"/>
    <mergeCell ref="E238:G238"/>
    <mergeCell ref="E242:G242"/>
    <mergeCell ref="E243:G243"/>
    <mergeCell ref="E247:G247"/>
    <mergeCell ref="A236:G236"/>
    <mergeCell ref="A241:C241"/>
    <mergeCell ref="A246:C246"/>
    <mergeCell ref="A127:B127"/>
    <mergeCell ref="C127:D127"/>
    <mergeCell ref="E127:F127"/>
    <mergeCell ref="A128:B128"/>
    <mergeCell ref="C128:D128"/>
    <mergeCell ref="E128:F128"/>
    <mergeCell ref="A129:B129"/>
    <mergeCell ref="C129:D129"/>
    <mergeCell ref="E129:F129"/>
    <mergeCell ref="A248:D248"/>
    <mergeCell ref="A249:D249"/>
    <mergeCell ref="A250:D250"/>
    <mergeCell ref="A251:D251"/>
    <mergeCell ref="A252:D252"/>
    <mergeCell ref="E248:G248"/>
    <mergeCell ref="E249:G249"/>
    <mergeCell ref="E250:G250"/>
    <mergeCell ref="E251:G251"/>
    <mergeCell ref="E252:G252"/>
    <mergeCell ref="E284:G284"/>
    <mergeCell ref="E285:G285"/>
    <mergeCell ref="E286:G286"/>
    <mergeCell ref="E277:G277"/>
    <mergeCell ref="E278:G278"/>
    <mergeCell ref="E279:G279"/>
    <mergeCell ref="E280:G280"/>
    <mergeCell ref="E281:G281"/>
    <mergeCell ref="E275:G275"/>
    <mergeCell ref="E276:G276"/>
    <mergeCell ref="A264:C264"/>
    <mergeCell ref="A269:C269"/>
    <mergeCell ref="A274:C274"/>
    <mergeCell ref="A255:D255"/>
    <mergeCell ref="A256:D256"/>
    <mergeCell ref="A257:D257"/>
    <mergeCell ref="A258:D258"/>
    <mergeCell ref="A259:D259"/>
    <mergeCell ref="A260:D260"/>
    <mergeCell ref="A261:D261"/>
    <mergeCell ref="E258:G258"/>
    <mergeCell ref="E259:G259"/>
    <mergeCell ref="E260:G260"/>
    <mergeCell ref="E261:G261"/>
    <mergeCell ref="A253:D253"/>
    <mergeCell ref="A254:D254"/>
    <mergeCell ref="E253:G253"/>
    <mergeCell ref="E254:G254"/>
    <mergeCell ref="E255:G255"/>
    <mergeCell ref="E256:G256"/>
    <mergeCell ref="E257:G257"/>
    <mergeCell ref="E287:G287"/>
    <mergeCell ref="A270:D270"/>
    <mergeCell ref="A271:D271"/>
    <mergeCell ref="A266:D266"/>
    <mergeCell ref="A265:D265"/>
    <mergeCell ref="E265:G265"/>
    <mergeCell ref="E266:G266"/>
    <mergeCell ref="E270:G270"/>
    <mergeCell ref="E271:G271"/>
    <mergeCell ref="A287:D287"/>
    <mergeCell ref="A275:D275"/>
    <mergeCell ref="A276:D276"/>
    <mergeCell ref="A277:D277"/>
    <mergeCell ref="A278:D278"/>
    <mergeCell ref="A279:D279"/>
    <mergeCell ref="A280:D280"/>
    <mergeCell ref="A281:D281"/>
    <mergeCell ref="A282:D282"/>
    <mergeCell ref="A283:D283"/>
    <mergeCell ref="A284:D284"/>
    <mergeCell ref="A285:D285"/>
    <mergeCell ref="A286:D286"/>
    <mergeCell ref="E282:G282"/>
    <mergeCell ref="E283:G283"/>
  </mergeCells>
  <pageMargins left="0.78749999999999998" right="0.78749999999999998" top="1.05277777777778" bottom="1.05277777777778" header="0.78749999999999998" footer="0.78749999999999998"/>
  <pageSetup scale="52" firstPageNumber="0" orientation="portrait" horizontalDpi="300" verticalDpi="300" r:id="rId1"/>
  <headerFooter>
    <oddFooter>&amp;C
propuesta válido por 15 días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9"/>
  <sheetViews>
    <sheetView topLeftCell="B1" workbookViewId="0">
      <pane ySplit="1" topLeftCell="A2" activePane="bottomLeft" state="frozen"/>
      <selection activeCell="B1" sqref="B1"/>
      <selection pane="bottomLeft" activeCell="B2" sqref="B2"/>
    </sheetView>
  </sheetViews>
  <sheetFormatPr defaultRowHeight="10.5" x14ac:dyDescent="0.15"/>
  <cols>
    <col min="1" max="1" width="0.42578125" style="379" hidden="1" customWidth="1"/>
    <col min="2" max="2" width="46.28515625" style="379" bestFit="1" customWidth="1"/>
    <col min="3" max="3" width="26.140625" style="379" bestFit="1" customWidth="1"/>
    <col min="4" max="4" width="75.5703125" style="379" bestFit="1" customWidth="1"/>
    <col min="5" max="16384" width="9.140625" style="379"/>
  </cols>
  <sheetData>
    <row r="1" spans="1:4" ht="13.5" thickBot="1" x14ac:dyDescent="0.25">
      <c r="B1" s="614" t="s">
        <v>513</v>
      </c>
      <c r="C1" s="615"/>
      <c r="D1" s="616"/>
    </row>
    <row r="3" spans="1:4" ht="13.5" customHeight="1" thickBot="1" x14ac:dyDescent="0.2">
      <c r="B3" s="609" t="s">
        <v>394</v>
      </c>
      <c r="C3" s="610"/>
      <c r="D3" s="611"/>
    </row>
    <row r="4" spans="1:4" ht="11.25" thickTop="1" x14ac:dyDescent="0.15">
      <c r="A4" s="380" t="s">
        <v>512</v>
      </c>
      <c r="B4" s="380" t="s">
        <v>395</v>
      </c>
      <c r="C4" s="380" t="s">
        <v>396</v>
      </c>
      <c r="D4" s="380" t="s">
        <v>397</v>
      </c>
    </row>
    <row r="5" spans="1:4" x14ac:dyDescent="0.15">
      <c r="A5" s="381" t="s">
        <v>398</v>
      </c>
      <c r="B5" s="381" t="s">
        <v>394</v>
      </c>
      <c r="C5" s="391" t="str">
        <f>IF(Cust_Company="",Cust_FirstName&amp;" "&amp;Cust_LastName,Cust_Company)</f>
        <v xml:space="preserve"> </v>
      </c>
      <c r="D5" s="381" t="s">
        <v>399</v>
      </c>
    </row>
    <row r="6" spans="1:4" x14ac:dyDescent="0.15">
      <c r="A6" s="382" t="s">
        <v>400</v>
      </c>
      <c r="B6" s="430" t="s">
        <v>637</v>
      </c>
      <c r="C6" s="373"/>
      <c r="D6" s="382" t="s">
        <v>401</v>
      </c>
    </row>
    <row r="7" spans="1:4" x14ac:dyDescent="0.15">
      <c r="A7" s="382" t="s">
        <v>402</v>
      </c>
      <c r="B7" s="430" t="s">
        <v>638</v>
      </c>
      <c r="C7" s="373"/>
      <c r="D7" s="382" t="s">
        <v>403</v>
      </c>
    </row>
    <row r="8" spans="1:4" x14ac:dyDescent="0.15">
      <c r="A8" s="382" t="s">
        <v>404</v>
      </c>
      <c r="B8" s="382" t="s">
        <v>24</v>
      </c>
      <c r="C8" s="383" t="str">
        <f>IF(Cust_Address="","",Cust_Address)</f>
        <v/>
      </c>
      <c r="D8" s="405" t="s">
        <v>560</v>
      </c>
    </row>
    <row r="9" spans="1:4" x14ac:dyDescent="0.15">
      <c r="A9" s="382" t="s">
        <v>405</v>
      </c>
      <c r="B9" s="382" t="s">
        <v>25</v>
      </c>
      <c r="C9" s="383" t="str">
        <f>IF(Cust_City="","",Cust_City)</f>
        <v/>
      </c>
      <c r="D9" s="405" t="s">
        <v>561</v>
      </c>
    </row>
    <row r="10" spans="1:4" x14ac:dyDescent="0.15">
      <c r="A10" s="382" t="s">
        <v>406</v>
      </c>
      <c r="B10" s="382" t="s">
        <v>26</v>
      </c>
      <c r="C10" s="383" t="str">
        <f>IF(Cust_State="","",Cust_State)</f>
        <v/>
      </c>
      <c r="D10" s="405" t="s">
        <v>562</v>
      </c>
    </row>
    <row r="11" spans="1:4" x14ac:dyDescent="0.15">
      <c r="A11" s="382" t="s">
        <v>407</v>
      </c>
      <c r="B11" s="382" t="s">
        <v>27</v>
      </c>
      <c r="C11" s="383" t="str">
        <f>IF(Cust_Zip="","",Cust_Zip)</f>
        <v/>
      </c>
      <c r="D11" s="405" t="s">
        <v>563</v>
      </c>
    </row>
    <row r="12" spans="1:4" x14ac:dyDescent="0.15">
      <c r="A12" s="382" t="s">
        <v>408</v>
      </c>
      <c r="B12" s="382" t="s">
        <v>480</v>
      </c>
      <c r="C12" s="433"/>
      <c r="D12" s="382" t="s">
        <v>409</v>
      </c>
    </row>
    <row r="13" spans="1:4" x14ac:dyDescent="0.15">
      <c r="A13" s="382" t="s">
        <v>410</v>
      </c>
      <c r="B13" s="382" t="s">
        <v>479</v>
      </c>
      <c r="C13" s="433"/>
      <c r="D13" s="382" t="s">
        <v>411</v>
      </c>
    </row>
    <row r="14" spans="1:4" x14ac:dyDescent="0.15">
      <c r="A14" s="382" t="s">
        <v>412</v>
      </c>
      <c r="B14" s="382" t="s">
        <v>481</v>
      </c>
      <c r="C14" s="135" t="s">
        <v>413</v>
      </c>
      <c r="D14" s="382" t="s">
        <v>414</v>
      </c>
    </row>
    <row r="15" spans="1:4" x14ac:dyDescent="0.15">
      <c r="A15" s="382" t="s">
        <v>415</v>
      </c>
      <c r="B15" s="382" t="s">
        <v>482</v>
      </c>
      <c r="C15" s="434"/>
      <c r="D15" s="382" t="s">
        <v>416</v>
      </c>
    </row>
    <row r="16" spans="1:4" x14ac:dyDescent="0.15">
      <c r="A16" s="382" t="s">
        <v>417</v>
      </c>
      <c r="B16" s="382" t="s">
        <v>483</v>
      </c>
      <c r="C16" s="434"/>
      <c r="D16" s="418" t="s">
        <v>585</v>
      </c>
    </row>
    <row r="17" spans="1:4" x14ac:dyDescent="0.15">
      <c r="A17" s="382" t="s">
        <v>418</v>
      </c>
      <c r="B17" s="382" t="s">
        <v>484</v>
      </c>
      <c r="C17" s="434"/>
      <c r="D17" s="382" t="s">
        <v>419</v>
      </c>
    </row>
    <row r="18" spans="1:4" x14ac:dyDescent="0.15">
      <c r="A18" s="382" t="s">
        <v>420</v>
      </c>
      <c r="B18" s="382" t="s">
        <v>485</v>
      </c>
      <c r="C18" s="396">
        <f>Cust_LeaseTermYears</f>
        <v>15</v>
      </c>
      <c r="D18" s="405" t="s">
        <v>564</v>
      </c>
    </row>
    <row r="19" spans="1:4" x14ac:dyDescent="0.15">
      <c r="A19" s="382" t="s">
        <v>487</v>
      </c>
      <c r="B19" s="382" t="s">
        <v>258</v>
      </c>
      <c r="C19" s="394">
        <f>Cust_SavingsRate</f>
        <v>0.1</v>
      </c>
      <c r="D19" s="382" t="s">
        <v>489</v>
      </c>
    </row>
    <row r="20" spans="1:4" x14ac:dyDescent="0.15">
      <c r="A20" s="382" t="s">
        <v>421</v>
      </c>
      <c r="B20" s="382" t="s">
        <v>486</v>
      </c>
      <c r="C20" s="392">
        <f>Sys_kWhPerYear</f>
        <v>0</v>
      </c>
      <c r="D20" s="382" t="s">
        <v>422</v>
      </c>
    </row>
    <row r="21" spans="1:4" x14ac:dyDescent="0.15">
      <c r="A21" s="382" t="s">
        <v>423</v>
      </c>
      <c r="B21" s="382" t="s">
        <v>30</v>
      </c>
      <c r="C21" s="392">
        <f>Cust_InitialPymt</f>
        <v>0</v>
      </c>
      <c r="D21" s="405" t="s">
        <v>559</v>
      </c>
    </row>
    <row r="22" spans="1:4" x14ac:dyDescent="0.15">
      <c r="A22" s="382" t="s">
        <v>424</v>
      </c>
      <c r="B22" s="382" t="s">
        <v>488</v>
      </c>
      <c r="C22" s="392" t="str">
        <f>IF(Sys_kWhPerYear=0,"",Savings!AD6/12)</f>
        <v/>
      </c>
      <c r="D22" s="405" t="s">
        <v>558</v>
      </c>
    </row>
    <row r="23" spans="1:4" x14ac:dyDescent="0.15">
      <c r="A23" s="384" t="s">
        <v>425</v>
      </c>
      <c r="B23" s="384" t="s">
        <v>490</v>
      </c>
      <c r="C23" s="393">
        <f>FinYrIncr</f>
        <v>3.5000000000000003E-2</v>
      </c>
      <c r="D23" s="404" t="s">
        <v>565</v>
      </c>
    </row>
    <row r="24" spans="1:4" x14ac:dyDescent="0.15">
      <c r="A24" s="385"/>
      <c r="B24" s="390"/>
      <c r="C24" s="386"/>
      <c r="D24" s="387"/>
    </row>
    <row r="25" spans="1:4" x14ac:dyDescent="0.15">
      <c r="A25" s="389"/>
      <c r="B25" s="395" t="s">
        <v>426</v>
      </c>
      <c r="C25" s="388"/>
      <c r="D25" s="387"/>
    </row>
    <row r="26" spans="1:4" x14ac:dyDescent="0.15">
      <c r="A26" s="381" t="s">
        <v>427</v>
      </c>
      <c r="B26" s="381" t="s">
        <v>492</v>
      </c>
      <c r="C26" s="435"/>
      <c r="D26" s="381" t="s">
        <v>428</v>
      </c>
    </row>
    <row r="27" spans="1:4" x14ac:dyDescent="0.15">
      <c r="A27" s="384" t="s">
        <v>429</v>
      </c>
      <c r="B27" s="431" t="s">
        <v>639</v>
      </c>
      <c r="C27" s="436"/>
      <c r="D27" s="384" t="s">
        <v>430</v>
      </c>
    </row>
    <row r="28" spans="1:4" x14ac:dyDescent="0.15">
      <c r="A28" s="385"/>
      <c r="B28" s="390"/>
      <c r="C28" s="390"/>
      <c r="D28" s="387"/>
    </row>
    <row r="29" spans="1:4" x14ac:dyDescent="0.15">
      <c r="A29" s="389"/>
      <c r="B29" s="395" t="s">
        <v>431</v>
      </c>
      <c r="C29" s="390"/>
      <c r="D29" s="387"/>
    </row>
    <row r="30" spans="1:4" x14ac:dyDescent="0.15">
      <c r="A30" s="381" t="s">
        <v>432</v>
      </c>
      <c r="B30" s="381" t="s">
        <v>493</v>
      </c>
      <c r="C30" s="437"/>
      <c r="D30" s="381" t="s">
        <v>433</v>
      </c>
    </row>
    <row r="31" spans="1:4" x14ac:dyDescent="0.15">
      <c r="A31" s="382" t="s">
        <v>434</v>
      </c>
      <c r="B31" s="382" t="s">
        <v>494</v>
      </c>
      <c r="C31" s="438"/>
      <c r="D31" s="418" t="s">
        <v>586</v>
      </c>
    </row>
    <row r="32" spans="1:4" x14ac:dyDescent="0.15">
      <c r="A32" s="382" t="s">
        <v>435</v>
      </c>
      <c r="B32" s="382" t="s">
        <v>500</v>
      </c>
      <c r="C32" s="434"/>
      <c r="D32" s="382" t="s">
        <v>436</v>
      </c>
    </row>
    <row r="33" spans="1:4" x14ac:dyDescent="0.15">
      <c r="A33" s="382" t="s">
        <v>437</v>
      </c>
      <c r="B33" s="382" t="s">
        <v>496</v>
      </c>
      <c r="C33" s="433"/>
      <c r="D33" s="382" t="s">
        <v>438</v>
      </c>
    </row>
    <row r="34" spans="1:4" x14ac:dyDescent="0.15">
      <c r="A34" s="382" t="s">
        <v>439</v>
      </c>
      <c r="B34" s="382" t="s">
        <v>497</v>
      </c>
      <c r="C34" s="433"/>
      <c r="D34" s="382" t="s">
        <v>440</v>
      </c>
    </row>
    <row r="35" spans="1:4" x14ac:dyDescent="0.15">
      <c r="A35" s="382" t="s">
        <v>441</v>
      </c>
      <c r="B35" s="382" t="s">
        <v>498</v>
      </c>
      <c r="C35" s="433"/>
      <c r="D35" s="418" t="s">
        <v>571</v>
      </c>
    </row>
    <row r="36" spans="1:4" x14ac:dyDescent="0.15">
      <c r="A36" s="382" t="s">
        <v>442</v>
      </c>
      <c r="B36" s="382" t="s">
        <v>499</v>
      </c>
      <c r="C36" s="434"/>
      <c r="D36" s="382" t="s">
        <v>443</v>
      </c>
    </row>
    <row r="37" spans="1:4" x14ac:dyDescent="0.15">
      <c r="A37" s="382" t="s">
        <v>444</v>
      </c>
      <c r="B37" s="382" t="s">
        <v>495</v>
      </c>
      <c r="C37" s="433"/>
      <c r="D37" s="382" t="s">
        <v>445</v>
      </c>
    </row>
    <row r="38" spans="1:4" x14ac:dyDescent="0.15">
      <c r="A38" s="382" t="s">
        <v>446</v>
      </c>
      <c r="B38" s="382" t="s">
        <v>573</v>
      </c>
      <c r="C38" s="434"/>
      <c r="D38" s="382" t="s">
        <v>447</v>
      </c>
    </row>
    <row r="39" spans="1:4" x14ac:dyDescent="0.15">
      <c r="A39" s="382" t="s">
        <v>448</v>
      </c>
      <c r="B39" s="382" t="s">
        <v>574</v>
      </c>
      <c r="C39" s="438"/>
      <c r="D39" s="418" t="s">
        <v>587</v>
      </c>
    </row>
    <row r="40" spans="1:4" x14ac:dyDescent="0.15">
      <c r="A40" s="382" t="s">
        <v>449</v>
      </c>
      <c r="B40" s="382" t="s">
        <v>575</v>
      </c>
      <c r="C40" s="434"/>
      <c r="D40" s="382" t="s">
        <v>450</v>
      </c>
    </row>
    <row r="41" spans="1:4" x14ac:dyDescent="0.15">
      <c r="A41" s="382" t="s">
        <v>451</v>
      </c>
      <c r="B41" s="382" t="s">
        <v>576</v>
      </c>
      <c r="C41" s="433"/>
      <c r="D41" s="382" t="s">
        <v>452</v>
      </c>
    </row>
    <row r="42" spans="1:4" x14ac:dyDescent="0.15">
      <c r="A42" s="382" t="s">
        <v>453</v>
      </c>
      <c r="B42" s="382" t="s">
        <v>577</v>
      </c>
      <c r="C42" s="433"/>
      <c r="D42" s="382" t="s">
        <v>454</v>
      </c>
    </row>
    <row r="43" spans="1:4" x14ac:dyDescent="0.15">
      <c r="A43" s="382" t="s">
        <v>455</v>
      </c>
      <c r="B43" s="382" t="s">
        <v>578</v>
      </c>
      <c r="C43" s="433"/>
      <c r="D43" s="418" t="s">
        <v>572</v>
      </c>
    </row>
    <row r="44" spans="1:4" x14ac:dyDescent="0.15">
      <c r="A44" s="384" t="s">
        <v>456</v>
      </c>
      <c r="B44" s="384" t="s">
        <v>579</v>
      </c>
      <c r="C44" s="436"/>
      <c r="D44" s="384" t="s">
        <v>457</v>
      </c>
    </row>
    <row r="47" spans="1:4" ht="13.5" thickBot="1" x14ac:dyDescent="0.25">
      <c r="B47" s="609" t="s">
        <v>458</v>
      </c>
      <c r="C47" s="612"/>
      <c r="D47" s="613"/>
    </row>
    <row r="48" spans="1:4" ht="11.25" thickTop="1" x14ac:dyDescent="0.15">
      <c r="A48" s="380" t="s">
        <v>512</v>
      </c>
      <c r="B48" s="380" t="s">
        <v>395</v>
      </c>
      <c r="C48" s="380" t="s">
        <v>396</v>
      </c>
      <c r="D48" s="380" t="s">
        <v>397</v>
      </c>
    </row>
    <row r="49" spans="1:4" x14ac:dyDescent="0.15">
      <c r="A49" s="381" t="s">
        <v>459</v>
      </c>
      <c r="B49" s="381" t="s">
        <v>458</v>
      </c>
      <c r="C49" s="435"/>
      <c r="D49" s="381" t="s">
        <v>460</v>
      </c>
    </row>
    <row r="50" spans="1:4" x14ac:dyDescent="0.15">
      <c r="A50" s="384" t="s">
        <v>461</v>
      </c>
      <c r="B50" s="384" t="s">
        <v>501</v>
      </c>
      <c r="C50" s="439"/>
      <c r="D50" s="384" t="s">
        <v>462</v>
      </c>
    </row>
    <row r="51" spans="1:4" x14ac:dyDescent="0.15">
      <c r="A51" s="385"/>
      <c r="B51" s="390"/>
      <c r="C51" s="388"/>
      <c r="D51" s="387"/>
    </row>
    <row r="52" spans="1:4" x14ac:dyDescent="0.15">
      <c r="A52" s="389"/>
      <c r="B52" s="395" t="s">
        <v>463</v>
      </c>
      <c r="C52" s="388"/>
      <c r="D52" s="387"/>
    </row>
    <row r="53" spans="1:4" x14ac:dyDescent="0.15">
      <c r="A53" s="381" t="s">
        <v>464</v>
      </c>
      <c r="B53" s="381" t="s">
        <v>502</v>
      </c>
      <c r="C53" s="435"/>
      <c r="D53" s="381" t="s">
        <v>428</v>
      </c>
    </row>
    <row r="54" spans="1:4" x14ac:dyDescent="0.15">
      <c r="A54" s="384" t="s">
        <v>465</v>
      </c>
      <c r="B54" s="431" t="s">
        <v>602</v>
      </c>
      <c r="C54" s="436"/>
      <c r="D54" s="384" t="s">
        <v>430</v>
      </c>
    </row>
    <row r="55" spans="1:4" x14ac:dyDescent="0.15">
      <c r="A55" s="385"/>
      <c r="B55" s="390"/>
      <c r="C55" s="388"/>
      <c r="D55" s="387"/>
    </row>
    <row r="56" spans="1:4" x14ac:dyDescent="0.15">
      <c r="A56" s="389"/>
      <c r="B56" s="395" t="s">
        <v>466</v>
      </c>
      <c r="C56" s="388"/>
      <c r="D56" s="387"/>
    </row>
    <row r="57" spans="1:4" x14ac:dyDescent="0.15">
      <c r="A57" s="381" t="s">
        <v>467</v>
      </c>
      <c r="B57" s="381" t="s">
        <v>505</v>
      </c>
      <c r="C57" s="437"/>
      <c r="D57" s="381" t="s">
        <v>433</v>
      </c>
    </row>
    <row r="58" spans="1:4" x14ac:dyDescent="0.15">
      <c r="A58" s="382" t="s">
        <v>468</v>
      </c>
      <c r="B58" s="382" t="s">
        <v>506</v>
      </c>
      <c r="C58" s="438"/>
      <c r="D58" s="418" t="s">
        <v>586</v>
      </c>
    </row>
    <row r="59" spans="1:4" x14ac:dyDescent="0.15">
      <c r="A59" s="382" t="s">
        <v>469</v>
      </c>
      <c r="B59" s="382" t="s">
        <v>507</v>
      </c>
      <c r="C59" s="434"/>
      <c r="D59" s="382" t="s">
        <v>436</v>
      </c>
    </row>
    <row r="60" spans="1:4" x14ac:dyDescent="0.15">
      <c r="A60" s="382" t="s">
        <v>470</v>
      </c>
      <c r="B60" s="382" t="s">
        <v>508</v>
      </c>
      <c r="C60" s="433"/>
      <c r="D60" s="382" t="s">
        <v>438</v>
      </c>
    </row>
    <row r="61" spans="1:4" x14ac:dyDescent="0.15">
      <c r="A61" s="382" t="s">
        <v>471</v>
      </c>
      <c r="B61" s="382" t="s">
        <v>509</v>
      </c>
      <c r="C61" s="433"/>
      <c r="D61" s="382" t="s">
        <v>440</v>
      </c>
    </row>
    <row r="62" spans="1:4" x14ac:dyDescent="0.15">
      <c r="A62" s="382" t="s">
        <v>472</v>
      </c>
      <c r="B62" s="382" t="s">
        <v>510</v>
      </c>
      <c r="C62" s="433"/>
      <c r="D62" s="418" t="s">
        <v>571</v>
      </c>
    </row>
    <row r="63" spans="1:4" x14ac:dyDescent="0.15">
      <c r="A63" s="382" t="s">
        <v>473</v>
      </c>
      <c r="B63" s="382" t="s">
        <v>511</v>
      </c>
      <c r="C63" s="434"/>
      <c r="D63" s="382" t="s">
        <v>443</v>
      </c>
    </row>
    <row r="64" spans="1:4" x14ac:dyDescent="0.15">
      <c r="A64" s="382" t="s">
        <v>503</v>
      </c>
      <c r="B64" s="382" t="s">
        <v>504</v>
      </c>
      <c r="C64" s="433"/>
      <c r="D64" s="382" t="s">
        <v>445</v>
      </c>
    </row>
    <row r="65" spans="1:4" x14ac:dyDescent="0.15">
      <c r="A65" s="382" t="s">
        <v>474</v>
      </c>
      <c r="B65" s="382" t="s">
        <v>580</v>
      </c>
      <c r="C65" s="434"/>
      <c r="D65" s="382" t="s">
        <v>447</v>
      </c>
    </row>
    <row r="66" spans="1:4" x14ac:dyDescent="0.15">
      <c r="A66" s="382" t="s">
        <v>475</v>
      </c>
      <c r="B66" s="382" t="s">
        <v>581</v>
      </c>
      <c r="C66" s="438"/>
      <c r="D66" s="418" t="s">
        <v>587</v>
      </c>
    </row>
    <row r="67" spans="1:4" x14ac:dyDescent="0.15">
      <c r="A67" s="382" t="s">
        <v>476</v>
      </c>
      <c r="B67" s="382" t="s">
        <v>582</v>
      </c>
      <c r="C67" s="434"/>
      <c r="D67" s="382" t="s">
        <v>450</v>
      </c>
    </row>
    <row r="68" spans="1:4" x14ac:dyDescent="0.15">
      <c r="A68" s="382" t="s">
        <v>477</v>
      </c>
      <c r="B68" s="382" t="s">
        <v>583</v>
      </c>
      <c r="C68" s="433"/>
      <c r="D68" s="382" t="s">
        <v>452</v>
      </c>
    </row>
    <row r="69" spans="1:4" x14ac:dyDescent="0.15">
      <c r="A69" s="384" t="s">
        <v>478</v>
      </c>
      <c r="B69" s="384" t="s">
        <v>584</v>
      </c>
      <c r="C69" s="439"/>
      <c r="D69" s="384" t="s">
        <v>454</v>
      </c>
    </row>
  </sheetData>
  <mergeCells count="3">
    <mergeCell ref="B3:D3"/>
    <mergeCell ref="B47:D47"/>
    <mergeCell ref="B1:D1"/>
  </mergeCells>
  <dataValidations count="1">
    <dataValidation type="list" allowBlank="1" showInputMessage="1" showErrorMessage="1" sqref="C14">
      <formula1>"Visa,MasterCard"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21"/>
  <sheetViews>
    <sheetView workbookViewId="0"/>
  </sheetViews>
  <sheetFormatPr defaultRowHeight="10.5" x14ac:dyDescent="0.15"/>
  <cols>
    <col min="1" max="1" width="5.85546875" style="215" bestFit="1" customWidth="1"/>
    <col min="2" max="2" width="13.42578125" style="215" bestFit="1" customWidth="1"/>
    <col min="3" max="3" width="11.28515625" style="215" bestFit="1" customWidth="1"/>
    <col min="4" max="4" width="19.85546875" style="215" bestFit="1" customWidth="1"/>
    <col min="5" max="5" width="15.7109375" style="215" bestFit="1" customWidth="1"/>
    <col min="6" max="16384" width="9.140625" style="215"/>
  </cols>
  <sheetData>
    <row r="1" spans="1:5" x14ac:dyDescent="0.15">
      <c r="A1" s="215" t="s">
        <v>20</v>
      </c>
      <c r="B1" s="215" t="s">
        <v>30</v>
      </c>
      <c r="C1" s="215" t="s">
        <v>356</v>
      </c>
      <c r="D1" s="215" t="s">
        <v>672</v>
      </c>
      <c r="E1" s="215" t="s">
        <v>29</v>
      </c>
    </row>
    <row r="2" spans="1:5" x14ac:dyDescent="0.15">
      <c r="A2" s="215">
        <v>1</v>
      </c>
      <c r="B2" s="472">
        <f>Inputs_MySOL!$B$28</f>
        <v>0</v>
      </c>
      <c r="C2" s="472" t="str">
        <f>IF(OR(A2&lt;5,A2&gt;Cust_LeaseTermYears),"N/A",IF(OR(Scenario_Variable="Final Payment",A2&lt;Cust_LeaseTermYears),MAX(0,HLOOKUP(A2*12,Model!$D$39:$GA$58,20,FALSE)),Cust_FinalPymtAtTermEnd))</f>
        <v>N/A</v>
      </c>
      <c r="D2" s="472" t="str">
        <f>IFERROR(MAX(0,C2-SUM(E$2:E2)),"N/A")</f>
        <v>N/A</v>
      </c>
      <c r="E2" s="471">
        <f>Savings!AE6</f>
        <v>0</v>
      </c>
    </row>
    <row r="3" spans="1:5" x14ac:dyDescent="0.15">
      <c r="A3" s="215">
        <v>2</v>
      </c>
      <c r="B3" s="472"/>
      <c r="C3" s="472" t="str">
        <f>IF(OR(A3&lt;5,A3&gt;Cust_LeaseTermYears),"N/A",IF(OR(Scenario_Variable="Final Payment",A3&lt;Cust_LeaseTermYears),MAX(0,HLOOKUP(A3*12,Model!$D$39:$GA$58,20,FALSE)),Cust_FinalPymtAtTermEnd))</f>
        <v>N/A</v>
      </c>
      <c r="D3" s="472" t="str">
        <f>IFERROR(MAX(0,C3-SUM(E$2:E3)),"N/A")</f>
        <v>N/A</v>
      </c>
      <c r="E3" s="471">
        <f>Savings!AE7</f>
        <v>0</v>
      </c>
    </row>
    <row r="4" spans="1:5" x14ac:dyDescent="0.15">
      <c r="A4" s="215">
        <v>3</v>
      </c>
      <c r="B4" s="472"/>
      <c r="C4" s="472" t="str">
        <f>IF(OR(A4&lt;5,A4&gt;Cust_LeaseTermYears),"N/A",IF(OR(Scenario_Variable="Final Payment",A4&lt;Cust_LeaseTermYears),MAX(0,HLOOKUP(A4*12,Model!$D$39:$GA$58,20,FALSE)),Cust_FinalPymtAtTermEnd))</f>
        <v>N/A</v>
      </c>
      <c r="D4" s="472" t="str">
        <f>IFERROR(MAX(0,C4-SUM(E$2:E4)),"N/A")</f>
        <v>N/A</v>
      </c>
      <c r="E4" s="471">
        <f>Savings!AE8</f>
        <v>0</v>
      </c>
    </row>
    <row r="5" spans="1:5" x14ac:dyDescent="0.15">
      <c r="A5" s="215">
        <v>4</v>
      </c>
      <c r="B5" s="472"/>
      <c r="C5" s="472" t="str">
        <f>IF(OR(A5&lt;5,A5&gt;Cust_LeaseTermYears),"N/A",IF(OR(Scenario_Variable="Final Payment",A5&lt;Cust_LeaseTermYears),MAX(0,HLOOKUP(A5*12,Model!$D$39:$GA$58,20,FALSE)),Cust_FinalPymtAtTermEnd))</f>
        <v>N/A</v>
      </c>
      <c r="D5" s="472" t="str">
        <f>IFERROR(MAX(0,C5-SUM(E$2:E5)),"N/A")</f>
        <v>N/A</v>
      </c>
      <c r="E5" s="471">
        <f>Savings!AE9</f>
        <v>0</v>
      </c>
    </row>
    <row r="6" spans="1:5" x14ac:dyDescent="0.15">
      <c r="A6" s="215">
        <v>5</v>
      </c>
      <c r="B6" s="472"/>
      <c r="C6" s="472">
        <f ca="1">IF(OR(A6&lt;5,A6&gt;Cust_LeaseTermYears),"N/A",IF(OR(Scenario_Variable="Final Payment",A6&lt;Cust_LeaseTermYears),MAX(0,HLOOKUP(A6*12,Model!$D$39:$GA$58,20,FALSE)),Cust_FinalPymtAtTermEnd))</f>
        <v>100</v>
      </c>
      <c r="D6" s="472">
        <f ca="1">IFERROR(MAX(0,C6-SUM(E$2:E6)),"N/A")</f>
        <v>100</v>
      </c>
      <c r="E6" s="471">
        <f>Savings!AE10</f>
        <v>0</v>
      </c>
    </row>
    <row r="7" spans="1:5" x14ac:dyDescent="0.15">
      <c r="A7" s="215">
        <v>6</v>
      </c>
      <c r="B7" s="472"/>
      <c r="C7" s="472">
        <f ca="1">IF(OR(A7&lt;5,A7&gt;Cust_LeaseTermYears),"N/A",IF(OR(Scenario_Variable="Final Payment",A7&lt;Cust_LeaseTermYears),MAX(0,HLOOKUP(A7*12,Model!$D$39:$GA$58,20,FALSE)),Cust_FinalPymtAtTermEnd))</f>
        <v>100</v>
      </c>
      <c r="D7" s="472">
        <f ca="1">IFERROR(MAX(0,C7-SUM(E$2:E7)),"N/A")</f>
        <v>100</v>
      </c>
      <c r="E7" s="471">
        <f>Savings!AE11</f>
        <v>0</v>
      </c>
    </row>
    <row r="8" spans="1:5" x14ac:dyDescent="0.15">
      <c r="A8" s="215">
        <v>7</v>
      </c>
      <c r="B8" s="472"/>
      <c r="C8" s="472">
        <f ca="1">IF(OR(A8&lt;5,A8&gt;Cust_LeaseTermYears),"N/A",IF(OR(Scenario_Variable="Final Payment",A8&lt;Cust_LeaseTermYears),MAX(0,HLOOKUP(A8*12,Model!$D$39:$GA$58,20,FALSE)),Cust_FinalPymtAtTermEnd))</f>
        <v>100</v>
      </c>
      <c r="D8" s="472">
        <f ca="1">IFERROR(MAX(0,C8-SUM(E$2:E8)),"N/A")</f>
        <v>100</v>
      </c>
      <c r="E8" s="471">
        <f>Savings!AE12</f>
        <v>0</v>
      </c>
    </row>
    <row r="9" spans="1:5" x14ac:dyDescent="0.15">
      <c r="A9" s="215">
        <v>8</v>
      </c>
      <c r="B9" s="472"/>
      <c r="C9" s="472">
        <f ca="1">IF(OR(A9&lt;5,A9&gt;Cust_LeaseTermYears),"N/A",IF(OR(Scenario_Variable="Final Payment",A9&lt;Cust_LeaseTermYears),MAX(0,HLOOKUP(A9*12,Model!$D$39:$GA$58,20,FALSE)),Cust_FinalPymtAtTermEnd))</f>
        <v>100</v>
      </c>
      <c r="D9" s="472">
        <f ca="1">IFERROR(MAX(0,C9-SUM(E$2:E9)),"N/A")</f>
        <v>100</v>
      </c>
      <c r="E9" s="471">
        <f>Savings!AE13</f>
        <v>0</v>
      </c>
    </row>
    <row r="10" spans="1:5" x14ac:dyDescent="0.15">
      <c r="A10" s="215">
        <v>9</v>
      </c>
      <c r="B10" s="472"/>
      <c r="C10" s="472">
        <f ca="1">IF(OR(A10&lt;5,A10&gt;Cust_LeaseTermYears),"N/A",IF(OR(Scenario_Variable="Final Payment",A10&lt;Cust_LeaseTermYears),MAX(0,HLOOKUP(A10*12,Model!$D$39:$GA$58,20,FALSE)),Cust_FinalPymtAtTermEnd))</f>
        <v>100</v>
      </c>
      <c r="D10" s="472">
        <f ca="1">IFERROR(MAX(0,C10-SUM(E$2:E10)),"N/A")</f>
        <v>100</v>
      </c>
      <c r="E10" s="471">
        <f>Savings!AE14</f>
        <v>0</v>
      </c>
    </row>
    <row r="11" spans="1:5" x14ac:dyDescent="0.15">
      <c r="A11" s="215">
        <v>10</v>
      </c>
      <c r="B11" s="472"/>
      <c r="C11" s="472">
        <f ca="1">IF(OR(A11&lt;5,A11&gt;Cust_LeaseTermYears),"N/A",IF(OR(Scenario_Variable="Final Payment",A11&lt;Cust_LeaseTermYears),MAX(0,HLOOKUP(A11*12,Model!$D$39:$GA$58,20,FALSE)),Cust_FinalPymtAtTermEnd))</f>
        <v>100</v>
      </c>
      <c r="D11" s="472">
        <f ca="1">IFERROR(MAX(0,C11-SUM(E$2:E11)),"N/A")</f>
        <v>100</v>
      </c>
      <c r="E11" s="471">
        <f>Savings!AE15</f>
        <v>0</v>
      </c>
    </row>
    <row r="12" spans="1:5" x14ac:dyDescent="0.15">
      <c r="A12" s="215">
        <v>11</v>
      </c>
      <c r="B12" s="472"/>
      <c r="C12" s="472">
        <f ca="1">IF(OR(A12&lt;5,A12&gt;Cust_LeaseTermYears),"N/A",IF(OR(Scenario_Variable="Final Payment",A12&lt;Cust_LeaseTermYears),MAX(0,HLOOKUP(A12*12,Model!$D$39:$GA$58,20,FALSE)),Cust_FinalPymtAtTermEnd))</f>
        <v>100</v>
      </c>
      <c r="D12" s="472">
        <f ca="1">IFERROR(MAX(0,C12-SUM(E$2:E12)),"N/A")</f>
        <v>100</v>
      </c>
      <c r="E12" s="471">
        <f>Savings!AE16</f>
        <v>0</v>
      </c>
    </row>
    <row r="13" spans="1:5" x14ac:dyDescent="0.15">
      <c r="A13" s="215">
        <v>12</v>
      </c>
      <c r="B13" s="472"/>
      <c r="C13" s="472">
        <f ca="1">IF(OR(A13&lt;5,A13&gt;Cust_LeaseTermYears),"N/A",IF(OR(Scenario_Variable="Final Payment",A13&lt;Cust_LeaseTermYears),MAX(0,HLOOKUP(A13*12,Model!$D$39:$GA$58,20,FALSE)),Cust_FinalPymtAtTermEnd))</f>
        <v>100</v>
      </c>
      <c r="D13" s="472">
        <f ca="1">IFERROR(MAX(0,C13-SUM(E$2:E13)),"N/A")</f>
        <v>100</v>
      </c>
      <c r="E13" s="471">
        <f>Savings!AE17</f>
        <v>0</v>
      </c>
    </row>
    <row r="14" spans="1:5" x14ac:dyDescent="0.15">
      <c r="A14" s="215">
        <v>13</v>
      </c>
      <c r="B14" s="472"/>
      <c r="C14" s="472">
        <f ca="1">IF(OR(A14&lt;5,A14&gt;Cust_LeaseTermYears),"N/A",IF(OR(Scenario_Variable="Final Payment",A14&lt;Cust_LeaseTermYears),MAX(0,HLOOKUP(A14*12,Model!$D$39:$GA$58,20,FALSE)),Cust_FinalPymtAtTermEnd))</f>
        <v>100</v>
      </c>
      <c r="D14" s="472">
        <f ca="1">IFERROR(MAX(0,C14-SUM(E$2:E14)),"N/A")</f>
        <v>100</v>
      </c>
      <c r="E14" s="471">
        <f>Savings!AE18</f>
        <v>0</v>
      </c>
    </row>
    <row r="15" spans="1:5" x14ac:dyDescent="0.15">
      <c r="A15" s="215">
        <v>14</v>
      </c>
      <c r="B15" s="472"/>
      <c r="C15" s="472">
        <f ca="1">IF(OR(A15&lt;5,A15&gt;Cust_LeaseTermYears),"N/A",IF(OR(Scenario_Variable="Final Payment",A15&lt;Cust_LeaseTermYears),MAX(0,HLOOKUP(A15*12,Model!$D$39:$GA$58,20,FALSE)),Cust_FinalPymtAtTermEnd))</f>
        <v>100</v>
      </c>
      <c r="D15" s="472">
        <f ca="1">IFERROR(MAX(0,C15-SUM(E$2:E15)),"N/A")</f>
        <v>100</v>
      </c>
      <c r="E15" s="471">
        <f>Savings!AE19</f>
        <v>0</v>
      </c>
    </row>
    <row r="16" spans="1:5" x14ac:dyDescent="0.15">
      <c r="A16" s="215">
        <v>15</v>
      </c>
      <c r="B16" s="472"/>
      <c r="C16" s="472">
        <f>IF(OR(A16&lt;5,A16&gt;Cust_LeaseTermYears),"N/A",IF(OR(Scenario_Variable="Final Payment",A16&lt;Cust_LeaseTermYears),MAX(0,HLOOKUP(A16*12,Model!$D$39:$GA$58,20,FALSE)),Cust_FinalPymtAtTermEnd))</f>
        <v>100</v>
      </c>
      <c r="D16" s="472">
        <f>IFERROR(MAX(0,C16-SUM(E$2:E16)),"N/A")</f>
        <v>100</v>
      </c>
      <c r="E16" s="471">
        <f>Savings!AE20</f>
        <v>0</v>
      </c>
    </row>
    <row r="17" spans="1:5" x14ac:dyDescent="0.15">
      <c r="A17" s="215" t="s">
        <v>35</v>
      </c>
      <c r="B17" s="472">
        <f>SUM(B2:B16)</f>
        <v>0</v>
      </c>
      <c r="E17" s="471">
        <f>SUM(E2:E16)</f>
        <v>0</v>
      </c>
    </row>
    <row r="19" spans="1:5" x14ac:dyDescent="0.15">
      <c r="A19" s="215" t="s">
        <v>856</v>
      </c>
    </row>
    <row r="21" spans="1:5" x14ac:dyDescent="0.15">
      <c r="A21" s="215" t="s">
        <v>858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3"/>
  <sheetViews>
    <sheetView zoomScaleNormal="100" zoomScalePageLayoutView="200" workbookViewId="0">
      <pane xSplit="1" ySplit="2" topLeftCell="B3" activePane="bottomRight" state="frozen"/>
      <selection sqref="A1:O10"/>
      <selection pane="topRight" sqref="A1:O10"/>
      <selection pane="bottomLeft" sqref="A1:O10"/>
      <selection pane="bottomRight" activeCell="B3" sqref="B3"/>
    </sheetView>
  </sheetViews>
  <sheetFormatPr defaultColWidth="11.42578125" defaultRowHeight="10.5" x14ac:dyDescent="0.15"/>
  <cols>
    <col min="1" max="1" width="14" style="74" bestFit="1" customWidth="1"/>
    <col min="2" max="2" width="23.85546875" style="74" bestFit="1" customWidth="1"/>
    <col min="3" max="3" width="7.28515625" style="40" bestFit="1" customWidth="1"/>
    <col min="4" max="4" width="36" style="40" bestFit="1" customWidth="1"/>
    <col min="5" max="5" width="12" style="40" bestFit="1" customWidth="1"/>
    <col min="6" max="6" width="6.85546875" style="41" bestFit="1" customWidth="1"/>
    <col min="7" max="7" width="11" style="74" bestFit="1" customWidth="1"/>
    <col min="8" max="16384" width="11.42578125" style="74"/>
  </cols>
  <sheetData>
    <row r="1" spans="1:8" x14ac:dyDescent="0.15">
      <c r="A1" s="50" t="s">
        <v>0</v>
      </c>
      <c r="B1" s="78">
        <f>Inputs_MySOL!$G$17</f>
        <v>0</v>
      </c>
      <c r="D1" s="41"/>
      <c r="E1" s="41"/>
      <c r="G1" s="76"/>
    </row>
    <row r="2" spans="1:8" x14ac:dyDescent="0.15">
      <c r="A2" s="50" t="s">
        <v>1</v>
      </c>
      <c r="C2" s="40" t="s">
        <v>170</v>
      </c>
      <c r="D2" s="48" t="s">
        <v>87</v>
      </c>
      <c r="E2" s="48" t="s">
        <v>128</v>
      </c>
      <c r="F2" s="48" t="s">
        <v>78</v>
      </c>
    </row>
    <row r="3" spans="1:8" x14ac:dyDescent="0.15">
      <c r="A3" s="74" t="s">
        <v>526</v>
      </c>
      <c r="B3" s="74" t="s">
        <v>2</v>
      </c>
      <c r="C3" s="51" t="str">
        <f t="shared" ref="C3:C4" si="0">IFERROR(E3*F3/$B$1,"NaN")</f>
        <v>NaN</v>
      </c>
      <c r="D3" s="52" t="str">
        <f>VLOOKUP($B3,Inputs!$E$4:$G$9,3,FALSE)</f>
        <v>Trina Solar_TSM-PD14 330</v>
      </c>
      <c r="E3" s="224">
        <f>IFERROR(VLOOKUP(D3,Components!$A$2:$N$108,4,FALSE),"NaN")</f>
        <v>136.29</v>
      </c>
      <c r="F3" s="143">
        <f>VLOOKUP($B3,Inputs!$E$4:$J$9,6,FALSE)</f>
        <v>0</v>
      </c>
      <c r="H3" s="93"/>
    </row>
    <row r="4" spans="1:8" x14ac:dyDescent="0.15">
      <c r="B4" s="74" t="s">
        <v>4</v>
      </c>
      <c r="C4" s="51" t="str">
        <f t="shared" si="0"/>
        <v>NaN</v>
      </c>
      <c r="D4" s="52" t="str">
        <f>VLOOKUP($B4,Inputs!$E$4:$G$9,3,FALSE)</f>
        <v>KACO_blueplanet 5.0 TL1 M2 WM OD US33</v>
      </c>
      <c r="E4" s="224">
        <f>IFERROR(VLOOKUP(D4,Components!$A$2:$N$108,4,FALSE),"NaN")</f>
        <v>941.3</v>
      </c>
      <c r="F4" s="143">
        <f>VLOOKUP($B4,Inputs!$E$4:$J$9,6,FALSE)</f>
        <v>0</v>
      </c>
    </row>
    <row r="5" spans="1:8" x14ac:dyDescent="0.15">
      <c r="B5" s="74" t="s">
        <v>5</v>
      </c>
      <c r="C5" s="51" t="str">
        <f>IFERROR(E5*F5/$B$1,"NaN")</f>
        <v>NaN</v>
      </c>
      <c r="D5" s="52" t="str">
        <f>VLOOKUP($B5,Inputs!$E$4:$G$9,3,FALSE)</f>
        <v>Tigo_TS4-D</v>
      </c>
      <c r="E5" s="224">
        <f>IFERROR(VLOOKUP(D5,Components!$A$2:$N$108,4,FALSE),"NaN")</f>
        <v>0</v>
      </c>
      <c r="F5" s="143">
        <f>VLOOKUP($B5,Inputs!$E$4:$J$9,6,FALSE)</f>
        <v>0</v>
      </c>
    </row>
    <row r="6" spans="1:8" x14ac:dyDescent="0.15">
      <c r="B6" s="74" t="s">
        <v>123</v>
      </c>
      <c r="C6" s="51" t="str">
        <f t="shared" ref="C6:C7" si="1">IFERROR(E6*F6/$B$1,"NaN")</f>
        <v>NaN</v>
      </c>
      <c r="D6" s="52" t="str">
        <f>VLOOKUP($B6,Inputs!$E$4:$G$9,3,FALSE)</f>
        <v>TIGO_CCA-PS-INT</v>
      </c>
      <c r="E6" s="224">
        <f>IFERROR(VLOOKUP(D6,Components!$A$2:$N$108,4,FALSE),"NaN")</f>
        <v>211.2</v>
      </c>
      <c r="F6" s="143">
        <f>VLOOKUP($B6,Inputs!$E$4:$J$9,6,FALSE)</f>
        <v>0</v>
      </c>
    </row>
    <row r="7" spans="1:8" x14ac:dyDescent="0.15">
      <c r="B7" s="74" t="s">
        <v>6</v>
      </c>
      <c r="C7" s="51" t="str">
        <f t="shared" si="1"/>
        <v>NaN</v>
      </c>
      <c r="D7" s="52" t="str">
        <f>VLOOKUP($B7,Inputs!$E$4:$G$9,3,FALSE)</f>
        <v>E-Gauge</v>
      </c>
      <c r="E7" s="224">
        <f>IFERROR(VLOOKUP(D7,Components!$A$2:$N$108,4,FALSE),"NaN")</f>
        <v>400</v>
      </c>
      <c r="F7" s="143">
        <f>VLOOKUP($B7,Inputs!$E$4:$J$9,6,FALSE)</f>
        <v>0</v>
      </c>
    </row>
    <row r="8" spans="1:8" x14ac:dyDescent="0.15">
      <c r="B8" s="74" t="s">
        <v>238</v>
      </c>
      <c r="C8" s="51" t="str">
        <f t="shared" ref="C8" si="2">IFERROR(E8*F8/$B$1,"NaN")</f>
        <v>NaN</v>
      </c>
      <c r="D8" s="52" t="str">
        <f>VLOOKUP($B8,Inputs!$E$4:$G$9,3,FALSE)</f>
        <v>TIGO_GTWY-WCOMM</v>
      </c>
      <c r="E8" s="224">
        <f>IFERROR(VLOOKUP(D8,Components!$A$2:$N$108,4,FALSE),"NaN")</f>
        <v>64</v>
      </c>
      <c r="F8" s="143">
        <f>VLOOKUP($B8,Inputs!$E$4:$J$9,6,FALSE)</f>
        <v>0</v>
      </c>
    </row>
    <row r="9" spans="1:8" x14ac:dyDescent="0.15">
      <c r="B9" s="74" t="s">
        <v>79</v>
      </c>
      <c r="C9" s="51">
        <f>SUM(C3:C8)</f>
        <v>0</v>
      </c>
      <c r="D9" s="56"/>
      <c r="E9" s="77">
        <f>SUMPRODUCT(E3:E8,F3:F8)</f>
        <v>0</v>
      </c>
      <c r="F9" s="53"/>
    </row>
    <row r="10" spans="1:8" x14ac:dyDescent="0.15">
      <c r="C10" s="74"/>
      <c r="D10" s="74"/>
      <c r="E10" s="77"/>
      <c r="F10" s="53"/>
    </row>
    <row r="11" spans="1:8" x14ac:dyDescent="0.15">
      <c r="A11" s="74" t="s">
        <v>7</v>
      </c>
      <c r="B11" s="74" t="s">
        <v>8</v>
      </c>
      <c r="C11" s="47">
        <f>C37/Inputs_MySOL!$B$2</f>
        <v>0.1788888888888889</v>
      </c>
      <c r="D11" s="74"/>
      <c r="E11" s="57">
        <f>C11*$B$1</f>
        <v>0</v>
      </c>
      <c r="F11" s="140"/>
    </row>
    <row r="12" spans="1:8" x14ac:dyDescent="0.15">
      <c r="B12" s="74" t="s">
        <v>9</v>
      </c>
      <c r="C12" s="47">
        <f>C38/Inputs_MySOL!$B$2</f>
        <v>0.14444444444444446</v>
      </c>
      <c r="D12" s="74"/>
      <c r="E12" s="57">
        <f t="shared" ref="E12:E16" si="3">C12*$B$1</f>
        <v>0</v>
      </c>
      <c r="F12" s="140"/>
    </row>
    <row r="13" spans="1:8" x14ac:dyDescent="0.15">
      <c r="B13" s="74" t="s">
        <v>10</v>
      </c>
      <c r="C13" s="47">
        <f>C39/Inputs_MySOL!$B$2</f>
        <v>8.611111111111111E-2</v>
      </c>
      <c r="D13" s="56"/>
      <c r="E13" s="57">
        <f t="shared" si="3"/>
        <v>0</v>
      </c>
      <c r="F13" s="140"/>
    </row>
    <row r="14" spans="1:8" x14ac:dyDescent="0.15">
      <c r="B14" s="74" t="s">
        <v>127</v>
      </c>
      <c r="C14" s="47">
        <f>C40/Inputs_MySOL!$B$2</f>
        <v>0.10236111111111111</v>
      </c>
      <c r="D14" s="70"/>
      <c r="E14" s="57">
        <f>C14*$B$1</f>
        <v>0</v>
      </c>
      <c r="F14" s="140"/>
    </row>
    <row r="15" spans="1:8" x14ac:dyDescent="0.15">
      <c r="B15" s="54" t="s">
        <v>129</v>
      </c>
      <c r="C15" s="58">
        <f>C41/Inputs_MySOL!$B$2</f>
        <v>2.0472222222222225E-2</v>
      </c>
      <c r="D15" s="32"/>
      <c r="E15" s="59">
        <f t="shared" si="3"/>
        <v>0</v>
      </c>
      <c r="F15" s="140"/>
      <c r="G15" s="43"/>
    </row>
    <row r="16" spans="1:8" x14ac:dyDescent="0.15">
      <c r="B16" s="74" t="s">
        <v>11</v>
      </c>
      <c r="C16" s="47">
        <f>C42/Inputs_MySOL!$B$2</f>
        <v>0.53227777777777774</v>
      </c>
      <c r="D16" s="56">
        <f>+(C14+C15)/C18</f>
        <v>0.23076923076923078</v>
      </c>
      <c r="E16" s="77">
        <f t="shared" si="3"/>
        <v>0</v>
      </c>
      <c r="F16" s="140"/>
    </row>
    <row r="17" spans="1:7" x14ac:dyDescent="0.15">
      <c r="C17" s="47"/>
      <c r="D17" s="41"/>
      <c r="E17" s="77"/>
      <c r="F17" s="140"/>
    </row>
    <row r="18" spans="1:7" x14ac:dyDescent="0.15">
      <c r="A18" s="74" t="s">
        <v>12</v>
      </c>
      <c r="B18" s="74" t="s">
        <v>210</v>
      </c>
      <c r="C18" s="47">
        <f>C9+C16</f>
        <v>0.53227777777777774</v>
      </c>
      <c r="D18" s="41"/>
      <c r="E18" s="77">
        <f t="shared" ref="E18:E24" si="4">C18*$B$1</f>
        <v>0</v>
      </c>
      <c r="F18" s="140"/>
    </row>
    <row r="19" spans="1:7" x14ac:dyDescent="0.15">
      <c r="B19" s="74" t="s">
        <v>211</v>
      </c>
      <c r="C19" s="47">
        <f>C18*IVA</f>
        <v>8.5164444444444445E-2</v>
      </c>
      <c r="D19" s="70"/>
      <c r="E19" s="57">
        <f t="shared" si="4"/>
        <v>0</v>
      </c>
      <c r="F19" s="103"/>
    </row>
    <row r="20" spans="1:7" x14ac:dyDescent="0.15">
      <c r="B20" s="74" t="s">
        <v>212</v>
      </c>
      <c r="C20" s="47">
        <f>C18+C19</f>
        <v>0.61744222222222223</v>
      </c>
      <c r="D20" s="70"/>
      <c r="E20" s="57"/>
      <c r="F20" s="103"/>
    </row>
    <row r="21" spans="1:7" x14ac:dyDescent="0.15">
      <c r="B21" s="74" t="s">
        <v>528</v>
      </c>
      <c r="C21" s="47">
        <f>C18*$D21</f>
        <v>0.13306944444444443</v>
      </c>
      <c r="D21" s="41">
        <f>Inputs_MySOL!$D$34</f>
        <v>0.25</v>
      </c>
      <c r="E21" s="77">
        <f t="shared" si="4"/>
        <v>0</v>
      </c>
      <c r="F21" s="141"/>
    </row>
    <row r="22" spans="1:7" x14ac:dyDescent="0.15">
      <c r="B22" s="74" t="s">
        <v>13</v>
      </c>
      <c r="C22" s="47">
        <f>C18*$D22</f>
        <v>2.6613888888888888E-2</v>
      </c>
      <c r="D22" s="41">
        <f>Inputs_MySOL!$D$35</f>
        <v>0.05</v>
      </c>
      <c r="E22" s="77">
        <f t="shared" si="4"/>
        <v>0</v>
      </c>
      <c r="F22" s="141"/>
      <c r="G22" s="70"/>
    </row>
    <row r="23" spans="1:7" x14ac:dyDescent="0.15">
      <c r="B23" s="45" t="s">
        <v>529</v>
      </c>
      <c r="C23" s="46">
        <f>C18+C21+C22</f>
        <v>0.69196111111111114</v>
      </c>
      <c r="D23" s="102"/>
      <c r="E23" s="79"/>
      <c r="F23" s="103"/>
      <c r="G23" s="70"/>
    </row>
    <row r="24" spans="1:7" x14ac:dyDescent="0.15">
      <c r="B24" s="45" t="s">
        <v>530</v>
      </c>
      <c r="C24" s="46">
        <f>C23*IVA</f>
        <v>0.11071377777777779</v>
      </c>
      <c r="D24" s="102"/>
      <c r="E24" s="77">
        <f t="shared" si="4"/>
        <v>0</v>
      </c>
      <c r="F24" s="103"/>
      <c r="G24" s="70"/>
    </row>
    <row r="25" spans="1:7" x14ac:dyDescent="0.15">
      <c r="B25" s="54" t="s">
        <v>531</v>
      </c>
      <c r="C25" s="58">
        <f>C23+C24</f>
        <v>0.80267488888888894</v>
      </c>
      <c r="D25" s="63"/>
      <c r="E25" s="55"/>
      <c r="F25" s="103"/>
      <c r="G25" s="70"/>
    </row>
    <row r="26" spans="1:7" x14ac:dyDescent="0.15">
      <c r="B26" s="50" t="s">
        <v>14</v>
      </c>
      <c r="C26" s="60">
        <f>C25</f>
        <v>0.80267488888888894</v>
      </c>
      <c r="D26" s="61">
        <f>(C21+C22)/C23</f>
        <v>0.23076923076923073</v>
      </c>
      <c r="E26" s="77">
        <f>C26*$B$1</f>
        <v>0</v>
      </c>
      <c r="F26" s="91"/>
    </row>
    <row r="27" spans="1:7" x14ac:dyDescent="0.15">
      <c r="C27" s="47">
        <f>C26*18.5</f>
        <v>14.849485444444445</v>
      </c>
      <c r="D27" s="41"/>
      <c r="E27" s="47"/>
      <c r="F27" s="53"/>
    </row>
    <row r="28" spans="1:7" x14ac:dyDescent="0.15">
      <c r="A28" s="50" t="s">
        <v>146</v>
      </c>
      <c r="B28" s="70"/>
      <c r="C28" s="47"/>
      <c r="D28" s="41"/>
      <c r="E28" s="77"/>
      <c r="F28" s="53"/>
    </row>
    <row r="29" spans="1:7" x14ac:dyDescent="0.15">
      <c r="A29" s="74" t="str">
        <f>A3</f>
        <v>MySOL</v>
      </c>
      <c r="B29" s="74" t="str">
        <f>B3</f>
        <v>PV Panels</v>
      </c>
      <c r="C29" s="47" t="str">
        <f>IFERROR(C3*Inputs_MySOL!$B$2,"NaN")</f>
        <v>NaN</v>
      </c>
      <c r="D29" s="41" t="str">
        <f t="shared" ref="D29:D35" si="5">D3</f>
        <v>Trina Solar_TSM-PD14 330</v>
      </c>
      <c r="E29" s="77" t="e">
        <f t="shared" ref="E29:E34" si="6">C29*$B$1</f>
        <v>#VALUE!</v>
      </c>
      <c r="F29" s="143">
        <f t="shared" ref="F29:F35" si="7">F3</f>
        <v>0</v>
      </c>
    </row>
    <row r="30" spans="1:7" x14ac:dyDescent="0.15">
      <c r="B30" s="74" t="str">
        <f t="shared" ref="B30:B35" si="8">B4</f>
        <v>Inverters</v>
      </c>
      <c r="C30" s="47" t="str">
        <f>IFERROR(C4*Inputs_MySOL!$B$2,"NaN")</f>
        <v>NaN</v>
      </c>
      <c r="D30" s="41" t="str">
        <f t="shared" si="5"/>
        <v>KACO_blueplanet 5.0 TL1 M2 WM OD US33</v>
      </c>
      <c r="E30" s="77" t="e">
        <f t="shared" si="6"/>
        <v>#VALUE!</v>
      </c>
      <c r="F30" s="143">
        <f t="shared" si="7"/>
        <v>0</v>
      </c>
    </row>
    <row r="31" spans="1:7" x14ac:dyDescent="0.15">
      <c r="B31" s="74" t="str">
        <f t="shared" si="8"/>
        <v>Optimizer</v>
      </c>
      <c r="C31" s="47" t="str">
        <f>IFERROR(C5*Inputs_MySOL!$B$2,"NaN")</f>
        <v>NaN</v>
      </c>
      <c r="D31" s="41" t="str">
        <f t="shared" si="5"/>
        <v>Tigo_TS4-D</v>
      </c>
      <c r="E31" s="77" t="e">
        <f t="shared" si="6"/>
        <v>#VALUE!</v>
      </c>
      <c r="F31" s="143">
        <f t="shared" si="7"/>
        <v>0</v>
      </c>
    </row>
    <row r="32" spans="1:7" x14ac:dyDescent="0.15">
      <c r="B32" s="74" t="str">
        <f t="shared" si="8"/>
        <v>System Monitoring</v>
      </c>
      <c r="C32" s="47" t="str">
        <f>IFERROR(C6*Inputs_MySOL!$B$2,"NaN")</f>
        <v>NaN</v>
      </c>
      <c r="D32" s="41" t="str">
        <f t="shared" si="5"/>
        <v>TIGO_CCA-PS-INT</v>
      </c>
      <c r="E32" s="77" t="e">
        <f t="shared" si="6"/>
        <v>#VALUE!</v>
      </c>
      <c r="F32" s="143">
        <f t="shared" si="7"/>
        <v>0</v>
      </c>
    </row>
    <row r="33" spans="1:7" x14ac:dyDescent="0.15">
      <c r="B33" s="74" t="str">
        <f t="shared" si="8"/>
        <v>Consumption Monitoring</v>
      </c>
      <c r="C33" s="47" t="str">
        <f>IFERROR(C7*Inputs_MySOL!$B$2,"NaN")</f>
        <v>NaN</v>
      </c>
      <c r="D33" s="41" t="str">
        <f t="shared" si="5"/>
        <v>E-Gauge</v>
      </c>
      <c r="E33" s="77" t="e">
        <f t="shared" si="6"/>
        <v>#VALUE!</v>
      </c>
      <c r="F33" s="143">
        <f t="shared" si="7"/>
        <v>0</v>
      </c>
    </row>
    <row r="34" spans="1:7" x14ac:dyDescent="0.15">
      <c r="B34" s="74" t="str">
        <f t="shared" si="8"/>
        <v>Comm Accessory</v>
      </c>
      <c r="C34" s="47" t="str">
        <f>IFERROR(C8*Inputs_MySOL!$B$2,"NaN")</f>
        <v>NaN</v>
      </c>
      <c r="D34" s="41" t="str">
        <f t="shared" si="5"/>
        <v>TIGO_GTWY-WCOMM</v>
      </c>
      <c r="E34" s="77" t="e">
        <f t="shared" si="6"/>
        <v>#VALUE!</v>
      </c>
      <c r="F34" s="143">
        <f t="shared" si="7"/>
        <v>0</v>
      </c>
    </row>
    <row r="35" spans="1:7" x14ac:dyDescent="0.15">
      <c r="B35" s="74" t="str">
        <f t="shared" si="8"/>
        <v>SubTotal</v>
      </c>
      <c r="C35" s="47">
        <f>SUM(C29:C34)</f>
        <v>0</v>
      </c>
      <c r="D35" s="41">
        <f t="shared" si="5"/>
        <v>0</v>
      </c>
      <c r="E35" s="77">
        <f t="shared" ref="E35:E50" si="9">C35*$B$1</f>
        <v>0</v>
      </c>
      <c r="F35" s="143">
        <f t="shared" si="7"/>
        <v>0</v>
      </c>
    </row>
    <row r="36" spans="1:7" x14ac:dyDescent="0.15">
      <c r="C36" s="47"/>
      <c r="D36" s="56"/>
      <c r="E36" s="77"/>
      <c r="F36" s="53"/>
    </row>
    <row r="37" spans="1:7" x14ac:dyDescent="0.15">
      <c r="A37" s="74" t="str">
        <f>A11</f>
        <v>Solar Installer</v>
      </c>
      <c r="B37" s="74" t="str">
        <f>B11</f>
        <v>Labor</v>
      </c>
      <c r="C37" s="47">
        <f>Inputs!G11</f>
        <v>3.22</v>
      </c>
      <c r="D37" s="56"/>
      <c r="E37" s="77">
        <f t="shared" si="9"/>
        <v>0</v>
      </c>
      <c r="F37" s="140"/>
    </row>
    <row r="38" spans="1:7" x14ac:dyDescent="0.15">
      <c r="B38" s="74" t="str">
        <f>B12</f>
        <v>BOS-electrical</v>
      </c>
      <c r="C38" s="47">
        <f>Inputs!G12</f>
        <v>2.6</v>
      </c>
      <c r="D38" s="56"/>
      <c r="E38" s="77">
        <f t="shared" si="9"/>
        <v>0</v>
      </c>
      <c r="F38" s="140"/>
    </row>
    <row r="39" spans="1:7" x14ac:dyDescent="0.15">
      <c r="B39" s="74" t="str">
        <f>B13</f>
        <v>BOS-mechanical</v>
      </c>
      <c r="C39" s="47">
        <f>Inputs!G13</f>
        <v>1.55</v>
      </c>
      <c r="D39" s="56"/>
      <c r="E39" s="77">
        <f t="shared" si="9"/>
        <v>0</v>
      </c>
      <c r="F39" s="140"/>
    </row>
    <row r="40" spans="1:7" x14ac:dyDescent="0.15">
      <c r="B40" s="62" t="str">
        <f>B14</f>
        <v>Installer Margin</v>
      </c>
      <c r="C40" s="47">
        <f>(C$35+SUM(C$37:C$39))*$D40</f>
        <v>1.8425</v>
      </c>
      <c r="D40" s="41">
        <f>Inputs_MySOL!$D$36</f>
        <v>0.25</v>
      </c>
      <c r="E40" s="77">
        <f t="shared" si="9"/>
        <v>0</v>
      </c>
      <c r="F40" s="140"/>
    </row>
    <row r="41" spans="1:7" x14ac:dyDescent="0.15">
      <c r="B41" s="54" t="str">
        <f>B15</f>
        <v>Installer Sales commission</v>
      </c>
      <c r="C41" s="58">
        <f>(C$35+SUM(C$37:C$39))*$D41</f>
        <v>0.36850000000000005</v>
      </c>
      <c r="D41" s="63">
        <f>Inputs_MySOL!$D$37</f>
        <v>0.05</v>
      </c>
      <c r="E41" s="55">
        <f t="shared" si="9"/>
        <v>0</v>
      </c>
      <c r="F41" s="140"/>
      <c r="G41" s="43"/>
    </row>
    <row r="42" spans="1:7" x14ac:dyDescent="0.15">
      <c r="B42" s="76" t="str">
        <f>B16</f>
        <v>Installer Total Price</v>
      </c>
      <c r="C42" s="47">
        <f>SUM(C37:C41)</f>
        <v>9.5809999999999995</v>
      </c>
      <c r="D42" s="56">
        <f>(C40+C41)/C44</f>
        <v>0.23076923076923081</v>
      </c>
      <c r="E42" s="77">
        <f t="shared" si="9"/>
        <v>0</v>
      </c>
      <c r="F42" s="140"/>
      <c r="G42" s="43"/>
    </row>
    <row r="43" spans="1:7" x14ac:dyDescent="0.15">
      <c r="C43" s="47"/>
      <c r="D43" s="41"/>
      <c r="E43" s="77"/>
      <c r="F43" s="140"/>
    </row>
    <row r="44" spans="1:7" x14ac:dyDescent="0.15">
      <c r="A44" s="74" t="s">
        <v>12</v>
      </c>
      <c r="B44" s="74" t="str">
        <f>B18</f>
        <v>Pre-IVA Cost from Installer</v>
      </c>
      <c r="C44" s="47">
        <f>C35+C42</f>
        <v>9.5809999999999995</v>
      </c>
      <c r="D44" s="41"/>
      <c r="E44" s="77">
        <f t="shared" si="9"/>
        <v>0</v>
      </c>
      <c r="F44" s="140"/>
    </row>
    <row r="45" spans="1:7" x14ac:dyDescent="0.15">
      <c r="A45" s="47"/>
      <c r="B45" s="74" t="str">
        <f t="shared" ref="B45:B52" si="10">B19</f>
        <v>IVA to Installer</v>
      </c>
      <c r="C45" s="47">
        <f>C44*IVA</f>
        <v>1.5329599999999999</v>
      </c>
      <c r="D45" s="41"/>
      <c r="E45" s="77">
        <f t="shared" si="9"/>
        <v>0</v>
      </c>
      <c r="F45" s="140"/>
      <c r="G45" s="49"/>
    </row>
    <row r="46" spans="1:7" x14ac:dyDescent="0.15">
      <c r="A46" s="47"/>
      <c r="B46" s="74" t="str">
        <f t="shared" si="10"/>
        <v>Total Cost from Installer</v>
      </c>
      <c r="C46" s="47">
        <f>C44+C45</f>
        <v>11.113959999999999</v>
      </c>
      <c r="D46" s="41"/>
      <c r="E46" s="77"/>
      <c r="F46" s="140"/>
      <c r="G46" s="49"/>
    </row>
    <row r="47" spans="1:7" x14ac:dyDescent="0.15">
      <c r="A47" s="62"/>
      <c r="B47" s="74" t="str">
        <f t="shared" si="10"/>
        <v>MySOL Margin</v>
      </c>
      <c r="C47" s="47">
        <f>C44*$D47</f>
        <v>2.3952499999999999</v>
      </c>
      <c r="D47" s="41">
        <f>Inputs_MySOL!$D$34</f>
        <v>0.25</v>
      </c>
      <c r="E47" s="77">
        <f t="shared" si="9"/>
        <v>0</v>
      </c>
      <c r="F47" s="141"/>
      <c r="G47" s="76"/>
    </row>
    <row r="48" spans="1:7" x14ac:dyDescent="0.15">
      <c r="A48" s="62"/>
      <c r="B48" s="74" t="str">
        <f t="shared" si="10"/>
        <v>Performance Guarantee</v>
      </c>
      <c r="C48" s="47">
        <f>C44*$D48</f>
        <v>0.47904999999999998</v>
      </c>
      <c r="D48" s="41">
        <f>Inputs_MySOL!$D$35</f>
        <v>0.05</v>
      </c>
      <c r="E48" s="77">
        <f t="shared" si="9"/>
        <v>0</v>
      </c>
      <c r="F48" s="141"/>
      <c r="G48" s="76"/>
    </row>
    <row r="49" spans="1:7" x14ac:dyDescent="0.15">
      <c r="A49" s="62"/>
      <c r="B49" s="45" t="str">
        <f t="shared" si="10"/>
        <v>Pre-IVA Cost from MySOL</v>
      </c>
      <c r="C49" s="46">
        <f>C44+C47+C48</f>
        <v>12.455300000000001</v>
      </c>
      <c r="D49" s="102"/>
      <c r="E49" s="77">
        <f t="shared" si="9"/>
        <v>0</v>
      </c>
      <c r="F49" s="103"/>
      <c r="G49" s="76"/>
    </row>
    <row r="50" spans="1:7" x14ac:dyDescent="0.15">
      <c r="A50" s="62"/>
      <c r="B50" s="45" t="str">
        <f t="shared" si="10"/>
        <v>IVA to MySOL</v>
      </c>
      <c r="C50" s="46">
        <f>C49*IVA</f>
        <v>1.9928480000000002</v>
      </c>
      <c r="D50" s="102"/>
      <c r="E50" s="77">
        <f t="shared" si="9"/>
        <v>0</v>
      </c>
      <c r="F50" s="103"/>
      <c r="G50" s="76"/>
    </row>
    <row r="51" spans="1:7" x14ac:dyDescent="0.15">
      <c r="A51" s="62"/>
      <c r="B51" s="54" t="str">
        <f t="shared" si="10"/>
        <v>Total Cost from MySOL</v>
      </c>
      <c r="C51" s="58">
        <f>C49+C50</f>
        <v>14.448148000000002</v>
      </c>
      <c r="D51" s="63"/>
      <c r="E51" s="55"/>
      <c r="F51" s="103"/>
      <c r="G51" s="76"/>
    </row>
    <row r="52" spans="1:7" x14ac:dyDescent="0.15">
      <c r="A52" s="76"/>
      <c r="B52" s="50" t="str">
        <f t="shared" si="10"/>
        <v>FUND PRICE</v>
      </c>
      <c r="C52" s="60">
        <f>C51</f>
        <v>14.448148000000002</v>
      </c>
      <c r="D52" s="64">
        <f>(C47+C48)/C49</f>
        <v>0.23076923076923073</v>
      </c>
      <c r="E52" s="65">
        <f>C52*$B$1</f>
        <v>0</v>
      </c>
      <c r="F52" s="142"/>
      <c r="G52" s="76"/>
    </row>
    <row r="53" spans="1:7" x14ac:dyDescent="0.15">
      <c r="C53" s="47"/>
      <c r="F53" s="102"/>
    </row>
    <row r="54" spans="1:7" x14ac:dyDescent="0.15">
      <c r="C54" s="90"/>
    </row>
    <row r="55" spans="1:7" x14ac:dyDescent="0.15">
      <c r="C55" s="99"/>
    </row>
    <row r="56" spans="1:7" x14ac:dyDescent="0.15">
      <c r="C56" s="99"/>
    </row>
    <row r="57" spans="1:7" x14ac:dyDescent="0.15">
      <c r="C57" s="47"/>
      <c r="D57" s="47"/>
    </row>
    <row r="58" spans="1:7" x14ac:dyDescent="0.15">
      <c r="C58" s="100"/>
      <c r="D58" s="100"/>
    </row>
    <row r="59" spans="1:7" x14ac:dyDescent="0.15">
      <c r="C59" s="99"/>
      <c r="D59" s="99"/>
    </row>
    <row r="61" spans="1:7" x14ac:dyDescent="0.15">
      <c r="C61" s="99"/>
    </row>
    <row r="62" spans="1:7" x14ac:dyDescent="0.15">
      <c r="C62" s="99"/>
    </row>
    <row r="63" spans="1:7" x14ac:dyDescent="0.15">
      <c r="C63" s="99"/>
      <c r="D63" s="99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horizontalDpi="300" verticalDpi="300"/>
  <headerFooter>
    <oddHeader>&amp;C&amp;"Times New Roman,Regular"&amp;12&amp;A</oddHeader>
    <oddFooter>&amp;C&amp;"Times New Roman,Regular"&amp;12Page &amp;P</oddFooter>
  </headerFooter>
  <ignoredErrors>
    <ignoredError sqref="C29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A61"/>
  <sheetViews>
    <sheetView zoomScaleNormal="100" zoomScalePageLayoutView="150" workbookViewId="0">
      <pane xSplit="1" topLeftCell="B1" activePane="topRight" state="frozen"/>
      <selection sqref="A1:A10"/>
      <selection pane="topRight" activeCell="B1" sqref="B1"/>
    </sheetView>
  </sheetViews>
  <sheetFormatPr defaultColWidth="12.42578125" defaultRowHeight="10.5" x14ac:dyDescent="0.15"/>
  <cols>
    <col min="1" max="1" width="43" style="72" bestFit="1" customWidth="1"/>
    <col min="2" max="2" width="4.7109375" style="72" customWidth="1"/>
    <col min="3" max="3" width="12" style="72" bestFit="1" customWidth="1"/>
    <col min="4" max="183" width="10.7109375" style="72" customWidth="1"/>
    <col min="184" max="16384" width="12.42578125" style="72"/>
  </cols>
  <sheetData>
    <row r="1" spans="1:29" x14ac:dyDescent="0.15">
      <c r="A1" s="289" t="s">
        <v>335</v>
      </c>
      <c r="C1" s="244" t="s">
        <v>336</v>
      </c>
      <c r="D1" s="244" t="s">
        <v>337</v>
      </c>
      <c r="F1" s="364" t="s">
        <v>360</v>
      </c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</row>
    <row r="2" spans="1:29" x14ac:dyDescent="0.15">
      <c r="A2" s="72" t="s">
        <v>532</v>
      </c>
      <c r="C2" s="290">
        <f>Unit_Internal!E52</f>
        <v>0</v>
      </c>
      <c r="D2" s="290">
        <f>Unit_Internal!E49</f>
        <v>0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x14ac:dyDescent="0.15">
      <c r="A3" s="72" t="s">
        <v>338</v>
      </c>
      <c r="C3" s="290">
        <f>-SUM(Unit_Internal!E44:E45)</f>
        <v>0</v>
      </c>
      <c r="D3" s="290">
        <f>-Unit_Internal!E44</f>
        <v>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</row>
    <row r="4" spans="1:29" x14ac:dyDescent="0.15">
      <c r="A4" s="72" t="s">
        <v>339</v>
      </c>
      <c r="C4" s="290">
        <f>SUM(C2:C3)</f>
        <v>0</v>
      </c>
      <c r="D4" s="290">
        <f>SUM(D2:D3)</f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</row>
    <row r="5" spans="1:29" x14ac:dyDescent="0.15">
      <c r="A5" s="72" t="s">
        <v>340</v>
      </c>
      <c r="C5" s="291" t="str">
        <f>IFERROR(C4/C2,"NaN")</f>
        <v>NaN</v>
      </c>
      <c r="D5" s="291" t="str">
        <f>IFERROR(D4/D2,"NaN")</f>
        <v>NaN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1:29" x14ac:dyDescent="0.15">
      <c r="A6" s="72" t="s">
        <v>533</v>
      </c>
      <c r="C6" s="290">
        <f>-$C$12</f>
        <v>0</v>
      </c>
      <c r="D6" s="290">
        <f>-$C$12/(1+IVA)</f>
        <v>0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</row>
    <row r="7" spans="1:29" x14ac:dyDescent="0.15">
      <c r="A7" s="72" t="s">
        <v>534</v>
      </c>
      <c r="C7" s="290">
        <f>$C$23</f>
        <v>0</v>
      </c>
      <c r="D7" s="290">
        <f>$C$23</f>
        <v>0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</row>
    <row r="8" spans="1:29" x14ac:dyDescent="0.15">
      <c r="A8" s="72" t="s">
        <v>535</v>
      </c>
      <c r="C8" s="290">
        <f>C4+C6+C7</f>
        <v>0</v>
      </c>
      <c r="D8" s="290">
        <f>D4+D6+D7</f>
        <v>0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</row>
    <row r="9" spans="1:29" x14ac:dyDescent="0.15">
      <c r="A9" s="72" t="s">
        <v>340</v>
      </c>
      <c r="C9" s="291" t="str">
        <f>IFERROR(C8/C2,"NaN")</f>
        <v>NaN</v>
      </c>
      <c r="D9" s="291" t="str">
        <f>IFERROR(D8/D2,"NaN")</f>
        <v>NaN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</row>
    <row r="10" spans="1:29" x14ac:dyDescent="0.15">
      <c r="C10" s="290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</row>
    <row r="11" spans="1:29" x14ac:dyDescent="0.15">
      <c r="A11" s="72" t="s">
        <v>341</v>
      </c>
      <c r="C11" s="290">
        <f>C$2*Inputs_MySOL!$B$8</f>
        <v>0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</row>
    <row r="12" spans="1:29" x14ac:dyDescent="0.15">
      <c r="A12" s="72" t="s">
        <v>536</v>
      </c>
      <c r="C12" s="290">
        <f>C$2*Inputs_MySOL!$B$9</f>
        <v>0</v>
      </c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</row>
    <row r="13" spans="1:29" x14ac:dyDescent="0.15">
      <c r="C13" s="290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</row>
    <row r="14" spans="1:29" x14ac:dyDescent="0.15">
      <c r="A14" s="72" t="s">
        <v>685</v>
      </c>
      <c r="C14" s="290">
        <f>Cust_InitialPymt</f>
        <v>0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</row>
    <row r="15" spans="1:29" x14ac:dyDescent="0.15">
      <c r="A15" s="463" t="s">
        <v>673</v>
      </c>
      <c r="C15" s="290">
        <f>MIN(C14, priceEGaugeUSD*MXNperUSD*(1+IVA))</f>
        <v>0</v>
      </c>
      <c r="D15" s="42" t="s">
        <v>678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</row>
    <row r="16" spans="1:29" x14ac:dyDescent="0.15">
      <c r="A16" s="463" t="s">
        <v>680</v>
      </c>
      <c r="C16" s="290">
        <f>priceEGaugeUSD*MXNperUSD*(1+IVA)-C15</f>
        <v>8352</v>
      </c>
      <c r="D16" s="42" t="s">
        <v>679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</row>
    <row r="17" spans="1:69" x14ac:dyDescent="0.15">
      <c r="A17" s="463" t="s">
        <v>670</v>
      </c>
      <c r="C17" s="290">
        <f>C14-C15</f>
        <v>0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</row>
    <row r="18" spans="1:69" x14ac:dyDescent="0.15">
      <c r="A18" s="463" t="s">
        <v>674</v>
      </c>
      <c r="C18" s="290">
        <f>MIN(C17,-SUMIF(D29:R29,"&gt;"&amp;Cust_LeaseTermYears,D31:R31))</f>
        <v>0</v>
      </c>
      <c r="D18" s="42" t="s">
        <v>684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1:69" x14ac:dyDescent="0.15">
      <c r="A19" s="463" t="s">
        <v>675</v>
      </c>
      <c r="C19" s="290">
        <f>(-SUMIF(D29:R29,"&gt;"&amp;Cust_LeaseTermYears,D31:R31))-C18</f>
        <v>0</v>
      </c>
      <c r="D19" s="42" t="s">
        <v>683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1:69" x14ac:dyDescent="0.15">
      <c r="A20" s="72" t="s">
        <v>686</v>
      </c>
      <c r="C20" s="290">
        <f>C14-C15-C18</f>
        <v>0</v>
      </c>
      <c r="D20" s="42" t="s">
        <v>682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1:69" x14ac:dyDescent="0.15">
      <c r="C21" s="290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</row>
    <row r="22" spans="1:69" x14ac:dyDescent="0.15">
      <c r="A22" s="72" t="s">
        <v>342</v>
      </c>
      <c r="C22" s="290">
        <f>$C$20*Inputs_MySOL!B14</f>
        <v>0</v>
      </c>
      <c r="D22" s="377"/>
      <c r="E22" s="290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</row>
    <row r="23" spans="1:69" x14ac:dyDescent="0.15">
      <c r="A23" s="72" t="s">
        <v>537</v>
      </c>
      <c r="C23" s="290">
        <f>$C$20*Inputs_MySOL!B15</f>
        <v>0</v>
      </c>
      <c r="D23" s="377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1:69" x14ac:dyDescent="0.15">
      <c r="C24" s="290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</row>
    <row r="25" spans="1:69" x14ac:dyDescent="0.15">
      <c r="A25" s="292" t="s">
        <v>343</v>
      </c>
      <c r="C25" s="290">
        <f>-$C$2*Inputs_MySOL!B14</f>
        <v>0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</row>
    <row r="26" spans="1:69" x14ac:dyDescent="0.15">
      <c r="A26" s="292" t="s">
        <v>538</v>
      </c>
      <c r="C26" s="290">
        <f>-$C$2*Inputs_MySOL!B15</f>
        <v>0</v>
      </c>
      <c r="D26" s="291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</row>
    <row r="27" spans="1:69" x14ac:dyDescent="0.15">
      <c r="A27" s="42"/>
      <c r="C27" s="294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</row>
    <row r="28" spans="1:69" x14ac:dyDescent="0.15">
      <c r="A28" s="289" t="s">
        <v>344</v>
      </c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</row>
    <row r="29" spans="1:69" x14ac:dyDescent="0.15">
      <c r="A29" s="295" t="s">
        <v>20</v>
      </c>
      <c r="C29" s="296">
        <v>0</v>
      </c>
      <c r="D29" s="297">
        <v>1</v>
      </c>
      <c r="E29" s="297">
        <v>2</v>
      </c>
      <c r="F29" s="297">
        <v>3</v>
      </c>
      <c r="G29" s="297">
        <v>4</v>
      </c>
      <c r="H29" s="297">
        <v>5</v>
      </c>
      <c r="I29" s="297">
        <v>6</v>
      </c>
      <c r="J29" s="297">
        <v>7</v>
      </c>
      <c r="K29" s="297">
        <v>8</v>
      </c>
      <c r="L29" s="297">
        <v>9</v>
      </c>
      <c r="M29" s="297">
        <v>10</v>
      </c>
      <c r="N29" s="297">
        <v>11</v>
      </c>
      <c r="O29" s="297">
        <v>12</v>
      </c>
      <c r="P29" s="297">
        <v>13</v>
      </c>
      <c r="Q29" s="297">
        <v>14</v>
      </c>
      <c r="R29" s="298">
        <v>15</v>
      </c>
      <c r="S29" s="74"/>
      <c r="T29" s="74"/>
      <c r="U29" s="74"/>
      <c r="V29" s="74"/>
      <c r="W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</row>
    <row r="30" spans="1:69" ht="10.5" customHeight="1" x14ac:dyDescent="0.15">
      <c r="A30" s="299" t="s">
        <v>345</v>
      </c>
      <c r="B30" s="300"/>
      <c r="C30" s="301"/>
      <c r="D30" s="302">
        <f>Sys_kWhPerYear*MySol_TotalRate*(1+IVA)</f>
        <v>0</v>
      </c>
      <c r="E30" s="302">
        <f t="shared" ref="E30:R30" si="0">D30*(1+FinYrIncr)</f>
        <v>0</v>
      </c>
      <c r="F30" s="302">
        <f t="shared" si="0"/>
        <v>0</v>
      </c>
      <c r="G30" s="302">
        <f t="shared" si="0"/>
        <v>0</v>
      </c>
      <c r="H30" s="302">
        <f t="shared" si="0"/>
        <v>0</v>
      </c>
      <c r="I30" s="302">
        <f t="shared" si="0"/>
        <v>0</v>
      </c>
      <c r="J30" s="302">
        <f t="shared" si="0"/>
        <v>0</v>
      </c>
      <c r="K30" s="302">
        <f t="shared" si="0"/>
        <v>0</v>
      </c>
      <c r="L30" s="302">
        <f t="shared" si="0"/>
        <v>0</v>
      </c>
      <c r="M30" s="302">
        <f t="shared" si="0"/>
        <v>0</v>
      </c>
      <c r="N30" s="302">
        <f t="shared" si="0"/>
        <v>0</v>
      </c>
      <c r="O30" s="302">
        <f t="shared" si="0"/>
        <v>0</v>
      </c>
      <c r="P30" s="302">
        <f t="shared" si="0"/>
        <v>0</v>
      </c>
      <c r="Q30" s="302">
        <f t="shared" si="0"/>
        <v>0</v>
      </c>
      <c r="R30" s="303">
        <f t="shared" si="0"/>
        <v>0</v>
      </c>
      <c r="S30" s="74"/>
      <c r="T30" s="74"/>
      <c r="U30" s="74"/>
      <c r="V30" s="74"/>
      <c r="W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</row>
    <row r="31" spans="1:69" ht="10.5" customHeight="1" x14ac:dyDescent="0.15">
      <c r="A31" s="304" t="s">
        <v>346</v>
      </c>
      <c r="B31" s="300"/>
      <c r="C31" s="305"/>
      <c r="D31" s="294">
        <f>-Inputs_MySOL!$B$20</f>
        <v>0</v>
      </c>
      <c r="E31" s="290">
        <f t="shared" ref="E31:R31" si="1">D31*(1+InflationRate)</f>
        <v>0</v>
      </c>
      <c r="F31" s="290">
        <f t="shared" si="1"/>
        <v>0</v>
      </c>
      <c r="G31" s="290">
        <f t="shared" si="1"/>
        <v>0</v>
      </c>
      <c r="H31" s="290">
        <f t="shared" si="1"/>
        <v>0</v>
      </c>
      <c r="I31" s="290">
        <f t="shared" si="1"/>
        <v>0</v>
      </c>
      <c r="J31" s="290">
        <f t="shared" si="1"/>
        <v>0</v>
      </c>
      <c r="K31" s="290">
        <f t="shared" si="1"/>
        <v>0</v>
      </c>
      <c r="L31" s="290">
        <f t="shared" si="1"/>
        <v>0</v>
      </c>
      <c r="M31" s="290">
        <f t="shared" si="1"/>
        <v>0</v>
      </c>
      <c r="N31" s="290">
        <f t="shared" si="1"/>
        <v>0</v>
      </c>
      <c r="O31" s="290">
        <f t="shared" si="1"/>
        <v>0</v>
      </c>
      <c r="P31" s="290">
        <f t="shared" si="1"/>
        <v>0</v>
      </c>
      <c r="Q31" s="290">
        <f t="shared" si="1"/>
        <v>0</v>
      </c>
      <c r="R31" s="306">
        <f t="shared" si="1"/>
        <v>0</v>
      </c>
      <c r="S31" s="74"/>
      <c r="T31" s="74"/>
      <c r="U31" s="74"/>
      <c r="V31" s="74"/>
      <c r="W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</row>
    <row r="32" spans="1:69" x14ac:dyDescent="0.15">
      <c r="A32" s="307" t="s">
        <v>347</v>
      </c>
      <c r="B32" s="308"/>
      <c r="C32" s="309">
        <f>C26</f>
        <v>0</v>
      </c>
      <c r="D32" s="310">
        <f>MIN(0,C33)</f>
        <v>0</v>
      </c>
      <c r="E32" s="310">
        <f t="shared" ref="E32:R32" si="2">MIN(0,D33*(1+InflationRate))</f>
        <v>0</v>
      </c>
      <c r="F32" s="310">
        <f t="shared" si="2"/>
        <v>0</v>
      </c>
      <c r="G32" s="311">
        <f t="shared" si="2"/>
        <v>0</v>
      </c>
      <c r="H32" s="311">
        <f t="shared" si="2"/>
        <v>0</v>
      </c>
      <c r="I32" s="310">
        <f t="shared" si="2"/>
        <v>0</v>
      </c>
      <c r="J32" s="310">
        <f t="shared" si="2"/>
        <v>0</v>
      </c>
      <c r="K32" s="310">
        <f t="shared" si="2"/>
        <v>0</v>
      </c>
      <c r="L32" s="310">
        <f t="shared" si="2"/>
        <v>0</v>
      </c>
      <c r="M32" s="310">
        <f t="shared" si="2"/>
        <v>0</v>
      </c>
      <c r="N32" s="310">
        <f t="shared" si="2"/>
        <v>0</v>
      </c>
      <c r="O32" s="310">
        <f t="shared" si="2"/>
        <v>0</v>
      </c>
      <c r="P32" s="310">
        <f t="shared" si="2"/>
        <v>0</v>
      </c>
      <c r="Q32" s="310">
        <f t="shared" si="2"/>
        <v>0</v>
      </c>
      <c r="R32" s="312">
        <f t="shared" si="2"/>
        <v>0</v>
      </c>
      <c r="S32" s="74"/>
      <c r="T32" s="74"/>
      <c r="U32" s="74"/>
      <c r="V32" s="74"/>
      <c r="W32" s="74"/>
      <c r="X32" s="293"/>
      <c r="Y32" s="293"/>
      <c r="Z32" s="293"/>
      <c r="AA32" s="293"/>
      <c r="AB32" s="293"/>
      <c r="AC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</row>
    <row r="33" spans="1:183" x14ac:dyDescent="0.15">
      <c r="A33" s="292" t="s">
        <v>348</v>
      </c>
      <c r="B33" s="42"/>
      <c r="C33" s="313">
        <f t="shared" ref="C33:M33" si="3">SUM(C30:C32)</f>
        <v>0</v>
      </c>
      <c r="D33" s="290">
        <f t="shared" si="3"/>
        <v>0</v>
      </c>
      <c r="E33" s="290">
        <f t="shared" si="3"/>
        <v>0</v>
      </c>
      <c r="F33" s="290">
        <f t="shared" si="3"/>
        <v>0</v>
      </c>
      <c r="G33" s="290">
        <f t="shared" si="3"/>
        <v>0</v>
      </c>
      <c r="H33" s="290">
        <f t="shared" si="3"/>
        <v>0</v>
      </c>
      <c r="I33" s="290">
        <f t="shared" si="3"/>
        <v>0</v>
      </c>
      <c r="J33" s="290">
        <f t="shared" si="3"/>
        <v>0</v>
      </c>
      <c r="K33" s="290">
        <f t="shared" si="3"/>
        <v>0</v>
      </c>
      <c r="L33" s="290">
        <f t="shared" si="3"/>
        <v>0</v>
      </c>
      <c r="M33" s="290">
        <f t="shared" si="3"/>
        <v>0</v>
      </c>
      <c r="N33" s="290">
        <f t="shared" ref="N33:R33" si="4">SUM(N30:N32)</f>
        <v>0</v>
      </c>
      <c r="O33" s="290">
        <f t="shared" si="4"/>
        <v>0</v>
      </c>
      <c r="P33" s="290">
        <f t="shared" si="4"/>
        <v>0</v>
      </c>
      <c r="Q33" s="290">
        <f t="shared" si="4"/>
        <v>0</v>
      </c>
      <c r="R33" s="306">
        <f t="shared" si="4"/>
        <v>0</v>
      </c>
      <c r="S33" s="74"/>
      <c r="T33" s="74"/>
      <c r="U33" s="74"/>
      <c r="V33" s="74"/>
      <c r="W33" s="74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</row>
    <row r="34" spans="1:183" x14ac:dyDescent="0.15">
      <c r="A34" s="292" t="s">
        <v>349</v>
      </c>
      <c r="B34" s="42"/>
      <c r="C34" s="313">
        <f>IF(C33&lt;0,0,C33*CorpTaxRate)</f>
        <v>0</v>
      </c>
      <c r="D34" s="290">
        <f t="shared" ref="D34:R34" si="5">IF(D33&lt;0,0,-D33*CorpTaxRate)</f>
        <v>0</v>
      </c>
      <c r="E34" s="290">
        <f t="shared" si="5"/>
        <v>0</v>
      </c>
      <c r="F34" s="290">
        <f t="shared" si="5"/>
        <v>0</v>
      </c>
      <c r="G34" s="290">
        <f t="shared" si="5"/>
        <v>0</v>
      </c>
      <c r="H34" s="290">
        <f t="shared" si="5"/>
        <v>0</v>
      </c>
      <c r="I34" s="290">
        <f t="shared" si="5"/>
        <v>0</v>
      </c>
      <c r="J34" s="290">
        <f t="shared" si="5"/>
        <v>0</v>
      </c>
      <c r="K34" s="290">
        <f t="shared" si="5"/>
        <v>0</v>
      </c>
      <c r="L34" s="290">
        <f t="shared" si="5"/>
        <v>0</v>
      </c>
      <c r="M34" s="290">
        <f t="shared" si="5"/>
        <v>0</v>
      </c>
      <c r="N34" s="290">
        <f t="shared" si="5"/>
        <v>0</v>
      </c>
      <c r="O34" s="290">
        <f t="shared" si="5"/>
        <v>0</v>
      </c>
      <c r="P34" s="290">
        <f t="shared" si="5"/>
        <v>0</v>
      </c>
      <c r="Q34" s="290">
        <f t="shared" si="5"/>
        <v>0</v>
      </c>
      <c r="R34" s="306">
        <f t="shared" si="5"/>
        <v>0</v>
      </c>
      <c r="S34" s="74"/>
      <c r="T34" s="74"/>
      <c r="U34" s="74"/>
      <c r="V34" s="74"/>
      <c r="W34" s="74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</row>
    <row r="35" spans="1:183" x14ac:dyDescent="0.15">
      <c r="A35" s="295" t="s">
        <v>350</v>
      </c>
      <c r="C35" s="314">
        <f t="shared" ref="C35" si="6">C30-C34</f>
        <v>0</v>
      </c>
      <c r="D35" s="315">
        <f>SUM(D30:D31)+D34</f>
        <v>0</v>
      </c>
      <c r="E35" s="315">
        <f t="shared" ref="E35:R35" si="7">SUM(E30:E31)+E34</f>
        <v>0</v>
      </c>
      <c r="F35" s="315">
        <f t="shared" si="7"/>
        <v>0</v>
      </c>
      <c r="G35" s="315">
        <f t="shared" si="7"/>
        <v>0</v>
      </c>
      <c r="H35" s="315">
        <f t="shared" si="7"/>
        <v>0</v>
      </c>
      <c r="I35" s="315">
        <f t="shared" si="7"/>
        <v>0</v>
      </c>
      <c r="J35" s="315">
        <f t="shared" si="7"/>
        <v>0</v>
      </c>
      <c r="K35" s="315">
        <f t="shared" si="7"/>
        <v>0</v>
      </c>
      <c r="L35" s="315">
        <f t="shared" si="7"/>
        <v>0</v>
      </c>
      <c r="M35" s="315">
        <f t="shared" si="7"/>
        <v>0</v>
      </c>
      <c r="N35" s="315">
        <f t="shared" si="7"/>
        <v>0</v>
      </c>
      <c r="O35" s="315">
        <f t="shared" si="7"/>
        <v>0</v>
      </c>
      <c r="P35" s="315">
        <f t="shared" si="7"/>
        <v>0</v>
      </c>
      <c r="Q35" s="315">
        <f t="shared" si="7"/>
        <v>0</v>
      </c>
      <c r="R35" s="316">
        <f t="shared" si="7"/>
        <v>0</v>
      </c>
      <c r="S35" s="74"/>
      <c r="T35" s="74"/>
      <c r="U35" s="74"/>
      <c r="V35" s="74"/>
      <c r="W35" s="74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</row>
    <row r="36" spans="1:183" x14ac:dyDescent="0.15">
      <c r="A36" s="42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</row>
    <row r="37" spans="1:183" x14ac:dyDescent="0.15">
      <c r="A37" s="42"/>
      <c r="B37" s="42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3"/>
      <c r="S37" s="293"/>
      <c r="T37" s="293"/>
      <c r="U37" s="293"/>
      <c r="V37" s="293"/>
      <c r="W37" s="293"/>
      <c r="X37" s="293"/>
      <c r="Y37" s="318"/>
      <c r="Z37" s="318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</row>
    <row r="38" spans="1:183" x14ac:dyDescent="0.15">
      <c r="A38" s="289" t="s">
        <v>351</v>
      </c>
    </row>
    <row r="39" spans="1:183" x14ac:dyDescent="0.15">
      <c r="A39" s="319" t="s">
        <v>352</v>
      </c>
      <c r="C39" s="320">
        <v>0</v>
      </c>
      <c r="D39" s="321">
        <v>1</v>
      </c>
      <c r="E39" s="321">
        <v>2</v>
      </c>
      <c r="F39" s="321">
        <v>3</v>
      </c>
      <c r="G39" s="321">
        <v>4</v>
      </c>
      <c r="H39" s="321">
        <v>5</v>
      </c>
      <c r="I39" s="321">
        <v>6</v>
      </c>
      <c r="J39" s="321">
        <v>7</v>
      </c>
      <c r="K39" s="321">
        <v>8</v>
      </c>
      <c r="L39" s="321">
        <v>9</v>
      </c>
      <c r="M39" s="321">
        <v>10</v>
      </c>
      <c r="N39" s="321">
        <v>11</v>
      </c>
      <c r="O39" s="321">
        <v>12</v>
      </c>
      <c r="P39" s="321">
        <v>13</v>
      </c>
      <c r="Q39" s="321">
        <v>14</v>
      </c>
      <c r="R39" s="321">
        <v>15</v>
      </c>
      <c r="S39" s="321">
        <v>16</v>
      </c>
      <c r="T39" s="321">
        <v>17</v>
      </c>
      <c r="U39" s="321">
        <v>18</v>
      </c>
      <c r="V39" s="321">
        <v>19</v>
      </c>
      <c r="W39" s="321">
        <v>20</v>
      </c>
      <c r="X39" s="321">
        <v>21</v>
      </c>
      <c r="Y39" s="321">
        <v>22</v>
      </c>
      <c r="Z39" s="321">
        <v>23</v>
      </c>
      <c r="AA39" s="321">
        <v>24</v>
      </c>
      <c r="AB39" s="321">
        <v>25</v>
      </c>
      <c r="AC39" s="321">
        <v>26</v>
      </c>
      <c r="AD39" s="321">
        <v>27</v>
      </c>
      <c r="AE39" s="321">
        <v>28</v>
      </c>
      <c r="AF39" s="321">
        <v>29</v>
      </c>
      <c r="AG39" s="321">
        <v>30</v>
      </c>
      <c r="AH39" s="321">
        <v>31</v>
      </c>
      <c r="AI39" s="321">
        <v>32</v>
      </c>
      <c r="AJ39" s="321">
        <v>33</v>
      </c>
      <c r="AK39" s="321">
        <v>34</v>
      </c>
      <c r="AL39" s="321">
        <v>35</v>
      </c>
      <c r="AM39" s="321">
        <v>36</v>
      </c>
      <c r="AN39" s="321">
        <v>37</v>
      </c>
      <c r="AO39" s="321">
        <v>38</v>
      </c>
      <c r="AP39" s="321">
        <v>39</v>
      </c>
      <c r="AQ39" s="321">
        <v>40</v>
      </c>
      <c r="AR39" s="321">
        <v>41</v>
      </c>
      <c r="AS39" s="321">
        <v>42</v>
      </c>
      <c r="AT39" s="321">
        <v>43</v>
      </c>
      <c r="AU39" s="321">
        <v>44</v>
      </c>
      <c r="AV39" s="321">
        <v>45</v>
      </c>
      <c r="AW39" s="321">
        <v>46</v>
      </c>
      <c r="AX39" s="321">
        <v>47</v>
      </c>
      <c r="AY39" s="321">
        <v>48</v>
      </c>
      <c r="AZ39" s="321">
        <v>49</v>
      </c>
      <c r="BA39" s="321">
        <v>50</v>
      </c>
      <c r="BB39" s="321">
        <v>51</v>
      </c>
      <c r="BC39" s="321">
        <v>52</v>
      </c>
      <c r="BD39" s="321">
        <v>53</v>
      </c>
      <c r="BE39" s="321">
        <v>54</v>
      </c>
      <c r="BF39" s="321">
        <v>55</v>
      </c>
      <c r="BG39" s="321">
        <v>56</v>
      </c>
      <c r="BH39" s="321">
        <v>57</v>
      </c>
      <c r="BI39" s="321">
        <v>58</v>
      </c>
      <c r="BJ39" s="321">
        <v>59</v>
      </c>
      <c r="BK39" s="321">
        <v>60</v>
      </c>
      <c r="BL39" s="321">
        <v>61</v>
      </c>
      <c r="BM39" s="321">
        <v>62</v>
      </c>
      <c r="BN39" s="321">
        <v>63</v>
      </c>
      <c r="BO39" s="321">
        <v>64</v>
      </c>
      <c r="BP39" s="321">
        <v>65</v>
      </c>
      <c r="BQ39" s="321">
        <v>66</v>
      </c>
      <c r="BR39" s="321">
        <v>67</v>
      </c>
      <c r="BS39" s="321">
        <v>68</v>
      </c>
      <c r="BT39" s="321">
        <v>69</v>
      </c>
      <c r="BU39" s="321">
        <v>70</v>
      </c>
      <c r="BV39" s="321">
        <v>71</v>
      </c>
      <c r="BW39" s="321">
        <v>72</v>
      </c>
      <c r="BX39" s="321">
        <v>73</v>
      </c>
      <c r="BY39" s="321">
        <v>74</v>
      </c>
      <c r="BZ39" s="321">
        <v>75</v>
      </c>
      <c r="CA39" s="321">
        <v>76</v>
      </c>
      <c r="CB39" s="321">
        <v>77</v>
      </c>
      <c r="CC39" s="321">
        <v>78</v>
      </c>
      <c r="CD39" s="321">
        <v>79</v>
      </c>
      <c r="CE39" s="321">
        <v>80</v>
      </c>
      <c r="CF39" s="321">
        <v>81</v>
      </c>
      <c r="CG39" s="321">
        <v>82</v>
      </c>
      <c r="CH39" s="321">
        <v>83</v>
      </c>
      <c r="CI39" s="321">
        <v>84</v>
      </c>
      <c r="CJ39" s="321">
        <v>85</v>
      </c>
      <c r="CK39" s="321">
        <v>86</v>
      </c>
      <c r="CL39" s="321">
        <v>87</v>
      </c>
      <c r="CM39" s="321">
        <v>88</v>
      </c>
      <c r="CN39" s="321">
        <v>89</v>
      </c>
      <c r="CO39" s="321">
        <v>90</v>
      </c>
      <c r="CP39" s="321">
        <v>91</v>
      </c>
      <c r="CQ39" s="321">
        <v>92</v>
      </c>
      <c r="CR39" s="321">
        <v>93</v>
      </c>
      <c r="CS39" s="321">
        <v>94</v>
      </c>
      <c r="CT39" s="321">
        <v>95</v>
      </c>
      <c r="CU39" s="321">
        <v>96</v>
      </c>
      <c r="CV39" s="321">
        <v>97</v>
      </c>
      <c r="CW39" s="321">
        <v>98</v>
      </c>
      <c r="CX39" s="321">
        <v>99</v>
      </c>
      <c r="CY39" s="321">
        <v>100</v>
      </c>
      <c r="CZ39" s="321">
        <v>101</v>
      </c>
      <c r="DA39" s="321">
        <v>102</v>
      </c>
      <c r="DB39" s="321">
        <v>103</v>
      </c>
      <c r="DC39" s="321">
        <v>104</v>
      </c>
      <c r="DD39" s="321">
        <v>105</v>
      </c>
      <c r="DE39" s="321">
        <v>106</v>
      </c>
      <c r="DF39" s="321">
        <v>107</v>
      </c>
      <c r="DG39" s="321">
        <v>108</v>
      </c>
      <c r="DH39" s="321">
        <v>109</v>
      </c>
      <c r="DI39" s="321">
        <v>110</v>
      </c>
      <c r="DJ39" s="321">
        <v>111</v>
      </c>
      <c r="DK39" s="321">
        <v>112</v>
      </c>
      <c r="DL39" s="321">
        <v>113</v>
      </c>
      <c r="DM39" s="321">
        <v>114</v>
      </c>
      <c r="DN39" s="321">
        <v>115</v>
      </c>
      <c r="DO39" s="321">
        <v>116</v>
      </c>
      <c r="DP39" s="321">
        <v>117</v>
      </c>
      <c r="DQ39" s="321">
        <v>118</v>
      </c>
      <c r="DR39" s="321">
        <v>119</v>
      </c>
      <c r="DS39" s="321">
        <v>120</v>
      </c>
      <c r="DT39" s="321">
        <v>121</v>
      </c>
      <c r="DU39" s="321">
        <v>122</v>
      </c>
      <c r="DV39" s="321">
        <v>123</v>
      </c>
      <c r="DW39" s="321">
        <v>124</v>
      </c>
      <c r="DX39" s="321">
        <v>125</v>
      </c>
      <c r="DY39" s="321">
        <v>126</v>
      </c>
      <c r="DZ39" s="321">
        <v>127</v>
      </c>
      <c r="EA39" s="321">
        <v>128</v>
      </c>
      <c r="EB39" s="321">
        <v>129</v>
      </c>
      <c r="EC39" s="321">
        <v>130</v>
      </c>
      <c r="ED39" s="321">
        <v>131</v>
      </c>
      <c r="EE39" s="321">
        <v>132</v>
      </c>
      <c r="EF39" s="321">
        <v>133</v>
      </c>
      <c r="EG39" s="321">
        <v>134</v>
      </c>
      <c r="EH39" s="321">
        <v>135</v>
      </c>
      <c r="EI39" s="321">
        <v>136</v>
      </c>
      <c r="EJ39" s="321">
        <v>137</v>
      </c>
      <c r="EK39" s="321">
        <v>138</v>
      </c>
      <c r="EL39" s="321">
        <v>139</v>
      </c>
      <c r="EM39" s="321">
        <v>140</v>
      </c>
      <c r="EN39" s="321">
        <v>141</v>
      </c>
      <c r="EO39" s="321">
        <v>142</v>
      </c>
      <c r="EP39" s="321">
        <v>143</v>
      </c>
      <c r="EQ39" s="321">
        <v>144</v>
      </c>
      <c r="ER39" s="321">
        <v>145</v>
      </c>
      <c r="ES39" s="321">
        <v>146</v>
      </c>
      <c r="ET39" s="321">
        <v>147</v>
      </c>
      <c r="EU39" s="321">
        <v>148</v>
      </c>
      <c r="EV39" s="321">
        <v>149</v>
      </c>
      <c r="EW39" s="321">
        <v>150</v>
      </c>
      <c r="EX39" s="321">
        <v>151</v>
      </c>
      <c r="EY39" s="321">
        <v>152</v>
      </c>
      <c r="EZ39" s="321">
        <v>153</v>
      </c>
      <c r="FA39" s="321">
        <v>154</v>
      </c>
      <c r="FB39" s="321">
        <v>155</v>
      </c>
      <c r="FC39" s="321">
        <v>156</v>
      </c>
      <c r="FD39" s="321">
        <v>157</v>
      </c>
      <c r="FE39" s="321">
        <v>158</v>
      </c>
      <c r="FF39" s="321">
        <v>159</v>
      </c>
      <c r="FG39" s="321">
        <v>160</v>
      </c>
      <c r="FH39" s="321">
        <v>161</v>
      </c>
      <c r="FI39" s="321">
        <v>162</v>
      </c>
      <c r="FJ39" s="321">
        <v>163</v>
      </c>
      <c r="FK39" s="321">
        <v>164</v>
      </c>
      <c r="FL39" s="321">
        <v>165</v>
      </c>
      <c r="FM39" s="321">
        <v>166</v>
      </c>
      <c r="FN39" s="321">
        <v>167</v>
      </c>
      <c r="FO39" s="321">
        <v>168</v>
      </c>
      <c r="FP39" s="321">
        <v>169</v>
      </c>
      <c r="FQ39" s="321">
        <v>170</v>
      </c>
      <c r="FR39" s="321">
        <v>171</v>
      </c>
      <c r="FS39" s="321">
        <v>172</v>
      </c>
      <c r="FT39" s="321">
        <v>173</v>
      </c>
      <c r="FU39" s="321">
        <v>174</v>
      </c>
      <c r="FV39" s="321">
        <v>175</v>
      </c>
      <c r="FW39" s="321">
        <v>176</v>
      </c>
      <c r="FX39" s="321">
        <v>177</v>
      </c>
      <c r="FY39" s="321">
        <v>178</v>
      </c>
      <c r="FZ39" s="321">
        <v>179</v>
      </c>
      <c r="GA39" s="322">
        <v>180</v>
      </c>
    </row>
    <row r="40" spans="1:183" x14ac:dyDescent="0.15">
      <c r="A40" s="323" t="s">
        <v>20</v>
      </c>
      <c r="C40" s="324">
        <f>ROUNDUP(C39/12,0)</f>
        <v>0</v>
      </c>
      <c r="D40" s="42">
        <f>ROUNDUP(D39/12,0)</f>
        <v>1</v>
      </c>
      <c r="E40" s="42">
        <f t="shared" ref="E40:BP40" si="8">ROUNDUP(E39/12,0)</f>
        <v>1</v>
      </c>
      <c r="F40" s="42">
        <f t="shared" si="8"/>
        <v>1</v>
      </c>
      <c r="G40" s="42">
        <f t="shared" si="8"/>
        <v>1</v>
      </c>
      <c r="H40" s="42">
        <f t="shared" si="8"/>
        <v>1</v>
      </c>
      <c r="I40" s="42">
        <f t="shared" si="8"/>
        <v>1</v>
      </c>
      <c r="J40" s="42">
        <f t="shared" si="8"/>
        <v>1</v>
      </c>
      <c r="K40" s="42">
        <f t="shared" si="8"/>
        <v>1</v>
      </c>
      <c r="L40" s="42">
        <f t="shared" si="8"/>
        <v>1</v>
      </c>
      <c r="M40" s="42">
        <f t="shared" si="8"/>
        <v>1</v>
      </c>
      <c r="N40" s="42">
        <f t="shared" si="8"/>
        <v>1</v>
      </c>
      <c r="O40" s="42">
        <f t="shared" si="8"/>
        <v>1</v>
      </c>
      <c r="P40" s="42">
        <f t="shared" si="8"/>
        <v>2</v>
      </c>
      <c r="Q40" s="42">
        <f t="shared" si="8"/>
        <v>2</v>
      </c>
      <c r="R40" s="42">
        <f t="shared" si="8"/>
        <v>2</v>
      </c>
      <c r="S40" s="42">
        <f t="shared" si="8"/>
        <v>2</v>
      </c>
      <c r="T40" s="42">
        <f t="shared" si="8"/>
        <v>2</v>
      </c>
      <c r="U40" s="42">
        <f t="shared" si="8"/>
        <v>2</v>
      </c>
      <c r="V40" s="42">
        <f t="shared" si="8"/>
        <v>2</v>
      </c>
      <c r="W40" s="42">
        <f t="shared" si="8"/>
        <v>2</v>
      </c>
      <c r="X40" s="42">
        <f t="shared" si="8"/>
        <v>2</v>
      </c>
      <c r="Y40" s="42">
        <f t="shared" si="8"/>
        <v>2</v>
      </c>
      <c r="Z40" s="42">
        <f t="shared" si="8"/>
        <v>2</v>
      </c>
      <c r="AA40" s="42">
        <f t="shared" si="8"/>
        <v>2</v>
      </c>
      <c r="AB40" s="42">
        <f t="shared" si="8"/>
        <v>3</v>
      </c>
      <c r="AC40" s="42">
        <f t="shared" si="8"/>
        <v>3</v>
      </c>
      <c r="AD40" s="42">
        <f t="shared" si="8"/>
        <v>3</v>
      </c>
      <c r="AE40" s="42">
        <f t="shared" si="8"/>
        <v>3</v>
      </c>
      <c r="AF40" s="42">
        <f t="shared" si="8"/>
        <v>3</v>
      </c>
      <c r="AG40" s="42">
        <f t="shared" si="8"/>
        <v>3</v>
      </c>
      <c r="AH40" s="42">
        <f t="shared" si="8"/>
        <v>3</v>
      </c>
      <c r="AI40" s="42">
        <f t="shared" si="8"/>
        <v>3</v>
      </c>
      <c r="AJ40" s="42">
        <f t="shared" si="8"/>
        <v>3</v>
      </c>
      <c r="AK40" s="42">
        <f t="shared" si="8"/>
        <v>3</v>
      </c>
      <c r="AL40" s="42">
        <f t="shared" si="8"/>
        <v>3</v>
      </c>
      <c r="AM40" s="42">
        <f t="shared" si="8"/>
        <v>3</v>
      </c>
      <c r="AN40" s="42">
        <f t="shared" si="8"/>
        <v>4</v>
      </c>
      <c r="AO40" s="42">
        <f t="shared" si="8"/>
        <v>4</v>
      </c>
      <c r="AP40" s="42">
        <f t="shared" si="8"/>
        <v>4</v>
      </c>
      <c r="AQ40" s="42">
        <f t="shared" si="8"/>
        <v>4</v>
      </c>
      <c r="AR40" s="42">
        <f t="shared" si="8"/>
        <v>4</v>
      </c>
      <c r="AS40" s="42">
        <f t="shared" si="8"/>
        <v>4</v>
      </c>
      <c r="AT40" s="42">
        <f t="shared" si="8"/>
        <v>4</v>
      </c>
      <c r="AU40" s="42">
        <f t="shared" si="8"/>
        <v>4</v>
      </c>
      <c r="AV40" s="42">
        <f t="shared" si="8"/>
        <v>4</v>
      </c>
      <c r="AW40" s="42">
        <f t="shared" si="8"/>
        <v>4</v>
      </c>
      <c r="AX40" s="42">
        <f t="shared" si="8"/>
        <v>4</v>
      </c>
      <c r="AY40" s="42">
        <f t="shared" si="8"/>
        <v>4</v>
      </c>
      <c r="AZ40" s="42">
        <f t="shared" si="8"/>
        <v>5</v>
      </c>
      <c r="BA40" s="42">
        <f t="shared" si="8"/>
        <v>5</v>
      </c>
      <c r="BB40" s="42">
        <f t="shared" si="8"/>
        <v>5</v>
      </c>
      <c r="BC40" s="42">
        <f t="shared" si="8"/>
        <v>5</v>
      </c>
      <c r="BD40" s="42">
        <f t="shared" si="8"/>
        <v>5</v>
      </c>
      <c r="BE40" s="42">
        <f t="shared" si="8"/>
        <v>5</v>
      </c>
      <c r="BF40" s="42">
        <f t="shared" si="8"/>
        <v>5</v>
      </c>
      <c r="BG40" s="42">
        <f t="shared" si="8"/>
        <v>5</v>
      </c>
      <c r="BH40" s="42">
        <f t="shared" si="8"/>
        <v>5</v>
      </c>
      <c r="BI40" s="42">
        <f t="shared" si="8"/>
        <v>5</v>
      </c>
      <c r="BJ40" s="42">
        <f t="shared" si="8"/>
        <v>5</v>
      </c>
      <c r="BK40" s="42">
        <f t="shared" si="8"/>
        <v>5</v>
      </c>
      <c r="BL40" s="42">
        <f t="shared" si="8"/>
        <v>6</v>
      </c>
      <c r="BM40" s="42">
        <f t="shared" si="8"/>
        <v>6</v>
      </c>
      <c r="BN40" s="42">
        <f t="shared" si="8"/>
        <v>6</v>
      </c>
      <c r="BO40" s="42">
        <f t="shared" si="8"/>
        <v>6</v>
      </c>
      <c r="BP40" s="42">
        <f t="shared" si="8"/>
        <v>6</v>
      </c>
      <c r="BQ40" s="42">
        <f t="shared" ref="BQ40:EB40" si="9">ROUNDUP(BQ39/12,0)</f>
        <v>6</v>
      </c>
      <c r="BR40" s="42">
        <f t="shared" si="9"/>
        <v>6</v>
      </c>
      <c r="BS40" s="42">
        <f t="shared" si="9"/>
        <v>6</v>
      </c>
      <c r="BT40" s="42">
        <f t="shared" si="9"/>
        <v>6</v>
      </c>
      <c r="BU40" s="42">
        <f t="shared" si="9"/>
        <v>6</v>
      </c>
      <c r="BV40" s="42">
        <f t="shared" si="9"/>
        <v>6</v>
      </c>
      <c r="BW40" s="42">
        <f t="shared" si="9"/>
        <v>6</v>
      </c>
      <c r="BX40" s="42">
        <f t="shared" si="9"/>
        <v>7</v>
      </c>
      <c r="BY40" s="42">
        <f t="shared" si="9"/>
        <v>7</v>
      </c>
      <c r="BZ40" s="42">
        <f t="shared" si="9"/>
        <v>7</v>
      </c>
      <c r="CA40" s="42">
        <f t="shared" si="9"/>
        <v>7</v>
      </c>
      <c r="CB40" s="42">
        <f t="shared" si="9"/>
        <v>7</v>
      </c>
      <c r="CC40" s="42">
        <f t="shared" si="9"/>
        <v>7</v>
      </c>
      <c r="CD40" s="42">
        <f t="shared" si="9"/>
        <v>7</v>
      </c>
      <c r="CE40" s="42">
        <f t="shared" si="9"/>
        <v>7</v>
      </c>
      <c r="CF40" s="42">
        <f t="shared" si="9"/>
        <v>7</v>
      </c>
      <c r="CG40" s="42">
        <f t="shared" si="9"/>
        <v>7</v>
      </c>
      <c r="CH40" s="42">
        <f t="shared" si="9"/>
        <v>7</v>
      </c>
      <c r="CI40" s="42">
        <f t="shared" si="9"/>
        <v>7</v>
      </c>
      <c r="CJ40" s="42">
        <f t="shared" si="9"/>
        <v>8</v>
      </c>
      <c r="CK40" s="42">
        <f t="shared" si="9"/>
        <v>8</v>
      </c>
      <c r="CL40" s="42">
        <f t="shared" si="9"/>
        <v>8</v>
      </c>
      <c r="CM40" s="42">
        <f t="shared" si="9"/>
        <v>8</v>
      </c>
      <c r="CN40" s="42">
        <f t="shared" si="9"/>
        <v>8</v>
      </c>
      <c r="CO40" s="42">
        <f t="shared" si="9"/>
        <v>8</v>
      </c>
      <c r="CP40" s="42">
        <f t="shared" si="9"/>
        <v>8</v>
      </c>
      <c r="CQ40" s="42">
        <f t="shared" si="9"/>
        <v>8</v>
      </c>
      <c r="CR40" s="42">
        <f t="shared" si="9"/>
        <v>8</v>
      </c>
      <c r="CS40" s="42">
        <f t="shared" si="9"/>
        <v>8</v>
      </c>
      <c r="CT40" s="42">
        <f t="shared" si="9"/>
        <v>8</v>
      </c>
      <c r="CU40" s="42">
        <f t="shared" si="9"/>
        <v>8</v>
      </c>
      <c r="CV40" s="42">
        <f t="shared" si="9"/>
        <v>9</v>
      </c>
      <c r="CW40" s="42">
        <f t="shared" si="9"/>
        <v>9</v>
      </c>
      <c r="CX40" s="42">
        <f t="shared" si="9"/>
        <v>9</v>
      </c>
      <c r="CY40" s="42">
        <f t="shared" si="9"/>
        <v>9</v>
      </c>
      <c r="CZ40" s="42">
        <f t="shared" si="9"/>
        <v>9</v>
      </c>
      <c r="DA40" s="42">
        <f t="shared" si="9"/>
        <v>9</v>
      </c>
      <c r="DB40" s="42">
        <f t="shared" si="9"/>
        <v>9</v>
      </c>
      <c r="DC40" s="42">
        <f t="shared" si="9"/>
        <v>9</v>
      </c>
      <c r="DD40" s="42">
        <f t="shared" si="9"/>
        <v>9</v>
      </c>
      <c r="DE40" s="42">
        <f t="shared" si="9"/>
        <v>9</v>
      </c>
      <c r="DF40" s="42">
        <f t="shared" si="9"/>
        <v>9</v>
      </c>
      <c r="DG40" s="42">
        <f t="shared" si="9"/>
        <v>9</v>
      </c>
      <c r="DH40" s="42">
        <f t="shared" si="9"/>
        <v>10</v>
      </c>
      <c r="DI40" s="42">
        <f t="shared" si="9"/>
        <v>10</v>
      </c>
      <c r="DJ40" s="42">
        <f t="shared" si="9"/>
        <v>10</v>
      </c>
      <c r="DK40" s="42">
        <f t="shared" si="9"/>
        <v>10</v>
      </c>
      <c r="DL40" s="42">
        <f t="shared" si="9"/>
        <v>10</v>
      </c>
      <c r="DM40" s="42">
        <f t="shared" si="9"/>
        <v>10</v>
      </c>
      <c r="DN40" s="42">
        <f t="shared" si="9"/>
        <v>10</v>
      </c>
      <c r="DO40" s="42">
        <f t="shared" si="9"/>
        <v>10</v>
      </c>
      <c r="DP40" s="42">
        <f t="shared" si="9"/>
        <v>10</v>
      </c>
      <c r="DQ40" s="42">
        <f t="shared" si="9"/>
        <v>10</v>
      </c>
      <c r="DR40" s="42">
        <f t="shared" si="9"/>
        <v>10</v>
      </c>
      <c r="DS40" s="42">
        <f t="shared" si="9"/>
        <v>10</v>
      </c>
      <c r="DT40" s="42">
        <f t="shared" si="9"/>
        <v>11</v>
      </c>
      <c r="DU40" s="42">
        <f t="shared" si="9"/>
        <v>11</v>
      </c>
      <c r="DV40" s="42">
        <f t="shared" si="9"/>
        <v>11</v>
      </c>
      <c r="DW40" s="42">
        <f t="shared" si="9"/>
        <v>11</v>
      </c>
      <c r="DX40" s="42">
        <f t="shared" si="9"/>
        <v>11</v>
      </c>
      <c r="DY40" s="42">
        <f t="shared" si="9"/>
        <v>11</v>
      </c>
      <c r="DZ40" s="42">
        <f t="shared" si="9"/>
        <v>11</v>
      </c>
      <c r="EA40" s="42">
        <f t="shared" si="9"/>
        <v>11</v>
      </c>
      <c r="EB40" s="42">
        <f t="shared" si="9"/>
        <v>11</v>
      </c>
      <c r="EC40" s="42">
        <f t="shared" ref="EC40:GA40" si="10">ROUNDUP(EC39/12,0)</f>
        <v>11</v>
      </c>
      <c r="ED40" s="42">
        <f t="shared" si="10"/>
        <v>11</v>
      </c>
      <c r="EE40" s="42">
        <f t="shared" si="10"/>
        <v>11</v>
      </c>
      <c r="EF40" s="42">
        <f t="shared" si="10"/>
        <v>12</v>
      </c>
      <c r="EG40" s="42">
        <f t="shared" si="10"/>
        <v>12</v>
      </c>
      <c r="EH40" s="42">
        <f t="shared" si="10"/>
        <v>12</v>
      </c>
      <c r="EI40" s="42">
        <f t="shared" si="10"/>
        <v>12</v>
      </c>
      <c r="EJ40" s="42">
        <f t="shared" si="10"/>
        <v>12</v>
      </c>
      <c r="EK40" s="42">
        <f t="shared" si="10"/>
        <v>12</v>
      </c>
      <c r="EL40" s="42">
        <f t="shared" si="10"/>
        <v>12</v>
      </c>
      <c r="EM40" s="42">
        <f t="shared" si="10"/>
        <v>12</v>
      </c>
      <c r="EN40" s="42">
        <f t="shared" si="10"/>
        <v>12</v>
      </c>
      <c r="EO40" s="42">
        <f t="shared" si="10"/>
        <v>12</v>
      </c>
      <c r="EP40" s="42">
        <f t="shared" si="10"/>
        <v>12</v>
      </c>
      <c r="EQ40" s="42">
        <f t="shared" si="10"/>
        <v>12</v>
      </c>
      <c r="ER40" s="42">
        <f t="shared" si="10"/>
        <v>13</v>
      </c>
      <c r="ES40" s="42">
        <f t="shared" si="10"/>
        <v>13</v>
      </c>
      <c r="ET40" s="42">
        <f t="shared" si="10"/>
        <v>13</v>
      </c>
      <c r="EU40" s="42">
        <f t="shared" si="10"/>
        <v>13</v>
      </c>
      <c r="EV40" s="42">
        <f t="shared" si="10"/>
        <v>13</v>
      </c>
      <c r="EW40" s="42">
        <f t="shared" si="10"/>
        <v>13</v>
      </c>
      <c r="EX40" s="42">
        <f t="shared" si="10"/>
        <v>13</v>
      </c>
      <c r="EY40" s="42">
        <f t="shared" si="10"/>
        <v>13</v>
      </c>
      <c r="EZ40" s="42">
        <f t="shared" si="10"/>
        <v>13</v>
      </c>
      <c r="FA40" s="42">
        <f t="shared" si="10"/>
        <v>13</v>
      </c>
      <c r="FB40" s="42">
        <f t="shared" si="10"/>
        <v>13</v>
      </c>
      <c r="FC40" s="42">
        <f t="shared" si="10"/>
        <v>13</v>
      </c>
      <c r="FD40" s="42">
        <f t="shared" si="10"/>
        <v>14</v>
      </c>
      <c r="FE40" s="42">
        <f t="shared" si="10"/>
        <v>14</v>
      </c>
      <c r="FF40" s="42">
        <f t="shared" si="10"/>
        <v>14</v>
      </c>
      <c r="FG40" s="42">
        <f t="shared" si="10"/>
        <v>14</v>
      </c>
      <c r="FH40" s="42">
        <f t="shared" si="10"/>
        <v>14</v>
      </c>
      <c r="FI40" s="42">
        <f t="shared" si="10"/>
        <v>14</v>
      </c>
      <c r="FJ40" s="42">
        <f t="shared" si="10"/>
        <v>14</v>
      </c>
      <c r="FK40" s="42">
        <f t="shared" si="10"/>
        <v>14</v>
      </c>
      <c r="FL40" s="42">
        <f t="shared" si="10"/>
        <v>14</v>
      </c>
      <c r="FM40" s="42">
        <f t="shared" si="10"/>
        <v>14</v>
      </c>
      <c r="FN40" s="42">
        <f t="shared" si="10"/>
        <v>14</v>
      </c>
      <c r="FO40" s="42">
        <f t="shared" si="10"/>
        <v>14</v>
      </c>
      <c r="FP40" s="42">
        <f t="shared" si="10"/>
        <v>15</v>
      </c>
      <c r="FQ40" s="42">
        <f t="shared" si="10"/>
        <v>15</v>
      </c>
      <c r="FR40" s="42">
        <f t="shared" si="10"/>
        <v>15</v>
      </c>
      <c r="FS40" s="42">
        <f t="shared" si="10"/>
        <v>15</v>
      </c>
      <c r="FT40" s="42">
        <f t="shared" si="10"/>
        <v>15</v>
      </c>
      <c r="FU40" s="42">
        <f t="shared" si="10"/>
        <v>15</v>
      </c>
      <c r="FV40" s="42">
        <f t="shared" si="10"/>
        <v>15</v>
      </c>
      <c r="FW40" s="42">
        <f t="shared" si="10"/>
        <v>15</v>
      </c>
      <c r="FX40" s="42">
        <f t="shared" si="10"/>
        <v>15</v>
      </c>
      <c r="FY40" s="42">
        <f t="shared" si="10"/>
        <v>15</v>
      </c>
      <c r="FZ40" s="42">
        <f t="shared" si="10"/>
        <v>15</v>
      </c>
      <c r="GA40" s="292">
        <f t="shared" si="10"/>
        <v>15</v>
      </c>
    </row>
    <row r="41" spans="1:183" x14ac:dyDescent="0.15">
      <c r="A41" s="325" t="s">
        <v>353</v>
      </c>
      <c r="C41" s="326">
        <f ca="1">DATE(YEAR(NOW()), MONTH(NOW()) + 1, 1)</f>
        <v>42948</v>
      </c>
      <c r="D41" s="327">
        <f ca="1">EOMONTH(C41,0)+1</f>
        <v>42979</v>
      </c>
      <c r="E41" s="327">
        <f t="shared" ref="E41:BP41" ca="1" si="11">EOMONTH(D41,0)+1</f>
        <v>43009</v>
      </c>
      <c r="F41" s="327">
        <f t="shared" ca="1" si="11"/>
        <v>43040</v>
      </c>
      <c r="G41" s="327">
        <f t="shared" ca="1" si="11"/>
        <v>43070</v>
      </c>
      <c r="H41" s="327">
        <f t="shared" ca="1" si="11"/>
        <v>43101</v>
      </c>
      <c r="I41" s="327">
        <f t="shared" ca="1" si="11"/>
        <v>43132</v>
      </c>
      <c r="J41" s="327">
        <f t="shared" ca="1" si="11"/>
        <v>43160</v>
      </c>
      <c r="K41" s="327">
        <f t="shared" ca="1" si="11"/>
        <v>43191</v>
      </c>
      <c r="L41" s="327">
        <f t="shared" ca="1" si="11"/>
        <v>43221</v>
      </c>
      <c r="M41" s="327">
        <f t="shared" ca="1" si="11"/>
        <v>43252</v>
      </c>
      <c r="N41" s="327">
        <f t="shared" ca="1" si="11"/>
        <v>43282</v>
      </c>
      <c r="O41" s="327">
        <f t="shared" ca="1" si="11"/>
        <v>43313</v>
      </c>
      <c r="P41" s="327">
        <f t="shared" ca="1" si="11"/>
        <v>43344</v>
      </c>
      <c r="Q41" s="327">
        <f t="shared" ca="1" si="11"/>
        <v>43374</v>
      </c>
      <c r="R41" s="327">
        <f t="shared" ca="1" si="11"/>
        <v>43405</v>
      </c>
      <c r="S41" s="327">
        <f t="shared" ca="1" si="11"/>
        <v>43435</v>
      </c>
      <c r="T41" s="327">
        <f t="shared" ca="1" si="11"/>
        <v>43466</v>
      </c>
      <c r="U41" s="327">
        <f t="shared" ca="1" si="11"/>
        <v>43497</v>
      </c>
      <c r="V41" s="327">
        <f t="shared" ca="1" si="11"/>
        <v>43525</v>
      </c>
      <c r="W41" s="327">
        <f t="shared" ca="1" si="11"/>
        <v>43556</v>
      </c>
      <c r="X41" s="327">
        <f t="shared" ca="1" si="11"/>
        <v>43586</v>
      </c>
      <c r="Y41" s="327">
        <f t="shared" ca="1" si="11"/>
        <v>43617</v>
      </c>
      <c r="Z41" s="327">
        <f t="shared" ca="1" si="11"/>
        <v>43647</v>
      </c>
      <c r="AA41" s="327">
        <f t="shared" ca="1" si="11"/>
        <v>43678</v>
      </c>
      <c r="AB41" s="327">
        <f t="shared" ca="1" si="11"/>
        <v>43709</v>
      </c>
      <c r="AC41" s="327">
        <f t="shared" ca="1" si="11"/>
        <v>43739</v>
      </c>
      <c r="AD41" s="327">
        <f t="shared" ca="1" si="11"/>
        <v>43770</v>
      </c>
      <c r="AE41" s="327">
        <f t="shared" ca="1" si="11"/>
        <v>43800</v>
      </c>
      <c r="AF41" s="327">
        <f t="shared" ca="1" si="11"/>
        <v>43831</v>
      </c>
      <c r="AG41" s="327">
        <f t="shared" ca="1" si="11"/>
        <v>43862</v>
      </c>
      <c r="AH41" s="327">
        <f t="shared" ca="1" si="11"/>
        <v>43891</v>
      </c>
      <c r="AI41" s="327">
        <f t="shared" ca="1" si="11"/>
        <v>43922</v>
      </c>
      <c r="AJ41" s="327">
        <f t="shared" ca="1" si="11"/>
        <v>43952</v>
      </c>
      <c r="AK41" s="327">
        <f t="shared" ca="1" si="11"/>
        <v>43983</v>
      </c>
      <c r="AL41" s="327">
        <f t="shared" ca="1" si="11"/>
        <v>44013</v>
      </c>
      <c r="AM41" s="327">
        <f t="shared" ca="1" si="11"/>
        <v>44044</v>
      </c>
      <c r="AN41" s="327">
        <f t="shared" ca="1" si="11"/>
        <v>44075</v>
      </c>
      <c r="AO41" s="327">
        <f t="shared" ca="1" si="11"/>
        <v>44105</v>
      </c>
      <c r="AP41" s="327">
        <f t="shared" ca="1" si="11"/>
        <v>44136</v>
      </c>
      <c r="AQ41" s="327">
        <f t="shared" ca="1" si="11"/>
        <v>44166</v>
      </c>
      <c r="AR41" s="327">
        <f t="shared" ca="1" si="11"/>
        <v>44197</v>
      </c>
      <c r="AS41" s="327">
        <f t="shared" ca="1" si="11"/>
        <v>44228</v>
      </c>
      <c r="AT41" s="327">
        <f t="shared" ca="1" si="11"/>
        <v>44256</v>
      </c>
      <c r="AU41" s="327">
        <f t="shared" ca="1" si="11"/>
        <v>44287</v>
      </c>
      <c r="AV41" s="327">
        <f t="shared" ca="1" si="11"/>
        <v>44317</v>
      </c>
      <c r="AW41" s="327">
        <f t="shared" ca="1" si="11"/>
        <v>44348</v>
      </c>
      <c r="AX41" s="327">
        <f t="shared" ca="1" si="11"/>
        <v>44378</v>
      </c>
      <c r="AY41" s="327">
        <f t="shared" ca="1" si="11"/>
        <v>44409</v>
      </c>
      <c r="AZ41" s="327">
        <f t="shared" ca="1" si="11"/>
        <v>44440</v>
      </c>
      <c r="BA41" s="327">
        <f t="shared" ca="1" si="11"/>
        <v>44470</v>
      </c>
      <c r="BB41" s="327">
        <f t="shared" ca="1" si="11"/>
        <v>44501</v>
      </c>
      <c r="BC41" s="327">
        <f t="shared" ca="1" si="11"/>
        <v>44531</v>
      </c>
      <c r="BD41" s="327">
        <f t="shared" ca="1" si="11"/>
        <v>44562</v>
      </c>
      <c r="BE41" s="327">
        <f t="shared" ca="1" si="11"/>
        <v>44593</v>
      </c>
      <c r="BF41" s="327">
        <f t="shared" ca="1" si="11"/>
        <v>44621</v>
      </c>
      <c r="BG41" s="327">
        <f t="shared" ca="1" si="11"/>
        <v>44652</v>
      </c>
      <c r="BH41" s="327">
        <f t="shared" ca="1" si="11"/>
        <v>44682</v>
      </c>
      <c r="BI41" s="327">
        <f t="shared" ca="1" si="11"/>
        <v>44713</v>
      </c>
      <c r="BJ41" s="327">
        <f t="shared" ca="1" si="11"/>
        <v>44743</v>
      </c>
      <c r="BK41" s="327">
        <f t="shared" ca="1" si="11"/>
        <v>44774</v>
      </c>
      <c r="BL41" s="327">
        <f t="shared" ca="1" si="11"/>
        <v>44805</v>
      </c>
      <c r="BM41" s="327">
        <f t="shared" ca="1" si="11"/>
        <v>44835</v>
      </c>
      <c r="BN41" s="327">
        <f t="shared" ca="1" si="11"/>
        <v>44866</v>
      </c>
      <c r="BO41" s="327">
        <f t="shared" ca="1" si="11"/>
        <v>44896</v>
      </c>
      <c r="BP41" s="327">
        <f t="shared" ca="1" si="11"/>
        <v>44927</v>
      </c>
      <c r="BQ41" s="327">
        <f t="shared" ref="BQ41:EB41" ca="1" si="12">EOMONTH(BP41,0)+1</f>
        <v>44958</v>
      </c>
      <c r="BR41" s="327">
        <f t="shared" ca="1" si="12"/>
        <v>44986</v>
      </c>
      <c r="BS41" s="327">
        <f t="shared" ca="1" si="12"/>
        <v>45017</v>
      </c>
      <c r="BT41" s="327">
        <f t="shared" ca="1" si="12"/>
        <v>45047</v>
      </c>
      <c r="BU41" s="327">
        <f t="shared" ca="1" si="12"/>
        <v>45078</v>
      </c>
      <c r="BV41" s="327">
        <f t="shared" ca="1" si="12"/>
        <v>45108</v>
      </c>
      <c r="BW41" s="327">
        <f t="shared" ca="1" si="12"/>
        <v>45139</v>
      </c>
      <c r="BX41" s="327">
        <f t="shared" ca="1" si="12"/>
        <v>45170</v>
      </c>
      <c r="BY41" s="327">
        <f t="shared" ca="1" si="12"/>
        <v>45200</v>
      </c>
      <c r="BZ41" s="327">
        <f t="shared" ca="1" si="12"/>
        <v>45231</v>
      </c>
      <c r="CA41" s="327">
        <f t="shared" ca="1" si="12"/>
        <v>45261</v>
      </c>
      <c r="CB41" s="327">
        <f t="shared" ca="1" si="12"/>
        <v>45292</v>
      </c>
      <c r="CC41" s="327">
        <f t="shared" ca="1" si="12"/>
        <v>45323</v>
      </c>
      <c r="CD41" s="327">
        <f t="shared" ca="1" si="12"/>
        <v>45352</v>
      </c>
      <c r="CE41" s="327">
        <f t="shared" ca="1" si="12"/>
        <v>45383</v>
      </c>
      <c r="CF41" s="327">
        <f t="shared" ca="1" si="12"/>
        <v>45413</v>
      </c>
      <c r="CG41" s="327">
        <f t="shared" ca="1" si="12"/>
        <v>45444</v>
      </c>
      <c r="CH41" s="327">
        <f t="shared" ca="1" si="12"/>
        <v>45474</v>
      </c>
      <c r="CI41" s="327">
        <f t="shared" ca="1" si="12"/>
        <v>45505</v>
      </c>
      <c r="CJ41" s="327">
        <f t="shared" ca="1" si="12"/>
        <v>45536</v>
      </c>
      <c r="CK41" s="327">
        <f t="shared" ca="1" si="12"/>
        <v>45566</v>
      </c>
      <c r="CL41" s="327">
        <f t="shared" ca="1" si="12"/>
        <v>45597</v>
      </c>
      <c r="CM41" s="327">
        <f t="shared" ca="1" si="12"/>
        <v>45627</v>
      </c>
      <c r="CN41" s="327">
        <f t="shared" ca="1" si="12"/>
        <v>45658</v>
      </c>
      <c r="CO41" s="327">
        <f t="shared" ca="1" si="12"/>
        <v>45689</v>
      </c>
      <c r="CP41" s="327">
        <f t="shared" ca="1" si="12"/>
        <v>45717</v>
      </c>
      <c r="CQ41" s="327">
        <f t="shared" ca="1" si="12"/>
        <v>45748</v>
      </c>
      <c r="CR41" s="327">
        <f t="shared" ca="1" si="12"/>
        <v>45778</v>
      </c>
      <c r="CS41" s="327">
        <f t="shared" ca="1" si="12"/>
        <v>45809</v>
      </c>
      <c r="CT41" s="327">
        <f t="shared" ca="1" si="12"/>
        <v>45839</v>
      </c>
      <c r="CU41" s="327">
        <f t="shared" ca="1" si="12"/>
        <v>45870</v>
      </c>
      <c r="CV41" s="327">
        <f t="shared" ca="1" si="12"/>
        <v>45901</v>
      </c>
      <c r="CW41" s="327">
        <f t="shared" ca="1" si="12"/>
        <v>45931</v>
      </c>
      <c r="CX41" s="327">
        <f t="shared" ca="1" si="12"/>
        <v>45962</v>
      </c>
      <c r="CY41" s="327">
        <f t="shared" ca="1" si="12"/>
        <v>45992</v>
      </c>
      <c r="CZ41" s="327">
        <f t="shared" ca="1" si="12"/>
        <v>46023</v>
      </c>
      <c r="DA41" s="327">
        <f t="shared" ca="1" si="12"/>
        <v>46054</v>
      </c>
      <c r="DB41" s="327">
        <f t="shared" ca="1" si="12"/>
        <v>46082</v>
      </c>
      <c r="DC41" s="327">
        <f t="shared" ca="1" si="12"/>
        <v>46113</v>
      </c>
      <c r="DD41" s="327">
        <f t="shared" ca="1" si="12"/>
        <v>46143</v>
      </c>
      <c r="DE41" s="327">
        <f t="shared" ca="1" si="12"/>
        <v>46174</v>
      </c>
      <c r="DF41" s="327">
        <f t="shared" ca="1" si="12"/>
        <v>46204</v>
      </c>
      <c r="DG41" s="327">
        <f t="shared" ca="1" si="12"/>
        <v>46235</v>
      </c>
      <c r="DH41" s="327">
        <f t="shared" ca="1" si="12"/>
        <v>46266</v>
      </c>
      <c r="DI41" s="327">
        <f t="shared" ca="1" si="12"/>
        <v>46296</v>
      </c>
      <c r="DJ41" s="327">
        <f t="shared" ca="1" si="12"/>
        <v>46327</v>
      </c>
      <c r="DK41" s="327">
        <f t="shared" ca="1" si="12"/>
        <v>46357</v>
      </c>
      <c r="DL41" s="327">
        <f t="shared" ca="1" si="12"/>
        <v>46388</v>
      </c>
      <c r="DM41" s="327">
        <f t="shared" ca="1" si="12"/>
        <v>46419</v>
      </c>
      <c r="DN41" s="327">
        <f t="shared" ca="1" si="12"/>
        <v>46447</v>
      </c>
      <c r="DO41" s="327">
        <f t="shared" ca="1" si="12"/>
        <v>46478</v>
      </c>
      <c r="DP41" s="327">
        <f t="shared" ca="1" si="12"/>
        <v>46508</v>
      </c>
      <c r="DQ41" s="327">
        <f t="shared" ca="1" si="12"/>
        <v>46539</v>
      </c>
      <c r="DR41" s="327">
        <f t="shared" ca="1" si="12"/>
        <v>46569</v>
      </c>
      <c r="DS41" s="327">
        <f t="shared" ca="1" si="12"/>
        <v>46600</v>
      </c>
      <c r="DT41" s="327">
        <f t="shared" ca="1" si="12"/>
        <v>46631</v>
      </c>
      <c r="DU41" s="327">
        <f t="shared" ca="1" si="12"/>
        <v>46661</v>
      </c>
      <c r="DV41" s="327">
        <f t="shared" ca="1" si="12"/>
        <v>46692</v>
      </c>
      <c r="DW41" s="327">
        <f t="shared" ca="1" si="12"/>
        <v>46722</v>
      </c>
      <c r="DX41" s="327">
        <f t="shared" ca="1" si="12"/>
        <v>46753</v>
      </c>
      <c r="DY41" s="327">
        <f t="shared" ca="1" si="12"/>
        <v>46784</v>
      </c>
      <c r="DZ41" s="327">
        <f t="shared" ca="1" si="12"/>
        <v>46813</v>
      </c>
      <c r="EA41" s="327">
        <f t="shared" ca="1" si="12"/>
        <v>46844</v>
      </c>
      <c r="EB41" s="327">
        <f t="shared" ca="1" si="12"/>
        <v>46874</v>
      </c>
      <c r="EC41" s="327">
        <f t="shared" ref="EC41:GA41" ca="1" si="13">EOMONTH(EB41,0)+1</f>
        <v>46905</v>
      </c>
      <c r="ED41" s="327">
        <f t="shared" ca="1" si="13"/>
        <v>46935</v>
      </c>
      <c r="EE41" s="327">
        <f t="shared" ca="1" si="13"/>
        <v>46966</v>
      </c>
      <c r="EF41" s="327">
        <f t="shared" ca="1" si="13"/>
        <v>46997</v>
      </c>
      <c r="EG41" s="327">
        <f t="shared" ca="1" si="13"/>
        <v>47027</v>
      </c>
      <c r="EH41" s="327">
        <f t="shared" ca="1" si="13"/>
        <v>47058</v>
      </c>
      <c r="EI41" s="327">
        <f t="shared" ca="1" si="13"/>
        <v>47088</v>
      </c>
      <c r="EJ41" s="327">
        <f t="shared" ca="1" si="13"/>
        <v>47119</v>
      </c>
      <c r="EK41" s="327">
        <f t="shared" ca="1" si="13"/>
        <v>47150</v>
      </c>
      <c r="EL41" s="327">
        <f t="shared" ca="1" si="13"/>
        <v>47178</v>
      </c>
      <c r="EM41" s="327">
        <f t="shared" ca="1" si="13"/>
        <v>47209</v>
      </c>
      <c r="EN41" s="327">
        <f t="shared" ca="1" si="13"/>
        <v>47239</v>
      </c>
      <c r="EO41" s="327">
        <f t="shared" ca="1" si="13"/>
        <v>47270</v>
      </c>
      <c r="EP41" s="327">
        <f t="shared" ca="1" si="13"/>
        <v>47300</v>
      </c>
      <c r="EQ41" s="327">
        <f t="shared" ca="1" si="13"/>
        <v>47331</v>
      </c>
      <c r="ER41" s="327">
        <f t="shared" ca="1" si="13"/>
        <v>47362</v>
      </c>
      <c r="ES41" s="327">
        <f t="shared" ca="1" si="13"/>
        <v>47392</v>
      </c>
      <c r="ET41" s="327">
        <f t="shared" ca="1" si="13"/>
        <v>47423</v>
      </c>
      <c r="EU41" s="327">
        <f t="shared" ca="1" si="13"/>
        <v>47453</v>
      </c>
      <c r="EV41" s="327">
        <f t="shared" ca="1" si="13"/>
        <v>47484</v>
      </c>
      <c r="EW41" s="327">
        <f t="shared" ca="1" si="13"/>
        <v>47515</v>
      </c>
      <c r="EX41" s="327">
        <f t="shared" ca="1" si="13"/>
        <v>47543</v>
      </c>
      <c r="EY41" s="327">
        <f t="shared" ca="1" si="13"/>
        <v>47574</v>
      </c>
      <c r="EZ41" s="327">
        <f t="shared" ca="1" si="13"/>
        <v>47604</v>
      </c>
      <c r="FA41" s="327">
        <f t="shared" ca="1" si="13"/>
        <v>47635</v>
      </c>
      <c r="FB41" s="327">
        <f t="shared" ca="1" si="13"/>
        <v>47665</v>
      </c>
      <c r="FC41" s="327">
        <f t="shared" ca="1" si="13"/>
        <v>47696</v>
      </c>
      <c r="FD41" s="327">
        <f t="shared" ca="1" si="13"/>
        <v>47727</v>
      </c>
      <c r="FE41" s="327">
        <f t="shared" ca="1" si="13"/>
        <v>47757</v>
      </c>
      <c r="FF41" s="327">
        <f t="shared" ca="1" si="13"/>
        <v>47788</v>
      </c>
      <c r="FG41" s="327">
        <f t="shared" ca="1" si="13"/>
        <v>47818</v>
      </c>
      <c r="FH41" s="327">
        <f t="shared" ca="1" si="13"/>
        <v>47849</v>
      </c>
      <c r="FI41" s="327">
        <f t="shared" ca="1" si="13"/>
        <v>47880</v>
      </c>
      <c r="FJ41" s="327">
        <f t="shared" ca="1" si="13"/>
        <v>47908</v>
      </c>
      <c r="FK41" s="327">
        <f t="shared" ca="1" si="13"/>
        <v>47939</v>
      </c>
      <c r="FL41" s="327">
        <f t="shared" ca="1" si="13"/>
        <v>47969</v>
      </c>
      <c r="FM41" s="327">
        <f t="shared" ca="1" si="13"/>
        <v>48000</v>
      </c>
      <c r="FN41" s="327">
        <f t="shared" ca="1" si="13"/>
        <v>48030</v>
      </c>
      <c r="FO41" s="327">
        <f t="shared" ca="1" si="13"/>
        <v>48061</v>
      </c>
      <c r="FP41" s="327">
        <f t="shared" ca="1" si="13"/>
        <v>48092</v>
      </c>
      <c r="FQ41" s="327">
        <f t="shared" ca="1" si="13"/>
        <v>48122</v>
      </c>
      <c r="FR41" s="327">
        <f t="shared" ca="1" si="13"/>
        <v>48153</v>
      </c>
      <c r="FS41" s="327">
        <f t="shared" ca="1" si="13"/>
        <v>48183</v>
      </c>
      <c r="FT41" s="327">
        <f t="shared" ca="1" si="13"/>
        <v>48214</v>
      </c>
      <c r="FU41" s="327">
        <f t="shared" ca="1" si="13"/>
        <v>48245</v>
      </c>
      <c r="FV41" s="327">
        <f t="shared" ca="1" si="13"/>
        <v>48274</v>
      </c>
      <c r="FW41" s="327">
        <f t="shared" ca="1" si="13"/>
        <v>48305</v>
      </c>
      <c r="FX41" s="327">
        <f t="shared" ca="1" si="13"/>
        <v>48335</v>
      </c>
      <c r="FY41" s="327">
        <f t="shared" ca="1" si="13"/>
        <v>48366</v>
      </c>
      <c r="FZ41" s="327">
        <f t="shared" ca="1" si="13"/>
        <v>48396</v>
      </c>
      <c r="GA41" s="328">
        <f t="shared" ca="1" si="13"/>
        <v>48427</v>
      </c>
    </row>
    <row r="42" spans="1:183" x14ac:dyDescent="0.15">
      <c r="A42" s="397"/>
      <c r="B42" s="42"/>
      <c r="C42" s="398"/>
      <c r="D42" s="329"/>
      <c r="E42" s="329"/>
      <c r="F42" s="329"/>
      <c r="G42" s="329"/>
      <c r="H42" s="329"/>
      <c r="I42" s="329"/>
      <c r="J42" s="329"/>
      <c r="K42" s="329"/>
      <c r="L42" s="329"/>
      <c r="M42" s="329"/>
      <c r="N42" s="329"/>
      <c r="O42" s="329"/>
      <c r="P42" s="329"/>
      <c r="Q42" s="329"/>
      <c r="R42" s="329"/>
      <c r="S42" s="329"/>
      <c r="T42" s="329"/>
      <c r="U42" s="329"/>
      <c r="V42" s="329"/>
      <c r="W42" s="329"/>
      <c r="X42" s="329"/>
      <c r="Y42" s="329"/>
      <c r="Z42" s="329"/>
      <c r="AA42" s="329"/>
      <c r="AB42" s="329"/>
      <c r="AC42" s="329"/>
      <c r="AD42" s="329"/>
      <c r="AE42" s="329"/>
      <c r="AF42" s="329"/>
      <c r="AG42" s="329"/>
      <c r="AH42" s="329"/>
      <c r="AI42" s="329"/>
      <c r="AJ42" s="329"/>
      <c r="AK42" s="329"/>
      <c r="AL42" s="329"/>
      <c r="AM42" s="329"/>
      <c r="AN42" s="329"/>
      <c r="AO42" s="329"/>
      <c r="AP42" s="329"/>
      <c r="AQ42" s="329"/>
      <c r="AR42" s="329"/>
      <c r="AS42" s="329"/>
      <c r="AT42" s="329"/>
      <c r="AU42" s="329"/>
      <c r="AV42" s="329"/>
      <c r="AW42" s="329"/>
      <c r="AX42" s="329"/>
      <c r="AY42" s="329"/>
      <c r="AZ42" s="329"/>
      <c r="BA42" s="329"/>
      <c r="BB42" s="329"/>
      <c r="BC42" s="329"/>
      <c r="BD42" s="329"/>
      <c r="BE42" s="329"/>
      <c r="BF42" s="329"/>
      <c r="BG42" s="329"/>
      <c r="BH42" s="329"/>
      <c r="BI42" s="329"/>
      <c r="BJ42" s="329"/>
      <c r="BK42" s="329"/>
      <c r="BL42" s="329"/>
      <c r="BM42" s="329"/>
      <c r="BN42" s="329"/>
      <c r="BO42" s="329"/>
      <c r="BP42" s="329"/>
      <c r="BQ42" s="329"/>
      <c r="BR42" s="329"/>
      <c r="BS42" s="329"/>
      <c r="BT42" s="329"/>
      <c r="BU42" s="329"/>
      <c r="BV42" s="329"/>
      <c r="BW42" s="329"/>
      <c r="BX42" s="329"/>
      <c r="BY42" s="329"/>
      <c r="BZ42" s="329"/>
      <c r="CA42" s="329"/>
      <c r="CB42" s="329"/>
      <c r="CC42" s="329"/>
      <c r="CD42" s="329"/>
      <c r="CE42" s="329"/>
      <c r="CF42" s="329"/>
      <c r="CG42" s="329"/>
      <c r="CH42" s="329"/>
      <c r="CI42" s="329"/>
      <c r="CJ42" s="329"/>
      <c r="CK42" s="329"/>
      <c r="CL42" s="329"/>
      <c r="CM42" s="329"/>
      <c r="CN42" s="329"/>
      <c r="CO42" s="329"/>
      <c r="CP42" s="329"/>
      <c r="CQ42" s="329"/>
      <c r="CR42" s="329"/>
      <c r="CS42" s="329"/>
      <c r="CT42" s="329"/>
      <c r="CU42" s="329"/>
      <c r="CV42" s="329"/>
      <c r="CW42" s="329"/>
      <c r="CX42" s="329"/>
      <c r="CY42" s="329"/>
      <c r="CZ42" s="329"/>
      <c r="DA42" s="329"/>
      <c r="DB42" s="329"/>
      <c r="DC42" s="329"/>
      <c r="DD42" s="329"/>
      <c r="DE42" s="329"/>
      <c r="DF42" s="329"/>
      <c r="DG42" s="329"/>
      <c r="DH42" s="329"/>
      <c r="DI42" s="329"/>
      <c r="DJ42" s="329"/>
      <c r="DK42" s="329"/>
      <c r="DL42" s="329"/>
      <c r="DM42" s="329"/>
      <c r="DN42" s="329"/>
      <c r="DO42" s="329"/>
      <c r="DP42" s="329"/>
      <c r="DQ42" s="329"/>
      <c r="DR42" s="329"/>
      <c r="DS42" s="329"/>
      <c r="DT42" s="329"/>
      <c r="DU42" s="329"/>
      <c r="DV42" s="329"/>
      <c r="DW42" s="329"/>
      <c r="DX42" s="329"/>
      <c r="DY42" s="329"/>
      <c r="DZ42" s="329"/>
      <c r="EA42" s="329"/>
      <c r="EB42" s="329"/>
      <c r="EC42" s="329"/>
      <c r="ED42" s="329"/>
      <c r="EE42" s="329"/>
      <c r="EF42" s="329"/>
      <c r="EG42" s="329"/>
      <c r="EH42" s="329"/>
      <c r="EI42" s="329"/>
      <c r="EJ42" s="329"/>
      <c r="EK42" s="329"/>
      <c r="EL42" s="329"/>
      <c r="EM42" s="329"/>
      <c r="EN42" s="329"/>
      <c r="EO42" s="329"/>
      <c r="EP42" s="329"/>
      <c r="EQ42" s="329"/>
      <c r="ER42" s="329"/>
      <c r="ES42" s="329"/>
      <c r="ET42" s="329"/>
      <c r="EU42" s="329"/>
      <c r="EV42" s="329"/>
      <c r="EW42" s="329"/>
      <c r="EX42" s="329"/>
      <c r="EY42" s="329"/>
      <c r="EZ42" s="329"/>
      <c r="FA42" s="329"/>
      <c r="FB42" s="329"/>
      <c r="FC42" s="329"/>
      <c r="FD42" s="329"/>
      <c r="FE42" s="329"/>
      <c r="FF42" s="329"/>
      <c r="FG42" s="329"/>
      <c r="FH42" s="329"/>
      <c r="FI42" s="329"/>
      <c r="FJ42" s="329"/>
      <c r="FK42" s="329"/>
      <c r="FL42" s="329"/>
      <c r="FM42" s="329"/>
      <c r="FN42" s="329"/>
      <c r="FO42" s="329"/>
      <c r="FP42" s="329"/>
      <c r="FQ42" s="329"/>
      <c r="FR42" s="329"/>
      <c r="FS42" s="329"/>
      <c r="FT42" s="329"/>
      <c r="FU42" s="329"/>
      <c r="FV42" s="329"/>
      <c r="FW42" s="329"/>
      <c r="FX42" s="329"/>
      <c r="FY42" s="329"/>
      <c r="FZ42" s="329"/>
      <c r="GA42" s="329"/>
    </row>
    <row r="43" spans="1:183" x14ac:dyDescent="0.15">
      <c r="A43" s="319" t="s">
        <v>345</v>
      </c>
      <c r="C43" s="330">
        <f>HLOOKUP(C$40,$C$29:$W$35,2,FALSE)</f>
        <v>0</v>
      </c>
      <c r="D43" s="331">
        <f t="shared" ref="D43:BO43" si="14">HLOOKUP(D$40,$C$29:$W$35,2,FALSE)/12</f>
        <v>0</v>
      </c>
      <c r="E43" s="331">
        <f t="shared" si="14"/>
        <v>0</v>
      </c>
      <c r="F43" s="331">
        <f t="shared" si="14"/>
        <v>0</v>
      </c>
      <c r="G43" s="331">
        <f t="shared" si="14"/>
        <v>0</v>
      </c>
      <c r="H43" s="331">
        <f t="shared" si="14"/>
        <v>0</v>
      </c>
      <c r="I43" s="331">
        <f t="shared" si="14"/>
        <v>0</v>
      </c>
      <c r="J43" s="331">
        <f t="shared" si="14"/>
        <v>0</v>
      </c>
      <c r="K43" s="331">
        <f t="shared" si="14"/>
        <v>0</v>
      </c>
      <c r="L43" s="331">
        <f t="shared" si="14"/>
        <v>0</v>
      </c>
      <c r="M43" s="331">
        <f t="shared" si="14"/>
        <v>0</v>
      </c>
      <c r="N43" s="331">
        <f t="shared" si="14"/>
        <v>0</v>
      </c>
      <c r="O43" s="331">
        <f t="shared" si="14"/>
        <v>0</v>
      </c>
      <c r="P43" s="331">
        <f t="shared" si="14"/>
        <v>0</v>
      </c>
      <c r="Q43" s="331">
        <f t="shared" si="14"/>
        <v>0</v>
      </c>
      <c r="R43" s="331">
        <f t="shared" si="14"/>
        <v>0</v>
      </c>
      <c r="S43" s="331">
        <f t="shared" si="14"/>
        <v>0</v>
      </c>
      <c r="T43" s="331">
        <f t="shared" si="14"/>
        <v>0</v>
      </c>
      <c r="U43" s="331">
        <f t="shared" si="14"/>
        <v>0</v>
      </c>
      <c r="V43" s="331">
        <f t="shared" si="14"/>
        <v>0</v>
      </c>
      <c r="W43" s="331">
        <f t="shared" si="14"/>
        <v>0</v>
      </c>
      <c r="X43" s="331">
        <f t="shared" si="14"/>
        <v>0</v>
      </c>
      <c r="Y43" s="331">
        <f t="shared" si="14"/>
        <v>0</v>
      </c>
      <c r="Z43" s="331">
        <f t="shared" si="14"/>
        <v>0</v>
      </c>
      <c r="AA43" s="331">
        <f t="shared" si="14"/>
        <v>0</v>
      </c>
      <c r="AB43" s="331">
        <f t="shared" si="14"/>
        <v>0</v>
      </c>
      <c r="AC43" s="331">
        <f t="shared" si="14"/>
        <v>0</v>
      </c>
      <c r="AD43" s="331">
        <f t="shared" si="14"/>
        <v>0</v>
      </c>
      <c r="AE43" s="331">
        <f t="shared" si="14"/>
        <v>0</v>
      </c>
      <c r="AF43" s="331">
        <f t="shared" si="14"/>
        <v>0</v>
      </c>
      <c r="AG43" s="331">
        <f t="shared" si="14"/>
        <v>0</v>
      </c>
      <c r="AH43" s="331">
        <f t="shared" si="14"/>
        <v>0</v>
      </c>
      <c r="AI43" s="331">
        <f t="shared" si="14"/>
        <v>0</v>
      </c>
      <c r="AJ43" s="331">
        <f t="shared" si="14"/>
        <v>0</v>
      </c>
      <c r="AK43" s="331">
        <f t="shared" si="14"/>
        <v>0</v>
      </c>
      <c r="AL43" s="331">
        <f t="shared" si="14"/>
        <v>0</v>
      </c>
      <c r="AM43" s="331">
        <f t="shared" si="14"/>
        <v>0</v>
      </c>
      <c r="AN43" s="331">
        <f t="shared" si="14"/>
        <v>0</v>
      </c>
      <c r="AO43" s="331">
        <f t="shared" si="14"/>
        <v>0</v>
      </c>
      <c r="AP43" s="331">
        <f t="shared" si="14"/>
        <v>0</v>
      </c>
      <c r="AQ43" s="331">
        <f t="shared" si="14"/>
        <v>0</v>
      </c>
      <c r="AR43" s="331">
        <f t="shared" si="14"/>
        <v>0</v>
      </c>
      <c r="AS43" s="331">
        <f t="shared" si="14"/>
        <v>0</v>
      </c>
      <c r="AT43" s="331">
        <f t="shared" si="14"/>
        <v>0</v>
      </c>
      <c r="AU43" s="331">
        <f t="shared" si="14"/>
        <v>0</v>
      </c>
      <c r="AV43" s="331">
        <f t="shared" si="14"/>
        <v>0</v>
      </c>
      <c r="AW43" s="331">
        <f t="shared" si="14"/>
        <v>0</v>
      </c>
      <c r="AX43" s="331">
        <f t="shared" si="14"/>
        <v>0</v>
      </c>
      <c r="AY43" s="331">
        <f t="shared" si="14"/>
        <v>0</v>
      </c>
      <c r="AZ43" s="331">
        <f t="shared" si="14"/>
        <v>0</v>
      </c>
      <c r="BA43" s="331">
        <f t="shared" si="14"/>
        <v>0</v>
      </c>
      <c r="BB43" s="331">
        <f t="shared" si="14"/>
        <v>0</v>
      </c>
      <c r="BC43" s="331">
        <f t="shared" si="14"/>
        <v>0</v>
      </c>
      <c r="BD43" s="331">
        <f t="shared" si="14"/>
        <v>0</v>
      </c>
      <c r="BE43" s="331">
        <f t="shared" si="14"/>
        <v>0</v>
      </c>
      <c r="BF43" s="331">
        <f t="shared" si="14"/>
        <v>0</v>
      </c>
      <c r="BG43" s="331">
        <f t="shared" si="14"/>
        <v>0</v>
      </c>
      <c r="BH43" s="331">
        <f t="shared" si="14"/>
        <v>0</v>
      </c>
      <c r="BI43" s="331">
        <f t="shared" si="14"/>
        <v>0</v>
      </c>
      <c r="BJ43" s="331">
        <f t="shared" si="14"/>
        <v>0</v>
      </c>
      <c r="BK43" s="331">
        <f t="shared" si="14"/>
        <v>0</v>
      </c>
      <c r="BL43" s="331">
        <f t="shared" si="14"/>
        <v>0</v>
      </c>
      <c r="BM43" s="331">
        <f t="shared" si="14"/>
        <v>0</v>
      </c>
      <c r="BN43" s="331">
        <f t="shared" si="14"/>
        <v>0</v>
      </c>
      <c r="BO43" s="331">
        <f t="shared" si="14"/>
        <v>0</v>
      </c>
      <c r="BP43" s="331">
        <f t="shared" ref="BP43:EA43" si="15">HLOOKUP(BP$40,$C$29:$W$35,2,FALSE)/12</f>
        <v>0</v>
      </c>
      <c r="BQ43" s="331">
        <f t="shared" si="15"/>
        <v>0</v>
      </c>
      <c r="BR43" s="331">
        <f t="shared" si="15"/>
        <v>0</v>
      </c>
      <c r="BS43" s="331">
        <f t="shared" si="15"/>
        <v>0</v>
      </c>
      <c r="BT43" s="331">
        <f t="shared" si="15"/>
        <v>0</v>
      </c>
      <c r="BU43" s="331">
        <f t="shared" si="15"/>
        <v>0</v>
      </c>
      <c r="BV43" s="331">
        <f t="shared" si="15"/>
        <v>0</v>
      </c>
      <c r="BW43" s="331">
        <f t="shared" si="15"/>
        <v>0</v>
      </c>
      <c r="BX43" s="331">
        <f t="shared" si="15"/>
        <v>0</v>
      </c>
      <c r="BY43" s="331">
        <f t="shared" si="15"/>
        <v>0</v>
      </c>
      <c r="BZ43" s="331">
        <f t="shared" si="15"/>
        <v>0</v>
      </c>
      <c r="CA43" s="331">
        <f t="shared" si="15"/>
        <v>0</v>
      </c>
      <c r="CB43" s="331">
        <f t="shared" si="15"/>
        <v>0</v>
      </c>
      <c r="CC43" s="331">
        <f t="shared" si="15"/>
        <v>0</v>
      </c>
      <c r="CD43" s="331">
        <f t="shared" si="15"/>
        <v>0</v>
      </c>
      <c r="CE43" s="331">
        <f t="shared" si="15"/>
        <v>0</v>
      </c>
      <c r="CF43" s="331">
        <f t="shared" si="15"/>
        <v>0</v>
      </c>
      <c r="CG43" s="331">
        <f t="shared" si="15"/>
        <v>0</v>
      </c>
      <c r="CH43" s="331">
        <f t="shared" si="15"/>
        <v>0</v>
      </c>
      <c r="CI43" s="331">
        <f t="shared" si="15"/>
        <v>0</v>
      </c>
      <c r="CJ43" s="331">
        <f t="shared" si="15"/>
        <v>0</v>
      </c>
      <c r="CK43" s="331">
        <f t="shared" si="15"/>
        <v>0</v>
      </c>
      <c r="CL43" s="331">
        <f t="shared" si="15"/>
        <v>0</v>
      </c>
      <c r="CM43" s="331">
        <f t="shared" si="15"/>
        <v>0</v>
      </c>
      <c r="CN43" s="331">
        <f t="shared" si="15"/>
        <v>0</v>
      </c>
      <c r="CO43" s="331">
        <f t="shared" si="15"/>
        <v>0</v>
      </c>
      <c r="CP43" s="331">
        <f t="shared" si="15"/>
        <v>0</v>
      </c>
      <c r="CQ43" s="331">
        <f t="shared" si="15"/>
        <v>0</v>
      </c>
      <c r="CR43" s="331">
        <f t="shared" si="15"/>
        <v>0</v>
      </c>
      <c r="CS43" s="331">
        <f t="shared" si="15"/>
        <v>0</v>
      </c>
      <c r="CT43" s="331">
        <f t="shared" si="15"/>
        <v>0</v>
      </c>
      <c r="CU43" s="331">
        <f t="shared" si="15"/>
        <v>0</v>
      </c>
      <c r="CV43" s="331">
        <f t="shared" si="15"/>
        <v>0</v>
      </c>
      <c r="CW43" s="331">
        <f t="shared" si="15"/>
        <v>0</v>
      </c>
      <c r="CX43" s="331">
        <f t="shared" si="15"/>
        <v>0</v>
      </c>
      <c r="CY43" s="331">
        <f t="shared" si="15"/>
        <v>0</v>
      </c>
      <c r="CZ43" s="331">
        <f t="shared" si="15"/>
        <v>0</v>
      </c>
      <c r="DA43" s="331">
        <f t="shared" si="15"/>
        <v>0</v>
      </c>
      <c r="DB43" s="331">
        <f t="shared" si="15"/>
        <v>0</v>
      </c>
      <c r="DC43" s="331">
        <f t="shared" si="15"/>
        <v>0</v>
      </c>
      <c r="DD43" s="331">
        <f t="shared" si="15"/>
        <v>0</v>
      </c>
      <c r="DE43" s="331">
        <f t="shared" si="15"/>
        <v>0</v>
      </c>
      <c r="DF43" s="331">
        <f t="shared" si="15"/>
        <v>0</v>
      </c>
      <c r="DG43" s="331">
        <f t="shared" si="15"/>
        <v>0</v>
      </c>
      <c r="DH43" s="331">
        <f t="shared" si="15"/>
        <v>0</v>
      </c>
      <c r="DI43" s="331">
        <f t="shared" si="15"/>
        <v>0</v>
      </c>
      <c r="DJ43" s="331">
        <f t="shared" si="15"/>
        <v>0</v>
      </c>
      <c r="DK43" s="331">
        <f t="shared" si="15"/>
        <v>0</v>
      </c>
      <c r="DL43" s="331">
        <f t="shared" si="15"/>
        <v>0</v>
      </c>
      <c r="DM43" s="331">
        <f t="shared" si="15"/>
        <v>0</v>
      </c>
      <c r="DN43" s="331">
        <f t="shared" si="15"/>
        <v>0</v>
      </c>
      <c r="DO43" s="331">
        <f t="shared" si="15"/>
        <v>0</v>
      </c>
      <c r="DP43" s="331">
        <f t="shared" si="15"/>
        <v>0</v>
      </c>
      <c r="DQ43" s="331">
        <f t="shared" si="15"/>
        <v>0</v>
      </c>
      <c r="DR43" s="331">
        <f t="shared" si="15"/>
        <v>0</v>
      </c>
      <c r="DS43" s="331">
        <f t="shared" si="15"/>
        <v>0</v>
      </c>
      <c r="DT43" s="331">
        <f t="shared" si="15"/>
        <v>0</v>
      </c>
      <c r="DU43" s="331">
        <f t="shared" si="15"/>
        <v>0</v>
      </c>
      <c r="DV43" s="331">
        <f t="shared" si="15"/>
        <v>0</v>
      </c>
      <c r="DW43" s="331">
        <f t="shared" si="15"/>
        <v>0</v>
      </c>
      <c r="DX43" s="331">
        <f t="shared" si="15"/>
        <v>0</v>
      </c>
      <c r="DY43" s="331">
        <f t="shared" si="15"/>
        <v>0</v>
      </c>
      <c r="DZ43" s="331">
        <f t="shared" si="15"/>
        <v>0</v>
      </c>
      <c r="EA43" s="331">
        <f t="shared" si="15"/>
        <v>0</v>
      </c>
      <c r="EB43" s="331">
        <f t="shared" ref="EB43:GA43" si="16">HLOOKUP(EB$40,$C$29:$W$35,2,FALSE)/12</f>
        <v>0</v>
      </c>
      <c r="EC43" s="331">
        <f t="shared" si="16"/>
        <v>0</v>
      </c>
      <c r="ED43" s="331">
        <f t="shared" si="16"/>
        <v>0</v>
      </c>
      <c r="EE43" s="331">
        <f t="shared" si="16"/>
        <v>0</v>
      </c>
      <c r="EF43" s="331">
        <f t="shared" si="16"/>
        <v>0</v>
      </c>
      <c r="EG43" s="331">
        <f t="shared" si="16"/>
        <v>0</v>
      </c>
      <c r="EH43" s="331">
        <f t="shared" si="16"/>
        <v>0</v>
      </c>
      <c r="EI43" s="331">
        <f t="shared" si="16"/>
        <v>0</v>
      </c>
      <c r="EJ43" s="331">
        <f t="shared" si="16"/>
        <v>0</v>
      </c>
      <c r="EK43" s="331">
        <f t="shared" si="16"/>
        <v>0</v>
      </c>
      <c r="EL43" s="331">
        <f t="shared" si="16"/>
        <v>0</v>
      </c>
      <c r="EM43" s="331">
        <f t="shared" si="16"/>
        <v>0</v>
      </c>
      <c r="EN43" s="331">
        <f t="shared" si="16"/>
        <v>0</v>
      </c>
      <c r="EO43" s="331">
        <f t="shared" si="16"/>
        <v>0</v>
      </c>
      <c r="EP43" s="331">
        <f t="shared" si="16"/>
        <v>0</v>
      </c>
      <c r="EQ43" s="331">
        <f t="shared" si="16"/>
        <v>0</v>
      </c>
      <c r="ER43" s="331">
        <f t="shared" si="16"/>
        <v>0</v>
      </c>
      <c r="ES43" s="331">
        <f t="shared" si="16"/>
        <v>0</v>
      </c>
      <c r="ET43" s="331">
        <f t="shared" si="16"/>
        <v>0</v>
      </c>
      <c r="EU43" s="331">
        <f t="shared" si="16"/>
        <v>0</v>
      </c>
      <c r="EV43" s="331">
        <f t="shared" si="16"/>
        <v>0</v>
      </c>
      <c r="EW43" s="331">
        <f t="shared" si="16"/>
        <v>0</v>
      </c>
      <c r="EX43" s="331">
        <f t="shared" si="16"/>
        <v>0</v>
      </c>
      <c r="EY43" s="331">
        <f t="shared" si="16"/>
        <v>0</v>
      </c>
      <c r="EZ43" s="331">
        <f t="shared" si="16"/>
        <v>0</v>
      </c>
      <c r="FA43" s="331">
        <f t="shared" si="16"/>
        <v>0</v>
      </c>
      <c r="FB43" s="331">
        <f t="shared" si="16"/>
        <v>0</v>
      </c>
      <c r="FC43" s="331">
        <f t="shared" si="16"/>
        <v>0</v>
      </c>
      <c r="FD43" s="331">
        <f t="shared" si="16"/>
        <v>0</v>
      </c>
      <c r="FE43" s="331">
        <f t="shared" si="16"/>
        <v>0</v>
      </c>
      <c r="FF43" s="331">
        <f t="shared" si="16"/>
        <v>0</v>
      </c>
      <c r="FG43" s="331">
        <f t="shared" si="16"/>
        <v>0</v>
      </c>
      <c r="FH43" s="331">
        <f t="shared" si="16"/>
        <v>0</v>
      </c>
      <c r="FI43" s="331">
        <f t="shared" si="16"/>
        <v>0</v>
      </c>
      <c r="FJ43" s="331">
        <f t="shared" si="16"/>
        <v>0</v>
      </c>
      <c r="FK43" s="331">
        <f t="shared" si="16"/>
        <v>0</v>
      </c>
      <c r="FL43" s="331">
        <f t="shared" si="16"/>
        <v>0</v>
      </c>
      <c r="FM43" s="331">
        <f t="shared" si="16"/>
        <v>0</v>
      </c>
      <c r="FN43" s="331">
        <f t="shared" si="16"/>
        <v>0</v>
      </c>
      <c r="FO43" s="331">
        <f t="shared" si="16"/>
        <v>0</v>
      </c>
      <c r="FP43" s="331">
        <f t="shared" si="16"/>
        <v>0</v>
      </c>
      <c r="FQ43" s="331">
        <f t="shared" si="16"/>
        <v>0</v>
      </c>
      <c r="FR43" s="331">
        <f t="shared" si="16"/>
        <v>0</v>
      </c>
      <c r="FS43" s="331">
        <f t="shared" si="16"/>
        <v>0</v>
      </c>
      <c r="FT43" s="331">
        <f t="shared" si="16"/>
        <v>0</v>
      </c>
      <c r="FU43" s="331">
        <f t="shared" si="16"/>
        <v>0</v>
      </c>
      <c r="FV43" s="331">
        <f t="shared" si="16"/>
        <v>0</v>
      </c>
      <c r="FW43" s="331">
        <f t="shared" si="16"/>
        <v>0</v>
      </c>
      <c r="FX43" s="331">
        <f t="shared" si="16"/>
        <v>0</v>
      </c>
      <c r="FY43" s="331">
        <f t="shared" si="16"/>
        <v>0</v>
      </c>
      <c r="FZ43" s="331">
        <f t="shared" si="16"/>
        <v>0</v>
      </c>
      <c r="GA43" s="332">
        <f t="shared" si="16"/>
        <v>0</v>
      </c>
    </row>
    <row r="44" spans="1:183" x14ac:dyDescent="0.15">
      <c r="A44" s="323" t="s">
        <v>350</v>
      </c>
      <c r="C44" s="333">
        <f>-SUM(C11:C12)+SUM(C22:C23)</f>
        <v>0</v>
      </c>
      <c r="D44" s="55">
        <f t="shared" ref="D44:BO44" si="17">HLOOKUP(D$40,$C$29:$W$35,7,FALSE)/12</f>
        <v>0</v>
      </c>
      <c r="E44" s="55">
        <f t="shared" si="17"/>
        <v>0</v>
      </c>
      <c r="F44" s="55">
        <f t="shared" si="17"/>
        <v>0</v>
      </c>
      <c r="G44" s="55">
        <f t="shared" si="17"/>
        <v>0</v>
      </c>
      <c r="H44" s="55">
        <f t="shared" si="17"/>
        <v>0</v>
      </c>
      <c r="I44" s="55">
        <f t="shared" si="17"/>
        <v>0</v>
      </c>
      <c r="J44" s="55">
        <f t="shared" si="17"/>
        <v>0</v>
      </c>
      <c r="K44" s="55">
        <f t="shared" si="17"/>
        <v>0</v>
      </c>
      <c r="L44" s="55">
        <f t="shared" si="17"/>
        <v>0</v>
      </c>
      <c r="M44" s="55">
        <f t="shared" si="17"/>
        <v>0</v>
      </c>
      <c r="N44" s="55">
        <f t="shared" si="17"/>
        <v>0</v>
      </c>
      <c r="O44" s="55">
        <f t="shared" si="17"/>
        <v>0</v>
      </c>
      <c r="P44" s="55">
        <f t="shared" si="17"/>
        <v>0</v>
      </c>
      <c r="Q44" s="55">
        <f t="shared" si="17"/>
        <v>0</v>
      </c>
      <c r="R44" s="55">
        <f t="shared" si="17"/>
        <v>0</v>
      </c>
      <c r="S44" s="55">
        <f t="shared" si="17"/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7"/>
        <v>0</v>
      </c>
      <c r="AC44" s="55">
        <f t="shared" si="17"/>
        <v>0</v>
      </c>
      <c r="AD44" s="55">
        <f t="shared" si="17"/>
        <v>0</v>
      </c>
      <c r="AE44" s="55">
        <f t="shared" si="17"/>
        <v>0</v>
      </c>
      <c r="AF44" s="55">
        <f t="shared" si="17"/>
        <v>0</v>
      </c>
      <c r="AG44" s="55">
        <f t="shared" si="17"/>
        <v>0</v>
      </c>
      <c r="AH44" s="55">
        <f t="shared" si="17"/>
        <v>0</v>
      </c>
      <c r="AI44" s="55">
        <f t="shared" si="17"/>
        <v>0</v>
      </c>
      <c r="AJ44" s="55">
        <f t="shared" si="17"/>
        <v>0</v>
      </c>
      <c r="AK44" s="55">
        <f t="shared" si="17"/>
        <v>0</v>
      </c>
      <c r="AL44" s="55">
        <f t="shared" si="17"/>
        <v>0</v>
      </c>
      <c r="AM44" s="55">
        <f t="shared" si="17"/>
        <v>0</v>
      </c>
      <c r="AN44" s="55">
        <f t="shared" si="17"/>
        <v>0</v>
      </c>
      <c r="AO44" s="55">
        <f t="shared" si="17"/>
        <v>0</v>
      </c>
      <c r="AP44" s="55">
        <f t="shared" si="17"/>
        <v>0</v>
      </c>
      <c r="AQ44" s="55">
        <f t="shared" si="17"/>
        <v>0</v>
      </c>
      <c r="AR44" s="55">
        <f t="shared" si="17"/>
        <v>0</v>
      </c>
      <c r="AS44" s="55">
        <f t="shared" si="17"/>
        <v>0</v>
      </c>
      <c r="AT44" s="55">
        <f t="shared" si="17"/>
        <v>0</v>
      </c>
      <c r="AU44" s="55">
        <f t="shared" si="17"/>
        <v>0</v>
      </c>
      <c r="AV44" s="55">
        <f t="shared" si="17"/>
        <v>0</v>
      </c>
      <c r="AW44" s="55">
        <f t="shared" si="17"/>
        <v>0</v>
      </c>
      <c r="AX44" s="55">
        <f t="shared" si="17"/>
        <v>0</v>
      </c>
      <c r="AY44" s="55">
        <f t="shared" si="17"/>
        <v>0</v>
      </c>
      <c r="AZ44" s="55">
        <f t="shared" si="17"/>
        <v>0</v>
      </c>
      <c r="BA44" s="55">
        <f t="shared" si="17"/>
        <v>0</v>
      </c>
      <c r="BB44" s="55">
        <f t="shared" si="17"/>
        <v>0</v>
      </c>
      <c r="BC44" s="55">
        <f t="shared" si="17"/>
        <v>0</v>
      </c>
      <c r="BD44" s="55">
        <f t="shared" si="17"/>
        <v>0</v>
      </c>
      <c r="BE44" s="55">
        <f t="shared" si="17"/>
        <v>0</v>
      </c>
      <c r="BF44" s="55">
        <f t="shared" si="17"/>
        <v>0</v>
      </c>
      <c r="BG44" s="55">
        <f t="shared" si="17"/>
        <v>0</v>
      </c>
      <c r="BH44" s="55">
        <f t="shared" si="17"/>
        <v>0</v>
      </c>
      <c r="BI44" s="55">
        <f t="shared" si="17"/>
        <v>0</v>
      </c>
      <c r="BJ44" s="55">
        <f t="shared" si="17"/>
        <v>0</v>
      </c>
      <c r="BK44" s="55">
        <f t="shared" si="17"/>
        <v>0</v>
      </c>
      <c r="BL44" s="55">
        <f t="shared" si="17"/>
        <v>0</v>
      </c>
      <c r="BM44" s="55">
        <f t="shared" si="17"/>
        <v>0</v>
      </c>
      <c r="BN44" s="55">
        <f t="shared" si="17"/>
        <v>0</v>
      </c>
      <c r="BO44" s="55">
        <f t="shared" si="17"/>
        <v>0</v>
      </c>
      <c r="BP44" s="55">
        <f t="shared" ref="BP44:EA44" si="18">HLOOKUP(BP$40,$C$29:$W$35,7,FALSE)/12</f>
        <v>0</v>
      </c>
      <c r="BQ44" s="55">
        <f t="shared" si="18"/>
        <v>0</v>
      </c>
      <c r="BR44" s="55">
        <f t="shared" si="18"/>
        <v>0</v>
      </c>
      <c r="BS44" s="55">
        <f t="shared" si="18"/>
        <v>0</v>
      </c>
      <c r="BT44" s="55">
        <f t="shared" si="18"/>
        <v>0</v>
      </c>
      <c r="BU44" s="55">
        <f t="shared" si="18"/>
        <v>0</v>
      </c>
      <c r="BV44" s="55">
        <f t="shared" si="18"/>
        <v>0</v>
      </c>
      <c r="BW44" s="55">
        <f t="shared" si="18"/>
        <v>0</v>
      </c>
      <c r="BX44" s="55">
        <f t="shared" si="18"/>
        <v>0</v>
      </c>
      <c r="BY44" s="55">
        <f t="shared" si="18"/>
        <v>0</v>
      </c>
      <c r="BZ44" s="55">
        <f t="shared" si="18"/>
        <v>0</v>
      </c>
      <c r="CA44" s="55">
        <f t="shared" si="18"/>
        <v>0</v>
      </c>
      <c r="CB44" s="55">
        <f t="shared" si="18"/>
        <v>0</v>
      </c>
      <c r="CC44" s="55">
        <f t="shared" si="18"/>
        <v>0</v>
      </c>
      <c r="CD44" s="55">
        <f t="shared" si="18"/>
        <v>0</v>
      </c>
      <c r="CE44" s="55">
        <f t="shared" si="18"/>
        <v>0</v>
      </c>
      <c r="CF44" s="55">
        <f t="shared" si="18"/>
        <v>0</v>
      </c>
      <c r="CG44" s="55">
        <f t="shared" si="18"/>
        <v>0</v>
      </c>
      <c r="CH44" s="55">
        <f t="shared" si="18"/>
        <v>0</v>
      </c>
      <c r="CI44" s="55">
        <f t="shared" si="18"/>
        <v>0</v>
      </c>
      <c r="CJ44" s="55">
        <f t="shared" si="18"/>
        <v>0</v>
      </c>
      <c r="CK44" s="55">
        <f t="shared" si="18"/>
        <v>0</v>
      </c>
      <c r="CL44" s="55">
        <f t="shared" si="18"/>
        <v>0</v>
      </c>
      <c r="CM44" s="55">
        <f t="shared" si="18"/>
        <v>0</v>
      </c>
      <c r="CN44" s="55">
        <f t="shared" si="18"/>
        <v>0</v>
      </c>
      <c r="CO44" s="55">
        <f t="shared" si="18"/>
        <v>0</v>
      </c>
      <c r="CP44" s="55">
        <f t="shared" si="18"/>
        <v>0</v>
      </c>
      <c r="CQ44" s="55">
        <f t="shared" si="18"/>
        <v>0</v>
      </c>
      <c r="CR44" s="55">
        <f t="shared" si="18"/>
        <v>0</v>
      </c>
      <c r="CS44" s="55">
        <f t="shared" si="18"/>
        <v>0</v>
      </c>
      <c r="CT44" s="55">
        <f t="shared" si="18"/>
        <v>0</v>
      </c>
      <c r="CU44" s="55">
        <f t="shared" si="18"/>
        <v>0</v>
      </c>
      <c r="CV44" s="55">
        <f t="shared" si="18"/>
        <v>0</v>
      </c>
      <c r="CW44" s="55">
        <f t="shared" si="18"/>
        <v>0</v>
      </c>
      <c r="CX44" s="55">
        <f t="shared" si="18"/>
        <v>0</v>
      </c>
      <c r="CY44" s="55">
        <f t="shared" si="18"/>
        <v>0</v>
      </c>
      <c r="CZ44" s="55">
        <f t="shared" si="18"/>
        <v>0</v>
      </c>
      <c r="DA44" s="55">
        <f t="shared" si="18"/>
        <v>0</v>
      </c>
      <c r="DB44" s="55">
        <f t="shared" si="18"/>
        <v>0</v>
      </c>
      <c r="DC44" s="55">
        <f t="shared" si="18"/>
        <v>0</v>
      </c>
      <c r="DD44" s="55">
        <f t="shared" si="18"/>
        <v>0</v>
      </c>
      <c r="DE44" s="55">
        <f t="shared" si="18"/>
        <v>0</v>
      </c>
      <c r="DF44" s="55">
        <f t="shared" si="18"/>
        <v>0</v>
      </c>
      <c r="DG44" s="55">
        <f t="shared" si="18"/>
        <v>0</v>
      </c>
      <c r="DH44" s="55">
        <f t="shared" si="18"/>
        <v>0</v>
      </c>
      <c r="DI44" s="55">
        <f t="shared" si="18"/>
        <v>0</v>
      </c>
      <c r="DJ44" s="55">
        <f t="shared" si="18"/>
        <v>0</v>
      </c>
      <c r="DK44" s="55">
        <f t="shared" si="18"/>
        <v>0</v>
      </c>
      <c r="DL44" s="55">
        <f t="shared" si="18"/>
        <v>0</v>
      </c>
      <c r="DM44" s="55">
        <f t="shared" si="18"/>
        <v>0</v>
      </c>
      <c r="DN44" s="55">
        <f t="shared" si="18"/>
        <v>0</v>
      </c>
      <c r="DO44" s="55">
        <f t="shared" si="18"/>
        <v>0</v>
      </c>
      <c r="DP44" s="55">
        <f t="shared" si="18"/>
        <v>0</v>
      </c>
      <c r="DQ44" s="55">
        <f t="shared" si="18"/>
        <v>0</v>
      </c>
      <c r="DR44" s="55">
        <f t="shared" si="18"/>
        <v>0</v>
      </c>
      <c r="DS44" s="55">
        <f t="shared" si="18"/>
        <v>0</v>
      </c>
      <c r="DT44" s="55">
        <f t="shared" si="18"/>
        <v>0</v>
      </c>
      <c r="DU44" s="55">
        <f t="shared" si="18"/>
        <v>0</v>
      </c>
      <c r="DV44" s="55">
        <f t="shared" si="18"/>
        <v>0</v>
      </c>
      <c r="DW44" s="55">
        <f t="shared" si="18"/>
        <v>0</v>
      </c>
      <c r="DX44" s="55">
        <f t="shared" si="18"/>
        <v>0</v>
      </c>
      <c r="DY44" s="55">
        <f t="shared" si="18"/>
        <v>0</v>
      </c>
      <c r="DZ44" s="55">
        <f t="shared" si="18"/>
        <v>0</v>
      </c>
      <c r="EA44" s="55">
        <f t="shared" si="18"/>
        <v>0</v>
      </c>
      <c r="EB44" s="55">
        <f t="shared" ref="EB44:GA44" si="19">HLOOKUP(EB$40,$C$29:$W$35,7,FALSE)/12</f>
        <v>0</v>
      </c>
      <c r="EC44" s="55">
        <f t="shared" si="19"/>
        <v>0</v>
      </c>
      <c r="ED44" s="55">
        <f t="shared" si="19"/>
        <v>0</v>
      </c>
      <c r="EE44" s="55">
        <f t="shared" si="19"/>
        <v>0</v>
      </c>
      <c r="EF44" s="55">
        <f t="shared" si="19"/>
        <v>0</v>
      </c>
      <c r="EG44" s="55">
        <f t="shared" si="19"/>
        <v>0</v>
      </c>
      <c r="EH44" s="55">
        <f t="shared" si="19"/>
        <v>0</v>
      </c>
      <c r="EI44" s="55">
        <f t="shared" si="19"/>
        <v>0</v>
      </c>
      <c r="EJ44" s="55">
        <f t="shared" si="19"/>
        <v>0</v>
      </c>
      <c r="EK44" s="55">
        <f t="shared" si="19"/>
        <v>0</v>
      </c>
      <c r="EL44" s="55">
        <f t="shared" si="19"/>
        <v>0</v>
      </c>
      <c r="EM44" s="55">
        <f t="shared" si="19"/>
        <v>0</v>
      </c>
      <c r="EN44" s="55">
        <f t="shared" si="19"/>
        <v>0</v>
      </c>
      <c r="EO44" s="55">
        <f t="shared" si="19"/>
        <v>0</v>
      </c>
      <c r="EP44" s="55">
        <f t="shared" si="19"/>
        <v>0</v>
      </c>
      <c r="EQ44" s="55">
        <f t="shared" si="19"/>
        <v>0</v>
      </c>
      <c r="ER44" s="55">
        <f t="shared" si="19"/>
        <v>0</v>
      </c>
      <c r="ES44" s="55">
        <f t="shared" si="19"/>
        <v>0</v>
      </c>
      <c r="ET44" s="55">
        <f t="shared" si="19"/>
        <v>0</v>
      </c>
      <c r="EU44" s="55">
        <f t="shared" si="19"/>
        <v>0</v>
      </c>
      <c r="EV44" s="55">
        <f t="shared" si="19"/>
        <v>0</v>
      </c>
      <c r="EW44" s="55">
        <f t="shared" si="19"/>
        <v>0</v>
      </c>
      <c r="EX44" s="55">
        <f t="shared" si="19"/>
        <v>0</v>
      </c>
      <c r="EY44" s="55">
        <f t="shared" si="19"/>
        <v>0</v>
      </c>
      <c r="EZ44" s="55">
        <f t="shared" si="19"/>
        <v>0</v>
      </c>
      <c r="FA44" s="55">
        <f t="shared" si="19"/>
        <v>0</v>
      </c>
      <c r="FB44" s="55">
        <f t="shared" si="19"/>
        <v>0</v>
      </c>
      <c r="FC44" s="55">
        <f t="shared" si="19"/>
        <v>0</v>
      </c>
      <c r="FD44" s="55">
        <f t="shared" si="19"/>
        <v>0</v>
      </c>
      <c r="FE44" s="55">
        <f t="shared" si="19"/>
        <v>0</v>
      </c>
      <c r="FF44" s="55">
        <f t="shared" si="19"/>
        <v>0</v>
      </c>
      <c r="FG44" s="55">
        <f t="shared" si="19"/>
        <v>0</v>
      </c>
      <c r="FH44" s="55">
        <f t="shared" si="19"/>
        <v>0</v>
      </c>
      <c r="FI44" s="55">
        <f t="shared" si="19"/>
        <v>0</v>
      </c>
      <c r="FJ44" s="55">
        <f t="shared" si="19"/>
        <v>0</v>
      </c>
      <c r="FK44" s="55">
        <f t="shared" si="19"/>
        <v>0</v>
      </c>
      <c r="FL44" s="55">
        <f t="shared" si="19"/>
        <v>0</v>
      </c>
      <c r="FM44" s="55">
        <f t="shared" si="19"/>
        <v>0</v>
      </c>
      <c r="FN44" s="55">
        <f t="shared" si="19"/>
        <v>0</v>
      </c>
      <c r="FO44" s="55">
        <f t="shared" si="19"/>
        <v>0</v>
      </c>
      <c r="FP44" s="55">
        <f t="shared" si="19"/>
        <v>0</v>
      </c>
      <c r="FQ44" s="55">
        <f t="shared" si="19"/>
        <v>0</v>
      </c>
      <c r="FR44" s="55">
        <f t="shared" si="19"/>
        <v>0</v>
      </c>
      <c r="FS44" s="55">
        <f t="shared" si="19"/>
        <v>0</v>
      </c>
      <c r="FT44" s="55">
        <f t="shared" si="19"/>
        <v>0</v>
      </c>
      <c r="FU44" s="55">
        <f t="shared" si="19"/>
        <v>0</v>
      </c>
      <c r="FV44" s="55">
        <f t="shared" si="19"/>
        <v>0</v>
      </c>
      <c r="FW44" s="55">
        <f t="shared" si="19"/>
        <v>0</v>
      </c>
      <c r="FX44" s="55">
        <f t="shared" si="19"/>
        <v>0</v>
      </c>
      <c r="FY44" s="55">
        <f t="shared" si="19"/>
        <v>0</v>
      </c>
      <c r="FZ44" s="55">
        <f t="shared" si="19"/>
        <v>0</v>
      </c>
      <c r="GA44" s="334">
        <f t="shared" si="19"/>
        <v>0</v>
      </c>
    </row>
    <row r="45" spans="1:183" x14ac:dyDescent="0.15">
      <c r="A45" s="335"/>
      <c r="C45" s="290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9"/>
      <c r="DZ45" s="79"/>
      <c r="EA45" s="79"/>
      <c r="EB45" s="79"/>
      <c r="EC45" s="79"/>
      <c r="ED45" s="79"/>
      <c r="EE45" s="79"/>
      <c r="EF45" s="79"/>
      <c r="EG45" s="79"/>
      <c r="EH45" s="79"/>
      <c r="EI45" s="79"/>
      <c r="EJ45" s="79"/>
      <c r="EK45" s="79"/>
      <c r="EL45" s="79"/>
      <c r="EM45" s="79"/>
      <c r="EN45" s="79"/>
      <c r="EO45" s="79"/>
      <c r="EP45" s="79"/>
      <c r="EQ45" s="79"/>
      <c r="ER45" s="79"/>
      <c r="ES45" s="79"/>
      <c r="ET45" s="79"/>
      <c r="EU45" s="79"/>
      <c r="EV45" s="79"/>
      <c r="EW45" s="79"/>
      <c r="EX45" s="79"/>
      <c r="EY45" s="79"/>
      <c r="EZ45" s="79"/>
      <c r="FA45" s="79"/>
      <c r="FB45" s="79"/>
      <c r="FC45" s="79"/>
      <c r="FD45" s="79"/>
      <c r="FE45" s="79"/>
      <c r="FF45" s="79"/>
      <c r="FG45" s="79"/>
      <c r="FH45" s="79"/>
      <c r="FI45" s="79"/>
      <c r="FJ45" s="79"/>
      <c r="FK45" s="79"/>
      <c r="FL45" s="79"/>
      <c r="FM45" s="79"/>
      <c r="FN45" s="79"/>
      <c r="FO45" s="79"/>
      <c r="FP45" s="79"/>
      <c r="FQ45" s="79"/>
      <c r="FR45" s="79"/>
      <c r="FS45" s="79"/>
      <c r="FT45" s="79"/>
      <c r="FU45" s="79"/>
      <c r="FV45" s="79"/>
      <c r="FW45" s="79"/>
      <c r="FX45" s="79"/>
      <c r="FY45" s="79"/>
      <c r="FZ45" s="79"/>
      <c r="GA45" s="79"/>
    </row>
    <row r="46" spans="1:183" x14ac:dyDescent="0.15">
      <c r="A46" s="323" t="s">
        <v>354</v>
      </c>
      <c r="C46" s="378">
        <f>-C11+C22</f>
        <v>0</v>
      </c>
      <c r="D46" s="302">
        <f>D$44*Inputs_MySOL!$B$14</f>
        <v>0</v>
      </c>
      <c r="E46" s="302">
        <f>E$44*Inputs_MySOL!$B$14</f>
        <v>0</v>
      </c>
      <c r="F46" s="302">
        <f>F$44*Inputs_MySOL!$B$14</f>
        <v>0</v>
      </c>
      <c r="G46" s="302">
        <f>G$44*Inputs_MySOL!$B$14</f>
        <v>0</v>
      </c>
      <c r="H46" s="302">
        <f>H$44*Inputs_MySOL!$B$14</f>
        <v>0</v>
      </c>
      <c r="I46" s="302">
        <f>I$44*Inputs_MySOL!$B$14</f>
        <v>0</v>
      </c>
      <c r="J46" s="302">
        <f>J$44*Inputs_MySOL!$B$14</f>
        <v>0</v>
      </c>
      <c r="K46" s="302">
        <f>K$44*Inputs_MySOL!$B$14</f>
        <v>0</v>
      </c>
      <c r="L46" s="302">
        <f>L$44*Inputs_MySOL!$B$14</f>
        <v>0</v>
      </c>
      <c r="M46" s="302">
        <f>M$44*Inputs_MySOL!$B$14</f>
        <v>0</v>
      </c>
      <c r="N46" s="302">
        <f>N$44*Inputs_MySOL!$B$14</f>
        <v>0</v>
      </c>
      <c r="O46" s="302">
        <f>O$44*Inputs_MySOL!$B$14</f>
        <v>0</v>
      </c>
      <c r="P46" s="302">
        <f>P$44*Inputs_MySOL!$B$14</f>
        <v>0</v>
      </c>
      <c r="Q46" s="302">
        <f>Q$44*Inputs_MySOL!$B$14</f>
        <v>0</v>
      </c>
      <c r="R46" s="302">
        <f>R$44*Inputs_MySOL!$B$14</f>
        <v>0</v>
      </c>
      <c r="S46" s="302">
        <f>S$44*Inputs_MySOL!$B$14</f>
        <v>0</v>
      </c>
      <c r="T46" s="302">
        <f>T$44*Inputs_MySOL!$B$14</f>
        <v>0</v>
      </c>
      <c r="U46" s="302">
        <f>U$44*Inputs_MySOL!$B$14</f>
        <v>0</v>
      </c>
      <c r="V46" s="302">
        <f>V$44*Inputs_MySOL!$B$14</f>
        <v>0</v>
      </c>
      <c r="W46" s="302">
        <f>W$44*Inputs_MySOL!$B$14</f>
        <v>0</v>
      </c>
      <c r="X46" s="302">
        <f>X$44*Inputs_MySOL!$B$14</f>
        <v>0</v>
      </c>
      <c r="Y46" s="302">
        <f>Y$44*Inputs_MySOL!$B$14</f>
        <v>0</v>
      </c>
      <c r="Z46" s="302">
        <f>Z$44*Inputs_MySOL!$B$14</f>
        <v>0</v>
      </c>
      <c r="AA46" s="302">
        <f>AA$44*Inputs_MySOL!$B$14</f>
        <v>0</v>
      </c>
      <c r="AB46" s="302">
        <f>AB$44*Inputs_MySOL!$B$14</f>
        <v>0</v>
      </c>
      <c r="AC46" s="302">
        <f>AC$44*Inputs_MySOL!$B$14</f>
        <v>0</v>
      </c>
      <c r="AD46" s="302">
        <f>AD$44*Inputs_MySOL!$B$14</f>
        <v>0</v>
      </c>
      <c r="AE46" s="302">
        <f>AE$44*Inputs_MySOL!$B$14</f>
        <v>0</v>
      </c>
      <c r="AF46" s="302">
        <f>AF$44*Inputs_MySOL!$B$14</f>
        <v>0</v>
      </c>
      <c r="AG46" s="302">
        <f>AG$44*Inputs_MySOL!$B$14</f>
        <v>0</v>
      </c>
      <c r="AH46" s="302">
        <f>AH$44*Inputs_MySOL!$B$14</f>
        <v>0</v>
      </c>
      <c r="AI46" s="302">
        <f>AI$44*Inputs_MySOL!$B$14</f>
        <v>0</v>
      </c>
      <c r="AJ46" s="302">
        <f>AJ$44*Inputs_MySOL!$B$14</f>
        <v>0</v>
      </c>
      <c r="AK46" s="302">
        <f>AK$44*Inputs_MySOL!$B$14</f>
        <v>0</v>
      </c>
      <c r="AL46" s="302">
        <f>AL$44*Inputs_MySOL!$B$14</f>
        <v>0</v>
      </c>
      <c r="AM46" s="302">
        <f>AM$44*Inputs_MySOL!$B$14</f>
        <v>0</v>
      </c>
      <c r="AN46" s="302">
        <f>AN$44*Inputs_MySOL!$B$14</f>
        <v>0</v>
      </c>
      <c r="AO46" s="302">
        <f>AO$44*Inputs_MySOL!$B$14</f>
        <v>0</v>
      </c>
      <c r="AP46" s="302">
        <f>AP$44*Inputs_MySOL!$B$14</f>
        <v>0</v>
      </c>
      <c r="AQ46" s="302">
        <f>AQ$44*Inputs_MySOL!$B$14</f>
        <v>0</v>
      </c>
      <c r="AR46" s="302">
        <f>AR$44*Inputs_MySOL!$B$14</f>
        <v>0</v>
      </c>
      <c r="AS46" s="302">
        <f>AS$44*Inputs_MySOL!$B$14</f>
        <v>0</v>
      </c>
      <c r="AT46" s="302">
        <f>AT$44*Inputs_MySOL!$B$14</f>
        <v>0</v>
      </c>
      <c r="AU46" s="302">
        <f>AU$44*Inputs_MySOL!$B$14</f>
        <v>0</v>
      </c>
      <c r="AV46" s="302">
        <f>AV$44*Inputs_MySOL!$B$14</f>
        <v>0</v>
      </c>
      <c r="AW46" s="302">
        <f>AW$44*Inputs_MySOL!$B$14</f>
        <v>0</v>
      </c>
      <c r="AX46" s="302">
        <f>AX$44*Inputs_MySOL!$B$14</f>
        <v>0</v>
      </c>
      <c r="AY46" s="302">
        <f>AY$44*Inputs_MySOL!$B$14</f>
        <v>0</v>
      </c>
      <c r="AZ46" s="302">
        <f>AZ$44*Inputs_MySOL!$B$14</f>
        <v>0</v>
      </c>
      <c r="BA46" s="302">
        <f>BA$44*Inputs_MySOL!$B$14</f>
        <v>0</v>
      </c>
      <c r="BB46" s="302">
        <f>BB$44*Inputs_MySOL!$B$14</f>
        <v>0</v>
      </c>
      <c r="BC46" s="302">
        <f>BC$44*Inputs_MySOL!$B$14</f>
        <v>0</v>
      </c>
      <c r="BD46" s="302">
        <f>BD$44*Inputs_MySOL!$B$14</f>
        <v>0</v>
      </c>
      <c r="BE46" s="302">
        <f>BE$44*Inputs_MySOL!$B$14</f>
        <v>0</v>
      </c>
      <c r="BF46" s="302">
        <f>BF$44*Inputs_MySOL!$B$14</f>
        <v>0</v>
      </c>
      <c r="BG46" s="302">
        <f>BG$44*Inputs_MySOL!$B$14</f>
        <v>0</v>
      </c>
      <c r="BH46" s="302">
        <f>BH$44*Inputs_MySOL!$B$14</f>
        <v>0</v>
      </c>
      <c r="BI46" s="302">
        <f>BI$44*Inputs_MySOL!$B$14</f>
        <v>0</v>
      </c>
      <c r="BJ46" s="302">
        <f>BJ$44*Inputs_MySOL!$B$14</f>
        <v>0</v>
      </c>
      <c r="BK46" s="302">
        <f>BK$44*Inputs_MySOL!$B$14</f>
        <v>0</v>
      </c>
      <c r="BL46" s="302">
        <f>BL$44*Inputs_MySOL!$B$14</f>
        <v>0</v>
      </c>
      <c r="BM46" s="302">
        <f>BM$44*Inputs_MySOL!$B$14</f>
        <v>0</v>
      </c>
      <c r="BN46" s="302">
        <f>BN$44*Inputs_MySOL!$B$14</f>
        <v>0</v>
      </c>
      <c r="BO46" s="302">
        <f>BO$44*Inputs_MySOL!$B$14</f>
        <v>0</v>
      </c>
      <c r="BP46" s="302">
        <f>BP$44*Inputs_MySOL!$B$14</f>
        <v>0</v>
      </c>
      <c r="BQ46" s="302">
        <f>BQ$44*Inputs_MySOL!$B$14</f>
        <v>0</v>
      </c>
      <c r="BR46" s="302">
        <f>BR$44*Inputs_MySOL!$B$14</f>
        <v>0</v>
      </c>
      <c r="BS46" s="302">
        <f>BS$44*Inputs_MySOL!$B$14</f>
        <v>0</v>
      </c>
      <c r="BT46" s="302">
        <f>BT$44*Inputs_MySOL!$B$14</f>
        <v>0</v>
      </c>
      <c r="BU46" s="302">
        <f>BU$44*Inputs_MySOL!$B$14</f>
        <v>0</v>
      </c>
      <c r="BV46" s="302">
        <f>BV$44*Inputs_MySOL!$B$14</f>
        <v>0</v>
      </c>
      <c r="BW46" s="302">
        <f>BW$44*Inputs_MySOL!$B$14</f>
        <v>0</v>
      </c>
      <c r="BX46" s="302">
        <f>BX$44*Inputs_MySOL!$B$14</f>
        <v>0</v>
      </c>
      <c r="BY46" s="302">
        <f>BY$44*Inputs_MySOL!$B$14</f>
        <v>0</v>
      </c>
      <c r="BZ46" s="302">
        <f>BZ$44*Inputs_MySOL!$B$14</f>
        <v>0</v>
      </c>
      <c r="CA46" s="302">
        <f>CA$44*Inputs_MySOL!$B$14</f>
        <v>0</v>
      </c>
      <c r="CB46" s="302">
        <f>CB$44*Inputs_MySOL!$B$14</f>
        <v>0</v>
      </c>
      <c r="CC46" s="302">
        <f>CC$44*Inputs_MySOL!$B$14</f>
        <v>0</v>
      </c>
      <c r="CD46" s="302">
        <f>CD$44*Inputs_MySOL!$B$14</f>
        <v>0</v>
      </c>
      <c r="CE46" s="302">
        <f>CE$44*Inputs_MySOL!$B$14</f>
        <v>0</v>
      </c>
      <c r="CF46" s="302">
        <f>CF$44*Inputs_MySOL!$B$14</f>
        <v>0</v>
      </c>
      <c r="CG46" s="302">
        <f>CG$44*Inputs_MySOL!$B$14</f>
        <v>0</v>
      </c>
      <c r="CH46" s="302">
        <f>CH$44*Inputs_MySOL!$B$14</f>
        <v>0</v>
      </c>
      <c r="CI46" s="302">
        <f>CI$44*Inputs_MySOL!$B$14</f>
        <v>0</v>
      </c>
      <c r="CJ46" s="302">
        <f>CJ$44*Inputs_MySOL!$B$14</f>
        <v>0</v>
      </c>
      <c r="CK46" s="302">
        <f>CK$44*Inputs_MySOL!$B$14</f>
        <v>0</v>
      </c>
      <c r="CL46" s="302">
        <f>CL$44*Inputs_MySOL!$B$14</f>
        <v>0</v>
      </c>
      <c r="CM46" s="302">
        <f>CM$44*Inputs_MySOL!$B$14</f>
        <v>0</v>
      </c>
      <c r="CN46" s="302">
        <f>CN$44*Inputs_MySOL!$B$14</f>
        <v>0</v>
      </c>
      <c r="CO46" s="302">
        <f>CO$44*Inputs_MySOL!$B$14</f>
        <v>0</v>
      </c>
      <c r="CP46" s="302">
        <f>CP$44*Inputs_MySOL!$B$14</f>
        <v>0</v>
      </c>
      <c r="CQ46" s="302">
        <f>CQ$44*Inputs_MySOL!$B$14</f>
        <v>0</v>
      </c>
      <c r="CR46" s="302">
        <f>CR$44*Inputs_MySOL!$B$14</f>
        <v>0</v>
      </c>
      <c r="CS46" s="302">
        <f>CS$44*Inputs_MySOL!$B$14</f>
        <v>0</v>
      </c>
      <c r="CT46" s="302">
        <f>CT$44*Inputs_MySOL!$B$14</f>
        <v>0</v>
      </c>
      <c r="CU46" s="302">
        <f>CU$44*Inputs_MySOL!$B$14</f>
        <v>0</v>
      </c>
      <c r="CV46" s="302">
        <f>CV$44*Inputs_MySOL!$B$14</f>
        <v>0</v>
      </c>
      <c r="CW46" s="302">
        <f>CW$44*Inputs_MySOL!$B$14</f>
        <v>0</v>
      </c>
      <c r="CX46" s="302">
        <f>CX$44*Inputs_MySOL!$B$14</f>
        <v>0</v>
      </c>
      <c r="CY46" s="302">
        <f>CY$44*Inputs_MySOL!$B$14</f>
        <v>0</v>
      </c>
      <c r="CZ46" s="302">
        <f>CZ$44*Inputs_MySOL!$B$14</f>
        <v>0</v>
      </c>
      <c r="DA46" s="302">
        <f>DA$44*Inputs_MySOL!$B$14</f>
        <v>0</v>
      </c>
      <c r="DB46" s="302">
        <f>DB$44*Inputs_MySOL!$B$14</f>
        <v>0</v>
      </c>
      <c r="DC46" s="302">
        <f>DC$44*Inputs_MySOL!$B$14</f>
        <v>0</v>
      </c>
      <c r="DD46" s="302">
        <f>DD$44*Inputs_MySOL!$B$14</f>
        <v>0</v>
      </c>
      <c r="DE46" s="302">
        <f>DE$44*Inputs_MySOL!$B$14</f>
        <v>0</v>
      </c>
      <c r="DF46" s="302">
        <f>DF$44*Inputs_MySOL!$B$14</f>
        <v>0</v>
      </c>
      <c r="DG46" s="302">
        <f>DG$44*Inputs_MySOL!$B$14</f>
        <v>0</v>
      </c>
      <c r="DH46" s="302">
        <f>DH$44*Inputs_MySOL!$B$14</f>
        <v>0</v>
      </c>
      <c r="DI46" s="302">
        <f>DI$44*Inputs_MySOL!$B$14</f>
        <v>0</v>
      </c>
      <c r="DJ46" s="302">
        <f>DJ$44*Inputs_MySOL!$B$14</f>
        <v>0</v>
      </c>
      <c r="DK46" s="302">
        <f>DK$44*Inputs_MySOL!$B$14</f>
        <v>0</v>
      </c>
      <c r="DL46" s="302">
        <f>DL$44*Inputs_MySOL!$B$14</f>
        <v>0</v>
      </c>
      <c r="DM46" s="302">
        <f>DM$44*Inputs_MySOL!$B$14</f>
        <v>0</v>
      </c>
      <c r="DN46" s="302">
        <f>DN$44*Inputs_MySOL!$B$14</f>
        <v>0</v>
      </c>
      <c r="DO46" s="302">
        <f>DO$44*Inputs_MySOL!$B$14</f>
        <v>0</v>
      </c>
      <c r="DP46" s="302">
        <f>DP$44*Inputs_MySOL!$B$14</f>
        <v>0</v>
      </c>
      <c r="DQ46" s="302">
        <f>DQ$44*Inputs_MySOL!$B$14</f>
        <v>0</v>
      </c>
      <c r="DR46" s="302">
        <f>DR$44*Inputs_MySOL!$B$14</f>
        <v>0</v>
      </c>
      <c r="DS46" s="302">
        <f>DS$44*Inputs_MySOL!$B$14</f>
        <v>0</v>
      </c>
      <c r="DT46" s="302">
        <f>DT$44*Inputs_MySOL!$B$14</f>
        <v>0</v>
      </c>
      <c r="DU46" s="302">
        <f>DU$44*Inputs_MySOL!$B$14</f>
        <v>0</v>
      </c>
      <c r="DV46" s="302">
        <f>DV$44*Inputs_MySOL!$B$14</f>
        <v>0</v>
      </c>
      <c r="DW46" s="302">
        <f>DW$44*Inputs_MySOL!$B$14</f>
        <v>0</v>
      </c>
      <c r="DX46" s="302">
        <f>DX$44*Inputs_MySOL!$B$14</f>
        <v>0</v>
      </c>
      <c r="DY46" s="302">
        <f>DY$44*Inputs_MySOL!$B$14</f>
        <v>0</v>
      </c>
      <c r="DZ46" s="302">
        <f>DZ$44*Inputs_MySOL!$B$14</f>
        <v>0</v>
      </c>
      <c r="EA46" s="302">
        <f>EA$44*Inputs_MySOL!$B$14</f>
        <v>0</v>
      </c>
      <c r="EB46" s="302">
        <f>EB$44*Inputs_MySOL!$B$14</f>
        <v>0</v>
      </c>
      <c r="EC46" s="302">
        <f>EC$44*Inputs_MySOL!$B$14</f>
        <v>0</v>
      </c>
      <c r="ED46" s="302">
        <f>ED$44*Inputs_MySOL!$B$14</f>
        <v>0</v>
      </c>
      <c r="EE46" s="302">
        <f>EE$44*Inputs_MySOL!$B$14</f>
        <v>0</v>
      </c>
      <c r="EF46" s="302">
        <f>EF$44*Inputs_MySOL!$B$14</f>
        <v>0</v>
      </c>
      <c r="EG46" s="302">
        <f>EG$44*Inputs_MySOL!$B$14</f>
        <v>0</v>
      </c>
      <c r="EH46" s="302">
        <f>EH$44*Inputs_MySOL!$B$14</f>
        <v>0</v>
      </c>
      <c r="EI46" s="302">
        <f>EI$44*Inputs_MySOL!$B$14</f>
        <v>0</v>
      </c>
      <c r="EJ46" s="302">
        <f>EJ$44*Inputs_MySOL!$B$14</f>
        <v>0</v>
      </c>
      <c r="EK46" s="302">
        <f>EK$44*Inputs_MySOL!$B$14</f>
        <v>0</v>
      </c>
      <c r="EL46" s="302">
        <f>EL$44*Inputs_MySOL!$B$14</f>
        <v>0</v>
      </c>
      <c r="EM46" s="302">
        <f>EM$44*Inputs_MySOL!$B$14</f>
        <v>0</v>
      </c>
      <c r="EN46" s="302">
        <f>EN$44*Inputs_MySOL!$B$14</f>
        <v>0</v>
      </c>
      <c r="EO46" s="302">
        <f>EO$44*Inputs_MySOL!$B$14</f>
        <v>0</v>
      </c>
      <c r="EP46" s="302">
        <f>EP$44*Inputs_MySOL!$B$14</f>
        <v>0</v>
      </c>
      <c r="EQ46" s="302">
        <f>EQ$44*Inputs_MySOL!$B$14</f>
        <v>0</v>
      </c>
      <c r="ER46" s="302">
        <f>ER$44*Inputs_MySOL!$B$14</f>
        <v>0</v>
      </c>
      <c r="ES46" s="302">
        <f>ES$44*Inputs_MySOL!$B$14</f>
        <v>0</v>
      </c>
      <c r="ET46" s="302">
        <f>ET$44*Inputs_MySOL!$B$14</f>
        <v>0</v>
      </c>
      <c r="EU46" s="302">
        <f>EU$44*Inputs_MySOL!$B$14</f>
        <v>0</v>
      </c>
      <c r="EV46" s="302">
        <f>EV$44*Inputs_MySOL!$B$14</f>
        <v>0</v>
      </c>
      <c r="EW46" s="302">
        <f>EW$44*Inputs_MySOL!$B$14</f>
        <v>0</v>
      </c>
      <c r="EX46" s="302">
        <f>EX$44*Inputs_MySOL!$B$14</f>
        <v>0</v>
      </c>
      <c r="EY46" s="302">
        <f>EY$44*Inputs_MySOL!$B$14</f>
        <v>0</v>
      </c>
      <c r="EZ46" s="302">
        <f>EZ$44*Inputs_MySOL!$B$14</f>
        <v>0</v>
      </c>
      <c r="FA46" s="302">
        <f>FA$44*Inputs_MySOL!$B$14</f>
        <v>0</v>
      </c>
      <c r="FB46" s="302">
        <f>FB$44*Inputs_MySOL!$B$14</f>
        <v>0</v>
      </c>
      <c r="FC46" s="302">
        <f>FC$44*Inputs_MySOL!$B$14</f>
        <v>0</v>
      </c>
      <c r="FD46" s="302">
        <f>FD$44*Inputs_MySOL!$B$14</f>
        <v>0</v>
      </c>
      <c r="FE46" s="302">
        <f>FE$44*Inputs_MySOL!$B$14</f>
        <v>0</v>
      </c>
      <c r="FF46" s="302">
        <f>FF$44*Inputs_MySOL!$B$14</f>
        <v>0</v>
      </c>
      <c r="FG46" s="302">
        <f>FG$44*Inputs_MySOL!$B$14</f>
        <v>0</v>
      </c>
      <c r="FH46" s="302">
        <f>FH$44*Inputs_MySOL!$B$14</f>
        <v>0</v>
      </c>
      <c r="FI46" s="302">
        <f>FI$44*Inputs_MySOL!$B$14</f>
        <v>0</v>
      </c>
      <c r="FJ46" s="302">
        <f>FJ$44*Inputs_MySOL!$B$14</f>
        <v>0</v>
      </c>
      <c r="FK46" s="302">
        <f>FK$44*Inputs_MySOL!$B$14</f>
        <v>0</v>
      </c>
      <c r="FL46" s="302">
        <f>FL$44*Inputs_MySOL!$B$14</f>
        <v>0</v>
      </c>
      <c r="FM46" s="302">
        <f>FM$44*Inputs_MySOL!$B$14</f>
        <v>0</v>
      </c>
      <c r="FN46" s="302">
        <f>FN$44*Inputs_MySOL!$B$14</f>
        <v>0</v>
      </c>
      <c r="FO46" s="302">
        <f>FO$44*Inputs_MySOL!$B$14</f>
        <v>0</v>
      </c>
      <c r="FP46" s="302">
        <f>FP$44*Inputs_MySOL!$B$14</f>
        <v>0</v>
      </c>
      <c r="FQ46" s="302">
        <f>FQ$44*Inputs_MySOL!$B$14</f>
        <v>0</v>
      </c>
      <c r="FR46" s="302">
        <f>FR$44*Inputs_MySOL!$B$14</f>
        <v>0</v>
      </c>
      <c r="FS46" s="302">
        <f>FS$44*Inputs_MySOL!$B$14</f>
        <v>0</v>
      </c>
      <c r="FT46" s="302">
        <f>FT$44*Inputs_MySOL!$B$14</f>
        <v>0</v>
      </c>
      <c r="FU46" s="302">
        <f>FU$44*Inputs_MySOL!$B$14</f>
        <v>0</v>
      </c>
      <c r="FV46" s="302">
        <f>FV$44*Inputs_MySOL!$B$14</f>
        <v>0</v>
      </c>
      <c r="FW46" s="302">
        <f>FW$44*Inputs_MySOL!$B$14</f>
        <v>0</v>
      </c>
      <c r="FX46" s="302">
        <f>FX$44*Inputs_MySOL!$B$14</f>
        <v>0</v>
      </c>
      <c r="FY46" s="302">
        <f>FY$44*Inputs_MySOL!$B$14</f>
        <v>0</v>
      </c>
      <c r="FZ46" s="302">
        <f>FZ$44*Inputs_MySOL!$B$14</f>
        <v>0</v>
      </c>
      <c r="GA46" s="303">
        <f>GA$44*Inputs_MySOL!$B$14</f>
        <v>0</v>
      </c>
    </row>
    <row r="47" spans="1:183" x14ac:dyDescent="0.15">
      <c r="A47" s="323" t="s">
        <v>665</v>
      </c>
      <c r="C47" s="313">
        <f>-C12+C23</f>
        <v>0</v>
      </c>
      <c r="D47" s="290">
        <f>D$44*Inputs_MySOL!$B$15</f>
        <v>0</v>
      </c>
      <c r="E47" s="290">
        <f>E$44*Inputs_MySOL!$B$15</f>
        <v>0</v>
      </c>
      <c r="F47" s="290">
        <f>F$44*Inputs_MySOL!$B$15</f>
        <v>0</v>
      </c>
      <c r="G47" s="290">
        <f>G$44*Inputs_MySOL!$B$15</f>
        <v>0</v>
      </c>
      <c r="H47" s="290">
        <f>H$44*Inputs_MySOL!$B$15</f>
        <v>0</v>
      </c>
      <c r="I47" s="290">
        <f>I$44*Inputs_MySOL!$B$15</f>
        <v>0</v>
      </c>
      <c r="J47" s="290">
        <f>J$44*Inputs_MySOL!$B$15</f>
        <v>0</v>
      </c>
      <c r="K47" s="290">
        <f>K$44*Inputs_MySOL!$B$15</f>
        <v>0</v>
      </c>
      <c r="L47" s="290">
        <f>L$44*Inputs_MySOL!$B$15</f>
        <v>0</v>
      </c>
      <c r="M47" s="290">
        <f>M$44*Inputs_MySOL!$B$15</f>
        <v>0</v>
      </c>
      <c r="N47" s="290">
        <f>N$44*Inputs_MySOL!$B$15</f>
        <v>0</v>
      </c>
      <c r="O47" s="290">
        <f>O$44*Inputs_MySOL!$B$15</f>
        <v>0</v>
      </c>
      <c r="P47" s="290">
        <f>P$44*Inputs_MySOL!$B$15</f>
        <v>0</v>
      </c>
      <c r="Q47" s="290">
        <f>Q$44*Inputs_MySOL!$B$15</f>
        <v>0</v>
      </c>
      <c r="R47" s="290">
        <f>R$44*Inputs_MySOL!$B$15</f>
        <v>0</v>
      </c>
      <c r="S47" s="290">
        <f>S$44*Inputs_MySOL!$B$15</f>
        <v>0</v>
      </c>
      <c r="T47" s="290">
        <f>T$44*Inputs_MySOL!$B$15</f>
        <v>0</v>
      </c>
      <c r="U47" s="290">
        <f>U$44*Inputs_MySOL!$B$15</f>
        <v>0</v>
      </c>
      <c r="V47" s="290">
        <f>V$44*Inputs_MySOL!$B$15</f>
        <v>0</v>
      </c>
      <c r="W47" s="290">
        <f>W$44*Inputs_MySOL!$B$15</f>
        <v>0</v>
      </c>
      <c r="X47" s="290">
        <f>X$44*Inputs_MySOL!$B$15</f>
        <v>0</v>
      </c>
      <c r="Y47" s="290">
        <f>Y$44*Inputs_MySOL!$B$15</f>
        <v>0</v>
      </c>
      <c r="Z47" s="290">
        <f>Z$44*Inputs_MySOL!$B$15</f>
        <v>0</v>
      </c>
      <c r="AA47" s="290">
        <f>AA$44*Inputs_MySOL!$B$15</f>
        <v>0</v>
      </c>
      <c r="AB47" s="290">
        <f>AB$44*Inputs_MySOL!$B$15</f>
        <v>0</v>
      </c>
      <c r="AC47" s="290">
        <f>AC$44*Inputs_MySOL!$B$15</f>
        <v>0</v>
      </c>
      <c r="AD47" s="290">
        <f>AD$44*Inputs_MySOL!$B$15</f>
        <v>0</v>
      </c>
      <c r="AE47" s="290">
        <f>AE$44*Inputs_MySOL!$B$15</f>
        <v>0</v>
      </c>
      <c r="AF47" s="290">
        <f>AF$44*Inputs_MySOL!$B$15</f>
        <v>0</v>
      </c>
      <c r="AG47" s="290">
        <f>AG$44*Inputs_MySOL!$B$15</f>
        <v>0</v>
      </c>
      <c r="AH47" s="290">
        <f>AH$44*Inputs_MySOL!$B$15</f>
        <v>0</v>
      </c>
      <c r="AI47" s="290">
        <f>AI$44*Inputs_MySOL!$B$15</f>
        <v>0</v>
      </c>
      <c r="AJ47" s="290">
        <f>AJ$44*Inputs_MySOL!$B$15</f>
        <v>0</v>
      </c>
      <c r="AK47" s="290">
        <f>AK$44*Inputs_MySOL!$B$15</f>
        <v>0</v>
      </c>
      <c r="AL47" s="290">
        <f>AL$44*Inputs_MySOL!$B$15</f>
        <v>0</v>
      </c>
      <c r="AM47" s="290">
        <f>AM$44*Inputs_MySOL!$B$15</f>
        <v>0</v>
      </c>
      <c r="AN47" s="290">
        <f>AN$44*Inputs_MySOL!$B$15</f>
        <v>0</v>
      </c>
      <c r="AO47" s="290">
        <f>AO$44*Inputs_MySOL!$B$15</f>
        <v>0</v>
      </c>
      <c r="AP47" s="290">
        <f>AP$44*Inputs_MySOL!$B$15</f>
        <v>0</v>
      </c>
      <c r="AQ47" s="290">
        <f>AQ$44*Inputs_MySOL!$B$15</f>
        <v>0</v>
      </c>
      <c r="AR47" s="290">
        <f>AR$44*Inputs_MySOL!$B$15</f>
        <v>0</v>
      </c>
      <c r="AS47" s="290">
        <f>AS$44*Inputs_MySOL!$B$15</f>
        <v>0</v>
      </c>
      <c r="AT47" s="290">
        <f>AT$44*Inputs_MySOL!$B$15</f>
        <v>0</v>
      </c>
      <c r="AU47" s="290">
        <f>AU$44*Inputs_MySOL!$B$15</f>
        <v>0</v>
      </c>
      <c r="AV47" s="290">
        <f>AV$44*Inputs_MySOL!$B$15</f>
        <v>0</v>
      </c>
      <c r="AW47" s="290">
        <f>AW$44*Inputs_MySOL!$B$15</f>
        <v>0</v>
      </c>
      <c r="AX47" s="290">
        <f>AX$44*Inputs_MySOL!$B$15</f>
        <v>0</v>
      </c>
      <c r="AY47" s="290">
        <f>AY$44*Inputs_MySOL!$B$15</f>
        <v>0</v>
      </c>
      <c r="AZ47" s="290">
        <f>AZ$44*Inputs_MySOL!$B$15</f>
        <v>0</v>
      </c>
      <c r="BA47" s="290">
        <f>BA$44*Inputs_MySOL!$B$15</f>
        <v>0</v>
      </c>
      <c r="BB47" s="290">
        <f>BB$44*Inputs_MySOL!$B$15</f>
        <v>0</v>
      </c>
      <c r="BC47" s="290">
        <f>BC$44*Inputs_MySOL!$B$15</f>
        <v>0</v>
      </c>
      <c r="BD47" s="290">
        <f>BD$44*Inputs_MySOL!$B$15</f>
        <v>0</v>
      </c>
      <c r="BE47" s="290">
        <f>BE$44*Inputs_MySOL!$B$15</f>
        <v>0</v>
      </c>
      <c r="BF47" s="290">
        <f>BF$44*Inputs_MySOL!$B$15</f>
        <v>0</v>
      </c>
      <c r="BG47" s="290">
        <f>BG$44*Inputs_MySOL!$B$15</f>
        <v>0</v>
      </c>
      <c r="BH47" s="290">
        <f>BH$44*Inputs_MySOL!$B$15</f>
        <v>0</v>
      </c>
      <c r="BI47" s="290">
        <f>BI$44*Inputs_MySOL!$B$15</f>
        <v>0</v>
      </c>
      <c r="BJ47" s="290">
        <f>BJ$44*Inputs_MySOL!$B$15</f>
        <v>0</v>
      </c>
      <c r="BK47" s="290">
        <f>BK$44*Inputs_MySOL!$B$15</f>
        <v>0</v>
      </c>
      <c r="BL47" s="290">
        <f>BL$44*Inputs_MySOL!$B$15</f>
        <v>0</v>
      </c>
      <c r="BM47" s="290">
        <f>BM$44*Inputs_MySOL!$B$15</f>
        <v>0</v>
      </c>
      <c r="BN47" s="290">
        <f>BN$44*Inputs_MySOL!$B$15</f>
        <v>0</v>
      </c>
      <c r="BO47" s="290">
        <f>BO$44*Inputs_MySOL!$B$15</f>
        <v>0</v>
      </c>
      <c r="BP47" s="290">
        <f>BP$44*Inputs_MySOL!$B$15</f>
        <v>0</v>
      </c>
      <c r="BQ47" s="290">
        <f>BQ$44*Inputs_MySOL!$B$15</f>
        <v>0</v>
      </c>
      <c r="BR47" s="290">
        <f>BR$44*Inputs_MySOL!$B$15</f>
        <v>0</v>
      </c>
      <c r="BS47" s="290">
        <f>BS$44*Inputs_MySOL!$B$15</f>
        <v>0</v>
      </c>
      <c r="BT47" s="290">
        <f>BT$44*Inputs_MySOL!$B$15</f>
        <v>0</v>
      </c>
      <c r="BU47" s="290">
        <f>BU$44*Inputs_MySOL!$B$15</f>
        <v>0</v>
      </c>
      <c r="BV47" s="290">
        <f>BV$44*Inputs_MySOL!$B$15</f>
        <v>0</v>
      </c>
      <c r="BW47" s="290">
        <f>BW$44*Inputs_MySOL!$B$15</f>
        <v>0</v>
      </c>
      <c r="BX47" s="290">
        <f>BX$44*Inputs_MySOL!$B$15</f>
        <v>0</v>
      </c>
      <c r="BY47" s="290">
        <f>BY$44*Inputs_MySOL!$B$15</f>
        <v>0</v>
      </c>
      <c r="BZ47" s="290">
        <f>BZ$44*Inputs_MySOL!$B$15</f>
        <v>0</v>
      </c>
      <c r="CA47" s="290">
        <f>CA$44*Inputs_MySOL!$B$15</f>
        <v>0</v>
      </c>
      <c r="CB47" s="290">
        <f>CB$44*Inputs_MySOL!$B$15</f>
        <v>0</v>
      </c>
      <c r="CC47" s="290">
        <f>CC$44*Inputs_MySOL!$B$15</f>
        <v>0</v>
      </c>
      <c r="CD47" s="290">
        <f>CD$44*Inputs_MySOL!$B$15</f>
        <v>0</v>
      </c>
      <c r="CE47" s="290">
        <f>CE$44*Inputs_MySOL!$B$15</f>
        <v>0</v>
      </c>
      <c r="CF47" s="290">
        <f>CF$44*Inputs_MySOL!$B$15</f>
        <v>0</v>
      </c>
      <c r="CG47" s="290">
        <f>CG$44*Inputs_MySOL!$B$15</f>
        <v>0</v>
      </c>
      <c r="CH47" s="290">
        <f>CH$44*Inputs_MySOL!$B$15</f>
        <v>0</v>
      </c>
      <c r="CI47" s="290">
        <f>CI$44*Inputs_MySOL!$B$15</f>
        <v>0</v>
      </c>
      <c r="CJ47" s="290">
        <f>CJ$44*Inputs_MySOL!$B$15</f>
        <v>0</v>
      </c>
      <c r="CK47" s="290">
        <f>CK$44*Inputs_MySOL!$B$15</f>
        <v>0</v>
      </c>
      <c r="CL47" s="290">
        <f>CL$44*Inputs_MySOL!$B$15</f>
        <v>0</v>
      </c>
      <c r="CM47" s="290">
        <f>CM$44*Inputs_MySOL!$B$15</f>
        <v>0</v>
      </c>
      <c r="CN47" s="290">
        <f>CN$44*Inputs_MySOL!$B$15</f>
        <v>0</v>
      </c>
      <c r="CO47" s="290">
        <f>CO$44*Inputs_MySOL!$B$15</f>
        <v>0</v>
      </c>
      <c r="CP47" s="290">
        <f>CP$44*Inputs_MySOL!$B$15</f>
        <v>0</v>
      </c>
      <c r="CQ47" s="290">
        <f>CQ$44*Inputs_MySOL!$B$15</f>
        <v>0</v>
      </c>
      <c r="CR47" s="290">
        <f>CR$44*Inputs_MySOL!$B$15</f>
        <v>0</v>
      </c>
      <c r="CS47" s="290">
        <f>CS$44*Inputs_MySOL!$B$15</f>
        <v>0</v>
      </c>
      <c r="CT47" s="290">
        <f>CT$44*Inputs_MySOL!$B$15</f>
        <v>0</v>
      </c>
      <c r="CU47" s="290">
        <f>CU$44*Inputs_MySOL!$B$15</f>
        <v>0</v>
      </c>
      <c r="CV47" s="290">
        <f>CV$44*Inputs_MySOL!$B$15</f>
        <v>0</v>
      </c>
      <c r="CW47" s="290">
        <f>CW$44*Inputs_MySOL!$B$15</f>
        <v>0</v>
      </c>
      <c r="CX47" s="290">
        <f>CX$44*Inputs_MySOL!$B$15</f>
        <v>0</v>
      </c>
      <c r="CY47" s="290">
        <f>CY$44*Inputs_MySOL!$B$15</f>
        <v>0</v>
      </c>
      <c r="CZ47" s="290">
        <f>CZ$44*Inputs_MySOL!$B$15</f>
        <v>0</v>
      </c>
      <c r="DA47" s="290">
        <f>DA$44*Inputs_MySOL!$B$15</f>
        <v>0</v>
      </c>
      <c r="DB47" s="290">
        <f>DB$44*Inputs_MySOL!$B$15</f>
        <v>0</v>
      </c>
      <c r="DC47" s="290">
        <f>DC$44*Inputs_MySOL!$B$15</f>
        <v>0</v>
      </c>
      <c r="DD47" s="290">
        <f>DD$44*Inputs_MySOL!$B$15</f>
        <v>0</v>
      </c>
      <c r="DE47" s="290">
        <f>DE$44*Inputs_MySOL!$B$15</f>
        <v>0</v>
      </c>
      <c r="DF47" s="290">
        <f>DF$44*Inputs_MySOL!$B$15</f>
        <v>0</v>
      </c>
      <c r="DG47" s="290">
        <f>DG$44*Inputs_MySOL!$B$15</f>
        <v>0</v>
      </c>
      <c r="DH47" s="290">
        <f>DH$44*Inputs_MySOL!$B$15</f>
        <v>0</v>
      </c>
      <c r="DI47" s="290">
        <f>DI$44*Inputs_MySOL!$B$15</f>
        <v>0</v>
      </c>
      <c r="DJ47" s="290">
        <f>DJ$44*Inputs_MySOL!$B$15</f>
        <v>0</v>
      </c>
      <c r="DK47" s="290">
        <f>DK$44*Inputs_MySOL!$B$15</f>
        <v>0</v>
      </c>
      <c r="DL47" s="290">
        <f>DL$44*Inputs_MySOL!$B$15</f>
        <v>0</v>
      </c>
      <c r="DM47" s="290">
        <f>DM$44*Inputs_MySOL!$B$15</f>
        <v>0</v>
      </c>
      <c r="DN47" s="290">
        <f>DN$44*Inputs_MySOL!$B$15</f>
        <v>0</v>
      </c>
      <c r="DO47" s="290">
        <f>DO$44*Inputs_MySOL!$B$15</f>
        <v>0</v>
      </c>
      <c r="DP47" s="290">
        <f>DP$44*Inputs_MySOL!$B$15</f>
        <v>0</v>
      </c>
      <c r="DQ47" s="290">
        <f>DQ$44*Inputs_MySOL!$B$15</f>
        <v>0</v>
      </c>
      <c r="DR47" s="290">
        <f>DR$44*Inputs_MySOL!$B$15</f>
        <v>0</v>
      </c>
      <c r="DS47" s="290">
        <f>DS$44*Inputs_MySOL!$B$15</f>
        <v>0</v>
      </c>
      <c r="DT47" s="290">
        <f>DT$44*Inputs_MySOL!$B$15</f>
        <v>0</v>
      </c>
      <c r="DU47" s="290">
        <f>DU$44*Inputs_MySOL!$B$15</f>
        <v>0</v>
      </c>
      <c r="DV47" s="290">
        <f>DV$44*Inputs_MySOL!$B$15</f>
        <v>0</v>
      </c>
      <c r="DW47" s="290">
        <f>DW$44*Inputs_MySOL!$B$15</f>
        <v>0</v>
      </c>
      <c r="DX47" s="290">
        <f>DX$44*Inputs_MySOL!$B$15</f>
        <v>0</v>
      </c>
      <c r="DY47" s="290">
        <f>DY$44*Inputs_MySOL!$B$15</f>
        <v>0</v>
      </c>
      <c r="DZ47" s="290">
        <f>DZ$44*Inputs_MySOL!$B$15</f>
        <v>0</v>
      </c>
      <c r="EA47" s="290">
        <f>EA$44*Inputs_MySOL!$B$15</f>
        <v>0</v>
      </c>
      <c r="EB47" s="290">
        <f>EB$44*Inputs_MySOL!$B$15</f>
        <v>0</v>
      </c>
      <c r="EC47" s="290">
        <f>EC$44*Inputs_MySOL!$B$15</f>
        <v>0</v>
      </c>
      <c r="ED47" s="290">
        <f>ED$44*Inputs_MySOL!$B$15</f>
        <v>0</v>
      </c>
      <c r="EE47" s="290">
        <f>EE$44*Inputs_MySOL!$B$15</f>
        <v>0</v>
      </c>
      <c r="EF47" s="290">
        <f>EF$44*Inputs_MySOL!$B$15</f>
        <v>0</v>
      </c>
      <c r="EG47" s="290">
        <f>EG$44*Inputs_MySOL!$B$15</f>
        <v>0</v>
      </c>
      <c r="EH47" s="290">
        <f>EH$44*Inputs_MySOL!$B$15</f>
        <v>0</v>
      </c>
      <c r="EI47" s="290">
        <f>EI$44*Inputs_MySOL!$B$15</f>
        <v>0</v>
      </c>
      <c r="EJ47" s="290">
        <f>EJ$44*Inputs_MySOL!$B$15</f>
        <v>0</v>
      </c>
      <c r="EK47" s="290">
        <f>EK$44*Inputs_MySOL!$B$15</f>
        <v>0</v>
      </c>
      <c r="EL47" s="290">
        <f>EL$44*Inputs_MySOL!$B$15</f>
        <v>0</v>
      </c>
      <c r="EM47" s="290">
        <f>EM$44*Inputs_MySOL!$B$15</f>
        <v>0</v>
      </c>
      <c r="EN47" s="290">
        <f>EN$44*Inputs_MySOL!$B$15</f>
        <v>0</v>
      </c>
      <c r="EO47" s="290">
        <f>EO$44*Inputs_MySOL!$B$15</f>
        <v>0</v>
      </c>
      <c r="EP47" s="290">
        <f>EP$44*Inputs_MySOL!$B$15</f>
        <v>0</v>
      </c>
      <c r="EQ47" s="290">
        <f>EQ$44*Inputs_MySOL!$B$15</f>
        <v>0</v>
      </c>
      <c r="ER47" s="290">
        <f>ER$44*Inputs_MySOL!$B$15</f>
        <v>0</v>
      </c>
      <c r="ES47" s="290">
        <f>ES$44*Inputs_MySOL!$B$15</f>
        <v>0</v>
      </c>
      <c r="ET47" s="290">
        <f>ET$44*Inputs_MySOL!$B$15</f>
        <v>0</v>
      </c>
      <c r="EU47" s="290">
        <f>EU$44*Inputs_MySOL!$B$15</f>
        <v>0</v>
      </c>
      <c r="EV47" s="290">
        <f>EV$44*Inputs_MySOL!$B$15</f>
        <v>0</v>
      </c>
      <c r="EW47" s="290">
        <f>EW$44*Inputs_MySOL!$B$15</f>
        <v>0</v>
      </c>
      <c r="EX47" s="290">
        <f>EX$44*Inputs_MySOL!$B$15</f>
        <v>0</v>
      </c>
      <c r="EY47" s="290">
        <f>EY$44*Inputs_MySOL!$B$15</f>
        <v>0</v>
      </c>
      <c r="EZ47" s="290">
        <f>EZ$44*Inputs_MySOL!$B$15</f>
        <v>0</v>
      </c>
      <c r="FA47" s="290">
        <f>FA$44*Inputs_MySOL!$B$15</f>
        <v>0</v>
      </c>
      <c r="FB47" s="290">
        <f>FB$44*Inputs_MySOL!$B$15</f>
        <v>0</v>
      </c>
      <c r="FC47" s="290">
        <f>FC$44*Inputs_MySOL!$B$15</f>
        <v>0</v>
      </c>
      <c r="FD47" s="290">
        <f>FD$44*Inputs_MySOL!$B$15</f>
        <v>0</v>
      </c>
      <c r="FE47" s="290">
        <f>FE$44*Inputs_MySOL!$B$15</f>
        <v>0</v>
      </c>
      <c r="FF47" s="290">
        <f>FF$44*Inputs_MySOL!$B$15</f>
        <v>0</v>
      </c>
      <c r="FG47" s="290">
        <f>FG$44*Inputs_MySOL!$B$15</f>
        <v>0</v>
      </c>
      <c r="FH47" s="290">
        <f>FH$44*Inputs_MySOL!$B$15</f>
        <v>0</v>
      </c>
      <c r="FI47" s="290">
        <f>FI$44*Inputs_MySOL!$B$15</f>
        <v>0</v>
      </c>
      <c r="FJ47" s="290">
        <f>FJ$44*Inputs_MySOL!$B$15</f>
        <v>0</v>
      </c>
      <c r="FK47" s="290">
        <f>FK$44*Inputs_MySOL!$B$15</f>
        <v>0</v>
      </c>
      <c r="FL47" s="290">
        <f>FL$44*Inputs_MySOL!$B$15</f>
        <v>0</v>
      </c>
      <c r="FM47" s="290">
        <f>FM$44*Inputs_MySOL!$B$15</f>
        <v>0</v>
      </c>
      <c r="FN47" s="290">
        <f>FN$44*Inputs_MySOL!$B$15</f>
        <v>0</v>
      </c>
      <c r="FO47" s="290">
        <f>FO$44*Inputs_MySOL!$B$15</f>
        <v>0</v>
      </c>
      <c r="FP47" s="290">
        <f>FP$44*Inputs_MySOL!$B$15</f>
        <v>0</v>
      </c>
      <c r="FQ47" s="290">
        <f>FQ$44*Inputs_MySOL!$B$15</f>
        <v>0</v>
      </c>
      <c r="FR47" s="290">
        <f>FR$44*Inputs_MySOL!$B$15</f>
        <v>0</v>
      </c>
      <c r="FS47" s="290">
        <f>FS$44*Inputs_MySOL!$B$15</f>
        <v>0</v>
      </c>
      <c r="FT47" s="290">
        <f>FT$44*Inputs_MySOL!$B$15</f>
        <v>0</v>
      </c>
      <c r="FU47" s="290">
        <f>FU$44*Inputs_MySOL!$B$15</f>
        <v>0</v>
      </c>
      <c r="FV47" s="290">
        <f>FV$44*Inputs_MySOL!$B$15</f>
        <v>0</v>
      </c>
      <c r="FW47" s="290">
        <f>FW$44*Inputs_MySOL!$B$15</f>
        <v>0</v>
      </c>
      <c r="FX47" s="290">
        <f>FX$44*Inputs_MySOL!$B$15</f>
        <v>0</v>
      </c>
      <c r="FY47" s="290">
        <f>FY$44*Inputs_MySOL!$B$15</f>
        <v>0</v>
      </c>
      <c r="FZ47" s="290">
        <f>FZ$44*Inputs_MySOL!$B$15</f>
        <v>0</v>
      </c>
      <c r="GA47" s="306">
        <f>GA$44*Inputs_MySOL!$B$15</f>
        <v>0</v>
      </c>
    </row>
    <row r="48" spans="1:183" x14ac:dyDescent="0.15">
      <c r="A48" s="323" t="s">
        <v>539</v>
      </c>
      <c r="C48" s="313"/>
      <c r="D48" s="290">
        <f>-HLOOKUP(D$40,$C$29:$W$35,3,FALSE)/12</f>
        <v>0</v>
      </c>
      <c r="E48" s="290">
        <f t="shared" ref="E48:BP48" si="20">-HLOOKUP(E$40,$C$29:$W$35,3,FALSE)/12</f>
        <v>0</v>
      </c>
      <c r="F48" s="290">
        <f t="shared" si="20"/>
        <v>0</v>
      </c>
      <c r="G48" s="290">
        <f t="shared" si="20"/>
        <v>0</v>
      </c>
      <c r="H48" s="290">
        <f t="shared" si="20"/>
        <v>0</v>
      </c>
      <c r="I48" s="290">
        <f t="shared" si="20"/>
        <v>0</v>
      </c>
      <c r="J48" s="290">
        <f t="shared" si="20"/>
        <v>0</v>
      </c>
      <c r="K48" s="290">
        <f t="shared" si="20"/>
        <v>0</v>
      </c>
      <c r="L48" s="290">
        <f t="shared" si="20"/>
        <v>0</v>
      </c>
      <c r="M48" s="290">
        <f t="shared" si="20"/>
        <v>0</v>
      </c>
      <c r="N48" s="290">
        <f t="shared" si="20"/>
        <v>0</v>
      </c>
      <c r="O48" s="290">
        <f t="shared" si="20"/>
        <v>0</v>
      </c>
      <c r="P48" s="290">
        <f t="shared" si="20"/>
        <v>0</v>
      </c>
      <c r="Q48" s="290">
        <f t="shared" si="20"/>
        <v>0</v>
      </c>
      <c r="R48" s="290">
        <f t="shared" si="20"/>
        <v>0</v>
      </c>
      <c r="S48" s="290">
        <f t="shared" si="20"/>
        <v>0</v>
      </c>
      <c r="T48" s="290">
        <f t="shared" si="20"/>
        <v>0</v>
      </c>
      <c r="U48" s="290">
        <f t="shared" si="20"/>
        <v>0</v>
      </c>
      <c r="V48" s="290">
        <f t="shared" si="20"/>
        <v>0</v>
      </c>
      <c r="W48" s="290">
        <f t="shared" si="20"/>
        <v>0</v>
      </c>
      <c r="X48" s="290">
        <f t="shared" si="20"/>
        <v>0</v>
      </c>
      <c r="Y48" s="290">
        <f t="shared" si="20"/>
        <v>0</v>
      </c>
      <c r="Z48" s="290">
        <f t="shared" si="20"/>
        <v>0</v>
      </c>
      <c r="AA48" s="290">
        <f t="shared" si="20"/>
        <v>0</v>
      </c>
      <c r="AB48" s="290">
        <f t="shared" si="20"/>
        <v>0</v>
      </c>
      <c r="AC48" s="290">
        <f t="shared" si="20"/>
        <v>0</v>
      </c>
      <c r="AD48" s="290">
        <f t="shared" si="20"/>
        <v>0</v>
      </c>
      <c r="AE48" s="290">
        <f t="shared" si="20"/>
        <v>0</v>
      </c>
      <c r="AF48" s="290">
        <f t="shared" si="20"/>
        <v>0</v>
      </c>
      <c r="AG48" s="290">
        <f t="shared" si="20"/>
        <v>0</v>
      </c>
      <c r="AH48" s="290">
        <f t="shared" si="20"/>
        <v>0</v>
      </c>
      <c r="AI48" s="290">
        <f t="shared" si="20"/>
        <v>0</v>
      </c>
      <c r="AJ48" s="290">
        <f t="shared" si="20"/>
        <v>0</v>
      </c>
      <c r="AK48" s="290">
        <f t="shared" si="20"/>
        <v>0</v>
      </c>
      <c r="AL48" s="290">
        <f t="shared" si="20"/>
        <v>0</v>
      </c>
      <c r="AM48" s="290">
        <f t="shared" si="20"/>
        <v>0</v>
      </c>
      <c r="AN48" s="290">
        <f t="shared" si="20"/>
        <v>0</v>
      </c>
      <c r="AO48" s="290">
        <f t="shared" si="20"/>
        <v>0</v>
      </c>
      <c r="AP48" s="290">
        <f t="shared" si="20"/>
        <v>0</v>
      </c>
      <c r="AQ48" s="290">
        <f t="shared" si="20"/>
        <v>0</v>
      </c>
      <c r="AR48" s="290">
        <f t="shared" si="20"/>
        <v>0</v>
      </c>
      <c r="AS48" s="290">
        <f t="shared" si="20"/>
        <v>0</v>
      </c>
      <c r="AT48" s="290">
        <f t="shared" si="20"/>
        <v>0</v>
      </c>
      <c r="AU48" s="290">
        <f t="shared" si="20"/>
        <v>0</v>
      </c>
      <c r="AV48" s="290">
        <f t="shared" si="20"/>
        <v>0</v>
      </c>
      <c r="AW48" s="290">
        <f t="shared" si="20"/>
        <v>0</v>
      </c>
      <c r="AX48" s="290">
        <f t="shared" si="20"/>
        <v>0</v>
      </c>
      <c r="AY48" s="290">
        <f t="shared" si="20"/>
        <v>0</v>
      </c>
      <c r="AZ48" s="290">
        <f t="shared" si="20"/>
        <v>0</v>
      </c>
      <c r="BA48" s="290">
        <f t="shared" si="20"/>
        <v>0</v>
      </c>
      <c r="BB48" s="290">
        <f t="shared" si="20"/>
        <v>0</v>
      </c>
      <c r="BC48" s="290">
        <f t="shared" si="20"/>
        <v>0</v>
      </c>
      <c r="BD48" s="290">
        <f t="shared" si="20"/>
        <v>0</v>
      </c>
      <c r="BE48" s="290">
        <f t="shared" si="20"/>
        <v>0</v>
      </c>
      <c r="BF48" s="290">
        <f t="shared" si="20"/>
        <v>0</v>
      </c>
      <c r="BG48" s="290">
        <f t="shared" si="20"/>
        <v>0</v>
      </c>
      <c r="BH48" s="290">
        <f t="shared" si="20"/>
        <v>0</v>
      </c>
      <c r="BI48" s="290">
        <f t="shared" si="20"/>
        <v>0</v>
      </c>
      <c r="BJ48" s="290">
        <f t="shared" si="20"/>
        <v>0</v>
      </c>
      <c r="BK48" s="290">
        <f t="shared" si="20"/>
        <v>0</v>
      </c>
      <c r="BL48" s="290">
        <f t="shared" si="20"/>
        <v>0</v>
      </c>
      <c r="BM48" s="290">
        <f t="shared" si="20"/>
        <v>0</v>
      </c>
      <c r="BN48" s="290">
        <f t="shared" si="20"/>
        <v>0</v>
      </c>
      <c r="BO48" s="290">
        <f t="shared" si="20"/>
        <v>0</v>
      </c>
      <c r="BP48" s="290">
        <f t="shared" si="20"/>
        <v>0</v>
      </c>
      <c r="BQ48" s="290">
        <f t="shared" ref="BQ48:EB48" si="21">-HLOOKUP(BQ$40,$C$29:$W$35,3,FALSE)/12</f>
        <v>0</v>
      </c>
      <c r="BR48" s="290">
        <f t="shared" si="21"/>
        <v>0</v>
      </c>
      <c r="BS48" s="290">
        <f t="shared" si="21"/>
        <v>0</v>
      </c>
      <c r="BT48" s="290">
        <f t="shared" si="21"/>
        <v>0</v>
      </c>
      <c r="BU48" s="290">
        <f t="shared" si="21"/>
        <v>0</v>
      </c>
      <c r="BV48" s="290">
        <f t="shared" si="21"/>
        <v>0</v>
      </c>
      <c r="BW48" s="290">
        <f t="shared" si="21"/>
        <v>0</v>
      </c>
      <c r="BX48" s="290">
        <f t="shared" si="21"/>
        <v>0</v>
      </c>
      <c r="BY48" s="290">
        <f t="shared" si="21"/>
        <v>0</v>
      </c>
      <c r="BZ48" s="290">
        <f t="shared" si="21"/>
        <v>0</v>
      </c>
      <c r="CA48" s="290">
        <f t="shared" si="21"/>
        <v>0</v>
      </c>
      <c r="CB48" s="290">
        <f t="shared" si="21"/>
        <v>0</v>
      </c>
      <c r="CC48" s="290">
        <f t="shared" si="21"/>
        <v>0</v>
      </c>
      <c r="CD48" s="290">
        <f t="shared" si="21"/>
        <v>0</v>
      </c>
      <c r="CE48" s="290">
        <f t="shared" si="21"/>
        <v>0</v>
      </c>
      <c r="CF48" s="290">
        <f t="shared" si="21"/>
        <v>0</v>
      </c>
      <c r="CG48" s="290">
        <f t="shared" si="21"/>
        <v>0</v>
      </c>
      <c r="CH48" s="290">
        <f t="shared" si="21"/>
        <v>0</v>
      </c>
      <c r="CI48" s="290">
        <f t="shared" si="21"/>
        <v>0</v>
      </c>
      <c r="CJ48" s="290">
        <f t="shared" si="21"/>
        <v>0</v>
      </c>
      <c r="CK48" s="290">
        <f t="shared" si="21"/>
        <v>0</v>
      </c>
      <c r="CL48" s="290">
        <f t="shared" si="21"/>
        <v>0</v>
      </c>
      <c r="CM48" s="290">
        <f t="shared" si="21"/>
        <v>0</v>
      </c>
      <c r="CN48" s="290">
        <f t="shared" si="21"/>
        <v>0</v>
      </c>
      <c r="CO48" s="290">
        <f t="shared" si="21"/>
        <v>0</v>
      </c>
      <c r="CP48" s="290">
        <f t="shared" si="21"/>
        <v>0</v>
      </c>
      <c r="CQ48" s="290">
        <f t="shared" si="21"/>
        <v>0</v>
      </c>
      <c r="CR48" s="290">
        <f t="shared" si="21"/>
        <v>0</v>
      </c>
      <c r="CS48" s="290">
        <f t="shared" si="21"/>
        <v>0</v>
      </c>
      <c r="CT48" s="290">
        <f t="shared" si="21"/>
        <v>0</v>
      </c>
      <c r="CU48" s="290">
        <f t="shared" si="21"/>
        <v>0</v>
      </c>
      <c r="CV48" s="290">
        <f t="shared" si="21"/>
        <v>0</v>
      </c>
      <c r="CW48" s="290">
        <f t="shared" si="21"/>
        <v>0</v>
      </c>
      <c r="CX48" s="290">
        <f t="shared" si="21"/>
        <v>0</v>
      </c>
      <c r="CY48" s="290">
        <f t="shared" si="21"/>
        <v>0</v>
      </c>
      <c r="CZ48" s="290">
        <f t="shared" si="21"/>
        <v>0</v>
      </c>
      <c r="DA48" s="290">
        <f t="shared" si="21"/>
        <v>0</v>
      </c>
      <c r="DB48" s="290">
        <f t="shared" si="21"/>
        <v>0</v>
      </c>
      <c r="DC48" s="290">
        <f t="shared" si="21"/>
        <v>0</v>
      </c>
      <c r="DD48" s="290">
        <f t="shared" si="21"/>
        <v>0</v>
      </c>
      <c r="DE48" s="290">
        <f t="shared" si="21"/>
        <v>0</v>
      </c>
      <c r="DF48" s="290">
        <f t="shared" si="21"/>
        <v>0</v>
      </c>
      <c r="DG48" s="290">
        <f t="shared" si="21"/>
        <v>0</v>
      </c>
      <c r="DH48" s="290">
        <f t="shared" si="21"/>
        <v>0</v>
      </c>
      <c r="DI48" s="290">
        <f t="shared" si="21"/>
        <v>0</v>
      </c>
      <c r="DJ48" s="290">
        <f t="shared" si="21"/>
        <v>0</v>
      </c>
      <c r="DK48" s="290">
        <f t="shared" si="21"/>
        <v>0</v>
      </c>
      <c r="DL48" s="290">
        <f t="shared" si="21"/>
        <v>0</v>
      </c>
      <c r="DM48" s="290">
        <f t="shared" si="21"/>
        <v>0</v>
      </c>
      <c r="DN48" s="290">
        <f t="shared" si="21"/>
        <v>0</v>
      </c>
      <c r="DO48" s="290">
        <f t="shared" si="21"/>
        <v>0</v>
      </c>
      <c r="DP48" s="290">
        <f t="shared" si="21"/>
        <v>0</v>
      </c>
      <c r="DQ48" s="290">
        <f t="shared" si="21"/>
        <v>0</v>
      </c>
      <c r="DR48" s="290">
        <f t="shared" si="21"/>
        <v>0</v>
      </c>
      <c r="DS48" s="290">
        <f t="shared" si="21"/>
        <v>0</v>
      </c>
      <c r="DT48" s="290">
        <f t="shared" si="21"/>
        <v>0</v>
      </c>
      <c r="DU48" s="290">
        <f t="shared" si="21"/>
        <v>0</v>
      </c>
      <c r="DV48" s="290">
        <f t="shared" si="21"/>
        <v>0</v>
      </c>
      <c r="DW48" s="290">
        <f t="shared" si="21"/>
        <v>0</v>
      </c>
      <c r="DX48" s="290">
        <f t="shared" si="21"/>
        <v>0</v>
      </c>
      <c r="DY48" s="290">
        <f t="shared" si="21"/>
        <v>0</v>
      </c>
      <c r="DZ48" s="290">
        <f t="shared" si="21"/>
        <v>0</v>
      </c>
      <c r="EA48" s="290">
        <f t="shared" si="21"/>
        <v>0</v>
      </c>
      <c r="EB48" s="290">
        <f t="shared" si="21"/>
        <v>0</v>
      </c>
      <c r="EC48" s="290">
        <f t="shared" ref="EC48:GA48" si="22">-HLOOKUP(EC$40,$C$29:$W$35,3,FALSE)/12</f>
        <v>0</v>
      </c>
      <c r="ED48" s="290">
        <f t="shared" si="22"/>
        <v>0</v>
      </c>
      <c r="EE48" s="290">
        <f t="shared" si="22"/>
        <v>0</v>
      </c>
      <c r="EF48" s="290">
        <f t="shared" si="22"/>
        <v>0</v>
      </c>
      <c r="EG48" s="290">
        <f t="shared" si="22"/>
        <v>0</v>
      </c>
      <c r="EH48" s="290">
        <f t="shared" si="22"/>
        <v>0</v>
      </c>
      <c r="EI48" s="290">
        <f t="shared" si="22"/>
        <v>0</v>
      </c>
      <c r="EJ48" s="290">
        <f t="shared" si="22"/>
        <v>0</v>
      </c>
      <c r="EK48" s="290">
        <f t="shared" si="22"/>
        <v>0</v>
      </c>
      <c r="EL48" s="290">
        <f t="shared" si="22"/>
        <v>0</v>
      </c>
      <c r="EM48" s="290">
        <f t="shared" si="22"/>
        <v>0</v>
      </c>
      <c r="EN48" s="290">
        <f t="shared" si="22"/>
        <v>0</v>
      </c>
      <c r="EO48" s="290">
        <f t="shared" si="22"/>
        <v>0</v>
      </c>
      <c r="EP48" s="290">
        <f t="shared" si="22"/>
        <v>0</v>
      </c>
      <c r="EQ48" s="290">
        <f t="shared" si="22"/>
        <v>0</v>
      </c>
      <c r="ER48" s="290">
        <f t="shared" si="22"/>
        <v>0</v>
      </c>
      <c r="ES48" s="290">
        <f t="shared" si="22"/>
        <v>0</v>
      </c>
      <c r="ET48" s="290">
        <f t="shared" si="22"/>
        <v>0</v>
      </c>
      <c r="EU48" s="290">
        <f t="shared" si="22"/>
        <v>0</v>
      </c>
      <c r="EV48" s="290">
        <f t="shared" si="22"/>
        <v>0</v>
      </c>
      <c r="EW48" s="290">
        <f t="shared" si="22"/>
        <v>0</v>
      </c>
      <c r="EX48" s="290">
        <f t="shared" si="22"/>
        <v>0</v>
      </c>
      <c r="EY48" s="290">
        <f t="shared" si="22"/>
        <v>0</v>
      </c>
      <c r="EZ48" s="290">
        <f t="shared" si="22"/>
        <v>0</v>
      </c>
      <c r="FA48" s="290">
        <f t="shared" si="22"/>
        <v>0</v>
      </c>
      <c r="FB48" s="290">
        <f t="shared" si="22"/>
        <v>0</v>
      </c>
      <c r="FC48" s="290">
        <f t="shared" si="22"/>
        <v>0</v>
      </c>
      <c r="FD48" s="290">
        <f t="shared" si="22"/>
        <v>0</v>
      </c>
      <c r="FE48" s="290">
        <f t="shared" si="22"/>
        <v>0</v>
      </c>
      <c r="FF48" s="290">
        <f t="shared" si="22"/>
        <v>0</v>
      </c>
      <c r="FG48" s="290">
        <f t="shared" si="22"/>
        <v>0</v>
      </c>
      <c r="FH48" s="290">
        <f t="shared" si="22"/>
        <v>0</v>
      </c>
      <c r="FI48" s="290">
        <f t="shared" si="22"/>
        <v>0</v>
      </c>
      <c r="FJ48" s="290">
        <f t="shared" si="22"/>
        <v>0</v>
      </c>
      <c r="FK48" s="290">
        <f t="shared" si="22"/>
        <v>0</v>
      </c>
      <c r="FL48" s="290">
        <f t="shared" si="22"/>
        <v>0</v>
      </c>
      <c r="FM48" s="290">
        <f t="shared" si="22"/>
        <v>0</v>
      </c>
      <c r="FN48" s="290">
        <f t="shared" si="22"/>
        <v>0</v>
      </c>
      <c r="FO48" s="290">
        <f t="shared" si="22"/>
        <v>0</v>
      </c>
      <c r="FP48" s="290">
        <f t="shared" si="22"/>
        <v>0</v>
      </c>
      <c r="FQ48" s="290">
        <f t="shared" si="22"/>
        <v>0</v>
      </c>
      <c r="FR48" s="290">
        <f t="shared" si="22"/>
        <v>0</v>
      </c>
      <c r="FS48" s="290">
        <f t="shared" si="22"/>
        <v>0</v>
      </c>
      <c r="FT48" s="290">
        <f t="shared" si="22"/>
        <v>0</v>
      </c>
      <c r="FU48" s="290">
        <f t="shared" si="22"/>
        <v>0</v>
      </c>
      <c r="FV48" s="290">
        <f t="shared" si="22"/>
        <v>0</v>
      </c>
      <c r="FW48" s="290">
        <f t="shared" si="22"/>
        <v>0</v>
      </c>
      <c r="FX48" s="290">
        <f t="shared" si="22"/>
        <v>0</v>
      </c>
      <c r="FY48" s="290">
        <f t="shared" si="22"/>
        <v>0</v>
      </c>
      <c r="FZ48" s="290">
        <f t="shared" si="22"/>
        <v>0</v>
      </c>
      <c r="GA48" s="306">
        <f t="shared" si="22"/>
        <v>0</v>
      </c>
    </row>
    <row r="49" spans="1:183" x14ac:dyDescent="0.15">
      <c r="A49" s="323" t="s">
        <v>540</v>
      </c>
      <c r="C49" s="313"/>
      <c r="D49" s="290">
        <f>-D48*Inputs_MySOL!$B$21</f>
        <v>0</v>
      </c>
      <c r="E49" s="290">
        <f>-E48*Inputs_MySOL!$B$21</f>
        <v>0</v>
      </c>
      <c r="F49" s="290">
        <f>-F48*Inputs_MySOL!$B$21</f>
        <v>0</v>
      </c>
      <c r="G49" s="290">
        <f>-G48*Inputs_MySOL!$B$21</f>
        <v>0</v>
      </c>
      <c r="H49" s="290">
        <f>-H48*Inputs_MySOL!$B$21</f>
        <v>0</v>
      </c>
      <c r="I49" s="290">
        <f>-I48*Inputs_MySOL!$B$21</f>
        <v>0</v>
      </c>
      <c r="J49" s="290">
        <f>-J48*Inputs_MySOL!$B$21</f>
        <v>0</v>
      </c>
      <c r="K49" s="290">
        <f>-K48*Inputs_MySOL!$B$21</f>
        <v>0</v>
      </c>
      <c r="L49" s="290">
        <f>-L48*Inputs_MySOL!$B$21</f>
        <v>0</v>
      </c>
      <c r="M49" s="290">
        <f>-M48*Inputs_MySOL!$B$21</f>
        <v>0</v>
      </c>
      <c r="N49" s="290">
        <f>-N48*Inputs_MySOL!$B$21</f>
        <v>0</v>
      </c>
      <c r="O49" s="290">
        <f>-O48*Inputs_MySOL!$B$21</f>
        <v>0</v>
      </c>
      <c r="P49" s="290">
        <f>-P48*Inputs_MySOL!$B$21</f>
        <v>0</v>
      </c>
      <c r="Q49" s="290">
        <f>-Q48*Inputs_MySOL!$B$21</f>
        <v>0</v>
      </c>
      <c r="R49" s="290">
        <f>-R48*Inputs_MySOL!$B$21</f>
        <v>0</v>
      </c>
      <c r="S49" s="290">
        <f>-S48*Inputs_MySOL!$B$21</f>
        <v>0</v>
      </c>
      <c r="T49" s="290">
        <f>-T48*Inputs_MySOL!$B$21</f>
        <v>0</v>
      </c>
      <c r="U49" s="290">
        <f>-U48*Inputs_MySOL!$B$21</f>
        <v>0</v>
      </c>
      <c r="V49" s="290">
        <f>-V48*Inputs_MySOL!$B$21</f>
        <v>0</v>
      </c>
      <c r="W49" s="290">
        <f>-W48*Inputs_MySOL!$B$21</f>
        <v>0</v>
      </c>
      <c r="X49" s="290">
        <f>-X48*Inputs_MySOL!$B$21</f>
        <v>0</v>
      </c>
      <c r="Y49" s="290">
        <f>-Y48*Inputs_MySOL!$B$21</f>
        <v>0</v>
      </c>
      <c r="Z49" s="290">
        <f>-Z48*Inputs_MySOL!$B$21</f>
        <v>0</v>
      </c>
      <c r="AA49" s="290">
        <f>-AA48*Inputs_MySOL!$B$21</f>
        <v>0</v>
      </c>
      <c r="AB49" s="290">
        <f>-AB48*Inputs_MySOL!$B$21</f>
        <v>0</v>
      </c>
      <c r="AC49" s="290">
        <f>-AC48*Inputs_MySOL!$B$21</f>
        <v>0</v>
      </c>
      <c r="AD49" s="290">
        <f>-AD48*Inputs_MySOL!$B$21</f>
        <v>0</v>
      </c>
      <c r="AE49" s="290">
        <f>-AE48*Inputs_MySOL!$B$21</f>
        <v>0</v>
      </c>
      <c r="AF49" s="290">
        <f>-AF48*Inputs_MySOL!$B$21</f>
        <v>0</v>
      </c>
      <c r="AG49" s="290">
        <f>-AG48*Inputs_MySOL!$B$21</f>
        <v>0</v>
      </c>
      <c r="AH49" s="290">
        <f>-AH48*Inputs_MySOL!$B$21</f>
        <v>0</v>
      </c>
      <c r="AI49" s="290">
        <f>-AI48*Inputs_MySOL!$B$21</f>
        <v>0</v>
      </c>
      <c r="AJ49" s="290">
        <f>-AJ48*Inputs_MySOL!$B$21</f>
        <v>0</v>
      </c>
      <c r="AK49" s="290">
        <f>-AK48*Inputs_MySOL!$B$21</f>
        <v>0</v>
      </c>
      <c r="AL49" s="290">
        <f>-AL48*Inputs_MySOL!$B$21</f>
        <v>0</v>
      </c>
      <c r="AM49" s="290">
        <f>-AM48*Inputs_MySOL!$B$21</f>
        <v>0</v>
      </c>
      <c r="AN49" s="290">
        <f>-AN48*Inputs_MySOL!$B$21</f>
        <v>0</v>
      </c>
      <c r="AO49" s="290">
        <f>-AO48*Inputs_MySOL!$B$21</f>
        <v>0</v>
      </c>
      <c r="AP49" s="290">
        <f>-AP48*Inputs_MySOL!$B$21</f>
        <v>0</v>
      </c>
      <c r="AQ49" s="290">
        <f>-AQ48*Inputs_MySOL!$B$21</f>
        <v>0</v>
      </c>
      <c r="AR49" s="290">
        <f>-AR48*Inputs_MySOL!$B$21</f>
        <v>0</v>
      </c>
      <c r="AS49" s="290">
        <f>-AS48*Inputs_MySOL!$B$21</f>
        <v>0</v>
      </c>
      <c r="AT49" s="290">
        <f>-AT48*Inputs_MySOL!$B$21</f>
        <v>0</v>
      </c>
      <c r="AU49" s="290">
        <f>-AU48*Inputs_MySOL!$B$21</f>
        <v>0</v>
      </c>
      <c r="AV49" s="290">
        <f>-AV48*Inputs_MySOL!$B$21</f>
        <v>0</v>
      </c>
      <c r="AW49" s="290">
        <f>-AW48*Inputs_MySOL!$B$21</f>
        <v>0</v>
      </c>
      <c r="AX49" s="290">
        <f>-AX48*Inputs_MySOL!$B$21</f>
        <v>0</v>
      </c>
      <c r="AY49" s="290">
        <f>-AY48*Inputs_MySOL!$B$21</f>
        <v>0</v>
      </c>
      <c r="AZ49" s="290">
        <f>-AZ48*Inputs_MySOL!$B$21</f>
        <v>0</v>
      </c>
      <c r="BA49" s="290">
        <f>-BA48*Inputs_MySOL!$B$21</f>
        <v>0</v>
      </c>
      <c r="BB49" s="290">
        <f>-BB48*Inputs_MySOL!$B$21</f>
        <v>0</v>
      </c>
      <c r="BC49" s="290">
        <f>-BC48*Inputs_MySOL!$B$21</f>
        <v>0</v>
      </c>
      <c r="BD49" s="290">
        <f>-BD48*Inputs_MySOL!$B$21</f>
        <v>0</v>
      </c>
      <c r="BE49" s="290">
        <f>-BE48*Inputs_MySOL!$B$21</f>
        <v>0</v>
      </c>
      <c r="BF49" s="290">
        <f>-BF48*Inputs_MySOL!$B$21</f>
        <v>0</v>
      </c>
      <c r="BG49" s="290">
        <f>-BG48*Inputs_MySOL!$B$21</f>
        <v>0</v>
      </c>
      <c r="BH49" s="290">
        <f>-BH48*Inputs_MySOL!$B$21</f>
        <v>0</v>
      </c>
      <c r="BI49" s="290">
        <f>-BI48*Inputs_MySOL!$B$21</f>
        <v>0</v>
      </c>
      <c r="BJ49" s="290">
        <f>-BJ48*Inputs_MySOL!$B$21</f>
        <v>0</v>
      </c>
      <c r="BK49" s="290">
        <f>-BK48*Inputs_MySOL!$B$21</f>
        <v>0</v>
      </c>
      <c r="BL49" s="290">
        <f>-BL48*Inputs_MySOL!$B$21</f>
        <v>0</v>
      </c>
      <c r="BM49" s="290">
        <f>-BM48*Inputs_MySOL!$B$21</f>
        <v>0</v>
      </c>
      <c r="BN49" s="290">
        <f>-BN48*Inputs_MySOL!$B$21</f>
        <v>0</v>
      </c>
      <c r="BO49" s="290">
        <f>-BO48*Inputs_MySOL!$B$21</f>
        <v>0</v>
      </c>
      <c r="BP49" s="290">
        <f>-BP48*Inputs_MySOL!$B$21</f>
        <v>0</v>
      </c>
      <c r="BQ49" s="290">
        <f>-BQ48*Inputs_MySOL!$B$21</f>
        <v>0</v>
      </c>
      <c r="BR49" s="290">
        <f>-BR48*Inputs_MySOL!$B$21</f>
        <v>0</v>
      </c>
      <c r="BS49" s="290">
        <f>-BS48*Inputs_MySOL!$B$21</f>
        <v>0</v>
      </c>
      <c r="BT49" s="290">
        <f>-BT48*Inputs_MySOL!$B$21</f>
        <v>0</v>
      </c>
      <c r="BU49" s="290">
        <f>-BU48*Inputs_MySOL!$B$21</f>
        <v>0</v>
      </c>
      <c r="BV49" s="290">
        <f>-BV48*Inputs_MySOL!$B$21</f>
        <v>0</v>
      </c>
      <c r="BW49" s="290">
        <f>-BW48*Inputs_MySOL!$B$21</f>
        <v>0</v>
      </c>
      <c r="BX49" s="290">
        <f>-BX48*Inputs_MySOL!$B$21</f>
        <v>0</v>
      </c>
      <c r="BY49" s="290">
        <f>-BY48*Inputs_MySOL!$B$21</f>
        <v>0</v>
      </c>
      <c r="BZ49" s="290">
        <f>-BZ48*Inputs_MySOL!$B$21</f>
        <v>0</v>
      </c>
      <c r="CA49" s="290">
        <f>-CA48*Inputs_MySOL!$B$21</f>
        <v>0</v>
      </c>
      <c r="CB49" s="290">
        <f>-CB48*Inputs_MySOL!$B$21</f>
        <v>0</v>
      </c>
      <c r="CC49" s="290">
        <f>-CC48*Inputs_MySOL!$B$21</f>
        <v>0</v>
      </c>
      <c r="CD49" s="290">
        <f>-CD48*Inputs_MySOL!$B$21</f>
        <v>0</v>
      </c>
      <c r="CE49" s="290">
        <f>-CE48*Inputs_MySOL!$B$21</f>
        <v>0</v>
      </c>
      <c r="CF49" s="290">
        <f>-CF48*Inputs_MySOL!$B$21</f>
        <v>0</v>
      </c>
      <c r="CG49" s="290">
        <f>-CG48*Inputs_MySOL!$B$21</f>
        <v>0</v>
      </c>
      <c r="CH49" s="290">
        <f>-CH48*Inputs_MySOL!$B$21</f>
        <v>0</v>
      </c>
      <c r="CI49" s="290">
        <f>-CI48*Inputs_MySOL!$B$21</f>
        <v>0</v>
      </c>
      <c r="CJ49" s="290">
        <f>-CJ48*Inputs_MySOL!$B$21</f>
        <v>0</v>
      </c>
      <c r="CK49" s="290">
        <f>-CK48*Inputs_MySOL!$B$21</f>
        <v>0</v>
      </c>
      <c r="CL49" s="290">
        <f>-CL48*Inputs_MySOL!$B$21</f>
        <v>0</v>
      </c>
      <c r="CM49" s="290">
        <f>-CM48*Inputs_MySOL!$B$21</f>
        <v>0</v>
      </c>
      <c r="CN49" s="290">
        <f>-CN48*Inputs_MySOL!$B$21</f>
        <v>0</v>
      </c>
      <c r="CO49" s="290">
        <f>-CO48*Inputs_MySOL!$B$21</f>
        <v>0</v>
      </c>
      <c r="CP49" s="290">
        <f>-CP48*Inputs_MySOL!$B$21</f>
        <v>0</v>
      </c>
      <c r="CQ49" s="290">
        <f>-CQ48*Inputs_MySOL!$B$21</f>
        <v>0</v>
      </c>
      <c r="CR49" s="290">
        <f>-CR48*Inputs_MySOL!$B$21</f>
        <v>0</v>
      </c>
      <c r="CS49" s="290">
        <f>-CS48*Inputs_MySOL!$B$21</f>
        <v>0</v>
      </c>
      <c r="CT49" s="290">
        <f>-CT48*Inputs_MySOL!$B$21</f>
        <v>0</v>
      </c>
      <c r="CU49" s="290">
        <f>-CU48*Inputs_MySOL!$B$21</f>
        <v>0</v>
      </c>
      <c r="CV49" s="290">
        <f>-CV48*Inputs_MySOL!$B$21</f>
        <v>0</v>
      </c>
      <c r="CW49" s="290">
        <f>-CW48*Inputs_MySOL!$B$21</f>
        <v>0</v>
      </c>
      <c r="CX49" s="290">
        <f>-CX48*Inputs_MySOL!$B$21</f>
        <v>0</v>
      </c>
      <c r="CY49" s="290">
        <f>-CY48*Inputs_MySOL!$B$21</f>
        <v>0</v>
      </c>
      <c r="CZ49" s="290">
        <f>-CZ48*Inputs_MySOL!$B$21</f>
        <v>0</v>
      </c>
      <c r="DA49" s="290">
        <f>-DA48*Inputs_MySOL!$B$21</f>
        <v>0</v>
      </c>
      <c r="DB49" s="290">
        <f>-DB48*Inputs_MySOL!$B$21</f>
        <v>0</v>
      </c>
      <c r="DC49" s="290">
        <f>-DC48*Inputs_MySOL!$B$21</f>
        <v>0</v>
      </c>
      <c r="DD49" s="290">
        <f>-DD48*Inputs_MySOL!$B$21</f>
        <v>0</v>
      </c>
      <c r="DE49" s="290">
        <f>-DE48*Inputs_MySOL!$B$21</f>
        <v>0</v>
      </c>
      <c r="DF49" s="290">
        <f>-DF48*Inputs_MySOL!$B$21</f>
        <v>0</v>
      </c>
      <c r="DG49" s="290">
        <f>-DG48*Inputs_MySOL!$B$21</f>
        <v>0</v>
      </c>
      <c r="DH49" s="290">
        <f>-DH48*Inputs_MySOL!$B$21</f>
        <v>0</v>
      </c>
      <c r="DI49" s="290">
        <f>-DI48*Inputs_MySOL!$B$21</f>
        <v>0</v>
      </c>
      <c r="DJ49" s="290">
        <f>-DJ48*Inputs_MySOL!$B$21</f>
        <v>0</v>
      </c>
      <c r="DK49" s="290">
        <f>-DK48*Inputs_MySOL!$B$21</f>
        <v>0</v>
      </c>
      <c r="DL49" s="290">
        <f>-DL48*Inputs_MySOL!$B$21</f>
        <v>0</v>
      </c>
      <c r="DM49" s="290">
        <f>-DM48*Inputs_MySOL!$B$21</f>
        <v>0</v>
      </c>
      <c r="DN49" s="290">
        <f>-DN48*Inputs_MySOL!$B$21</f>
        <v>0</v>
      </c>
      <c r="DO49" s="290">
        <f>-DO48*Inputs_MySOL!$B$21</f>
        <v>0</v>
      </c>
      <c r="DP49" s="290">
        <f>-DP48*Inputs_MySOL!$B$21</f>
        <v>0</v>
      </c>
      <c r="DQ49" s="290">
        <f>-DQ48*Inputs_MySOL!$B$21</f>
        <v>0</v>
      </c>
      <c r="DR49" s="290">
        <f>-DR48*Inputs_MySOL!$B$21</f>
        <v>0</v>
      </c>
      <c r="DS49" s="290">
        <f>-DS48*Inputs_MySOL!$B$21</f>
        <v>0</v>
      </c>
      <c r="DT49" s="290">
        <f>-DT48*Inputs_MySOL!$B$21</f>
        <v>0</v>
      </c>
      <c r="DU49" s="290">
        <f>-DU48*Inputs_MySOL!$B$21</f>
        <v>0</v>
      </c>
      <c r="DV49" s="290">
        <f>-DV48*Inputs_MySOL!$B$21</f>
        <v>0</v>
      </c>
      <c r="DW49" s="290">
        <f>-DW48*Inputs_MySOL!$B$21</f>
        <v>0</v>
      </c>
      <c r="DX49" s="290">
        <f>-DX48*Inputs_MySOL!$B$21</f>
        <v>0</v>
      </c>
      <c r="DY49" s="290">
        <f>-DY48*Inputs_MySOL!$B$21</f>
        <v>0</v>
      </c>
      <c r="DZ49" s="290">
        <f>-DZ48*Inputs_MySOL!$B$21</f>
        <v>0</v>
      </c>
      <c r="EA49" s="290">
        <f>-EA48*Inputs_MySOL!$B$21</f>
        <v>0</v>
      </c>
      <c r="EB49" s="290">
        <f>-EB48*Inputs_MySOL!$B$21</f>
        <v>0</v>
      </c>
      <c r="EC49" s="290">
        <f>-EC48*Inputs_MySOL!$B$21</f>
        <v>0</v>
      </c>
      <c r="ED49" s="290">
        <f>-ED48*Inputs_MySOL!$B$21</f>
        <v>0</v>
      </c>
      <c r="EE49" s="290">
        <f>-EE48*Inputs_MySOL!$B$21</f>
        <v>0</v>
      </c>
      <c r="EF49" s="290">
        <f>-EF48*Inputs_MySOL!$B$21</f>
        <v>0</v>
      </c>
      <c r="EG49" s="290">
        <f>-EG48*Inputs_MySOL!$B$21</f>
        <v>0</v>
      </c>
      <c r="EH49" s="290">
        <f>-EH48*Inputs_MySOL!$B$21</f>
        <v>0</v>
      </c>
      <c r="EI49" s="290">
        <f>-EI48*Inputs_MySOL!$B$21</f>
        <v>0</v>
      </c>
      <c r="EJ49" s="290">
        <f>-EJ48*Inputs_MySOL!$B$21</f>
        <v>0</v>
      </c>
      <c r="EK49" s="290">
        <f>-EK48*Inputs_MySOL!$B$21</f>
        <v>0</v>
      </c>
      <c r="EL49" s="290">
        <f>-EL48*Inputs_MySOL!$B$21</f>
        <v>0</v>
      </c>
      <c r="EM49" s="290">
        <f>-EM48*Inputs_MySOL!$B$21</f>
        <v>0</v>
      </c>
      <c r="EN49" s="290">
        <f>-EN48*Inputs_MySOL!$B$21</f>
        <v>0</v>
      </c>
      <c r="EO49" s="290">
        <f>-EO48*Inputs_MySOL!$B$21</f>
        <v>0</v>
      </c>
      <c r="EP49" s="290">
        <f>-EP48*Inputs_MySOL!$B$21</f>
        <v>0</v>
      </c>
      <c r="EQ49" s="290">
        <f>-EQ48*Inputs_MySOL!$B$21</f>
        <v>0</v>
      </c>
      <c r="ER49" s="290">
        <f>-ER48*Inputs_MySOL!$B$21</f>
        <v>0</v>
      </c>
      <c r="ES49" s="290">
        <f>-ES48*Inputs_MySOL!$B$21</f>
        <v>0</v>
      </c>
      <c r="ET49" s="290">
        <f>-ET48*Inputs_MySOL!$B$21</f>
        <v>0</v>
      </c>
      <c r="EU49" s="290">
        <f>-EU48*Inputs_MySOL!$B$21</f>
        <v>0</v>
      </c>
      <c r="EV49" s="290">
        <f>-EV48*Inputs_MySOL!$B$21</f>
        <v>0</v>
      </c>
      <c r="EW49" s="290">
        <f>-EW48*Inputs_MySOL!$B$21</f>
        <v>0</v>
      </c>
      <c r="EX49" s="290">
        <f>-EX48*Inputs_MySOL!$B$21</f>
        <v>0</v>
      </c>
      <c r="EY49" s="290">
        <f>-EY48*Inputs_MySOL!$B$21</f>
        <v>0</v>
      </c>
      <c r="EZ49" s="290">
        <f>-EZ48*Inputs_MySOL!$B$21</f>
        <v>0</v>
      </c>
      <c r="FA49" s="290">
        <f>-FA48*Inputs_MySOL!$B$21</f>
        <v>0</v>
      </c>
      <c r="FB49" s="290">
        <f>-FB48*Inputs_MySOL!$B$21</f>
        <v>0</v>
      </c>
      <c r="FC49" s="290">
        <f>-FC48*Inputs_MySOL!$B$21</f>
        <v>0</v>
      </c>
      <c r="FD49" s="290">
        <f>-FD48*Inputs_MySOL!$B$21</f>
        <v>0</v>
      </c>
      <c r="FE49" s="290">
        <f>-FE48*Inputs_MySOL!$B$21</f>
        <v>0</v>
      </c>
      <c r="FF49" s="290">
        <f>-FF48*Inputs_MySOL!$B$21</f>
        <v>0</v>
      </c>
      <c r="FG49" s="290">
        <f>-FG48*Inputs_MySOL!$B$21</f>
        <v>0</v>
      </c>
      <c r="FH49" s="290">
        <f>-FH48*Inputs_MySOL!$B$21</f>
        <v>0</v>
      </c>
      <c r="FI49" s="290">
        <f>-FI48*Inputs_MySOL!$B$21</f>
        <v>0</v>
      </c>
      <c r="FJ49" s="290">
        <f>-FJ48*Inputs_MySOL!$B$21</f>
        <v>0</v>
      </c>
      <c r="FK49" s="290">
        <f>-FK48*Inputs_MySOL!$B$21</f>
        <v>0</v>
      </c>
      <c r="FL49" s="290">
        <f>-FL48*Inputs_MySOL!$B$21</f>
        <v>0</v>
      </c>
      <c r="FM49" s="290">
        <f>-FM48*Inputs_MySOL!$B$21</f>
        <v>0</v>
      </c>
      <c r="FN49" s="290">
        <f>-FN48*Inputs_MySOL!$B$21</f>
        <v>0</v>
      </c>
      <c r="FO49" s="290">
        <f>-FO48*Inputs_MySOL!$B$21</f>
        <v>0</v>
      </c>
      <c r="FP49" s="290">
        <f>-FP48*Inputs_MySOL!$B$21</f>
        <v>0</v>
      </c>
      <c r="FQ49" s="290">
        <f>-FQ48*Inputs_MySOL!$B$21</f>
        <v>0</v>
      </c>
      <c r="FR49" s="290">
        <f>-FR48*Inputs_MySOL!$B$21</f>
        <v>0</v>
      </c>
      <c r="FS49" s="290">
        <f>-FS48*Inputs_MySOL!$B$21</f>
        <v>0</v>
      </c>
      <c r="FT49" s="290">
        <f>-FT48*Inputs_MySOL!$B$21</f>
        <v>0</v>
      </c>
      <c r="FU49" s="290">
        <f>-FU48*Inputs_MySOL!$B$21</f>
        <v>0</v>
      </c>
      <c r="FV49" s="290">
        <f>-FV48*Inputs_MySOL!$B$21</f>
        <v>0</v>
      </c>
      <c r="FW49" s="290">
        <f>-FW48*Inputs_MySOL!$B$21</f>
        <v>0</v>
      </c>
      <c r="FX49" s="290">
        <f>-FX48*Inputs_MySOL!$B$21</f>
        <v>0</v>
      </c>
      <c r="FY49" s="290">
        <f>-FY48*Inputs_MySOL!$B$21</f>
        <v>0</v>
      </c>
      <c r="FZ49" s="290">
        <f>-FZ48*Inputs_MySOL!$B$21</f>
        <v>0</v>
      </c>
      <c r="GA49" s="306">
        <f>-GA48*Inputs_MySOL!$B$21</f>
        <v>0</v>
      </c>
    </row>
    <row r="50" spans="1:183" x14ac:dyDescent="0.15">
      <c r="A50" s="325" t="s">
        <v>666</v>
      </c>
      <c r="C50" s="337">
        <f>-C12+C23</f>
        <v>0</v>
      </c>
      <c r="D50" s="336">
        <f>SUM(D47:D49)</f>
        <v>0</v>
      </c>
      <c r="E50" s="336">
        <f t="shared" ref="E50:BP50" si="23">SUM(E47:E49)</f>
        <v>0</v>
      </c>
      <c r="F50" s="336">
        <f t="shared" si="23"/>
        <v>0</v>
      </c>
      <c r="G50" s="336">
        <f t="shared" si="23"/>
        <v>0</v>
      </c>
      <c r="H50" s="336">
        <f t="shared" si="23"/>
        <v>0</v>
      </c>
      <c r="I50" s="336">
        <f t="shared" si="23"/>
        <v>0</v>
      </c>
      <c r="J50" s="336">
        <f t="shared" si="23"/>
        <v>0</v>
      </c>
      <c r="K50" s="336">
        <f t="shared" si="23"/>
        <v>0</v>
      </c>
      <c r="L50" s="336">
        <f t="shared" si="23"/>
        <v>0</v>
      </c>
      <c r="M50" s="336">
        <f t="shared" si="23"/>
        <v>0</v>
      </c>
      <c r="N50" s="336">
        <f t="shared" si="23"/>
        <v>0</v>
      </c>
      <c r="O50" s="336">
        <f t="shared" si="23"/>
        <v>0</v>
      </c>
      <c r="P50" s="336">
        <f t="shared" si="23"/>
        <v>0</v>
      </c>
      <c r="Q50" s="336">
        <f t="shared" si="23"/>
        <v>0</v>
      </c>
      <c r="R50" s="336">
        <f t="shared" si="23"/>
        <v>0</v>
      </c>
      <c r="S50" s="336">
        <f t="shared" si="23"/>
        <v>0</v>
      </c>
      <c r="T50" s="336">
        <f t="shared" si="23"/>
        <v>0</v>
      </c>
      <c r="U50" s="336">
        <f t="shared" si="23"/>
        <v>0</v>
      </c>
      <c r="V50" s="336">
        <f t="shared" si="23"/>
        <v>0</v>
      </c>
      <c r="W50" s="336">
        <f t="shared" si="23"/>
        <v>0</v>
      </c>
      <c r="X50" s="336">
        <f t="shared" si="23"/>
        <v>0</v>
      </c>
      <c r="Y50" s="336">
        <f t="shared" si="23"/>
        <v>0</v>
      </c>
      <c r="Z50" s="336">
        <f t="shared" si="23"/>
        <v>0</v>
      </c>
      <c r="AA50" s="336">
        <f t="shared" si="23"/>
        <v>0</v>
      </c>
      <c r="AB50" s="336">
        <f t="shared" si="23"/>
        <v>0</v>
      </c>
      <c r="AC50" s="336">
        <f t="shared" si="23"/>
        <v>0</v>
      </c>
      <c r="AD50" s="336">
        <f t="shared" si="23"/>
        <v>0</v>
      </c>
      <c r="AE50" s="336">
        <f t="shared" si="23"/>
        <v>0</v>
      </c>
      <c r="AF50" s="336">
        <f t="shared" si="23"/>
        <v>0</v>
      </c>
      <c r="AG50" s="336">
        <f t="shared" si="23"/>
        <v>0</v>
      </c>
      <c r="AH50" s="336">
        <f t="shared" si="23"/>
        <v>0</v>
      </c>
      <c r="AI50" s="336">
        <f t="shared" si="23"/>
        <v>0</v>
      </c>
      <c r="AJ50" s="336">
        <f t="shared" si="23"/>
        <v>0</v>
      </c>
      <c r="AK50" s="336">
        <f t="shared" si="23"/>
        <v>0</v>
      </c>
      <c r="AL50" s="336">
        <f t="shared" si="23"/>
        <v>0</v>
      </c>
      <c r="AM50" s="336">
        <f t="shared" si="23"/>
        <v>0</v>
      </c>
      <c r="AN50" s="336">
        <f t="shared" si="23"/>
        <v>0</v>
      </c>
      <c r="AO50" s="336">
        <f t="shared" si="23"/>
        <v>0</v>
      </c>
      <c r="AP50" s="336">
        <f t="shared" si="23"/>
        <v>0</v>
      </c>
      <c r="AQ50" s="336">
        <f t="shared" si="23"/>
        <v>0</v>
      </c>
      <c r="AR50" s="336">
        <f t="shared" si="23"/>
        <v>0</v>
      </c>
      <c r="AS50" s="336">
        <f t="shared" si="23"/>
        <v>0</v>
      </c>
      <c r="AT50" s="336">
        <f t="shared" si="23"/>
        <v>0</v>
      </c>
      <c r="AU50" s="336">
        <f t="shared" si="23"/>
        <v>0</v>
      </c>
      <c r="AV50" s="336">
        <f t="shared" si="23"/>
        <v>0</v>
      </c>
      <c r="AW50" s="336">
        <f t="shared" si="23"/>
        <v>0</v>
      </c>
      <c r="AX50" s="336">
        <f t="shared" si="23"/>
        <v>0</v>
      </c>
      <c r="AY50" s="336">
        <f t="shared" si="23"/>
        <v>0</v>
      </c>
      <c r="AZ50" s="336">
        <f t="shared" si="23"/>
        <v>0</v>
      </c>
      <c r="BA50" s="336">
        <f t="shared" si="23"/>
        <v>0</v>
      </c>
      <c r="BB50" s="336">
        <f t="shared" si="23"/>
        <v>0</v>
      </c>
      <c r="BC50" s="336">
        <f t="shared" si="23"/>
        <v>0</v>
      </c>
      <c r="BD50" s="336">
        <f t="shared" si="23"/>
        <v>0</v>
      </c>
      <c r="BE50" s="336">
        <f t="shared" si="23"/>
        <v>0</v>
      </c>
      <c r="BF50" s="336">
        <f t="shared" si="23"/>
        <v>0</v>
      </c>
      <c r="BG50" s="336">
        <f t="shared" si="23"/>
        <v>0</v>
      </c>
      <c r="BH50" s="336">
        <f t="shared" si="23"/>
        <v>0</v>
      </c>
      <c r="BI50" s="336">
        <f t="shared" si="23"/>
        <v>0</v>
      </c>
      <c r="BJ50" s="336">
        <f t="shared" si="23"/>
        <v>0</v>
      </c>
      <c r="BK50" s="336">
        <f t="shared" si="23"/>
        <v>0</v>
      </c>
      <c r="BL50" s="336">
        <f t="shared" si="23"/>
        <v>0</v>
      </c>
      <c r="BM50" s="336">
        <f t="shared" si="23"/>
        <v>0</v>
      </c>
      <c r="BN50" s="336">
        <f t="shared" si="23"/>
        <v>0</v>
      </c>
      <c r="BO50" s="336">
        <f t="shared" si="23"/>
        <v>0</v>
      </c>
      <c r="BP50" s="336">
        <f t="shared" si="23"/>
        <v>0</v>
      </c>
      <c r="BQ50" s="336">
        <f t="shared" ref="BQ50:EB50" si="24">SUM(BQ47:BQ49)</f>
        <v>0</v>
      </c>
      <c r="BR50" s="336">
        <f t="shared" si="24"/>
        <v>0</v>
      </c>
      <c r="BS50" s="336">
        <f t="shared" si="24"/>
        <v>0</v>
      </c>
      <c r="BT50" s="336">
        <f t="shared" si="24"/>
        <v>0</v>
      </c>
      <c r="BU50" s="336">
        <f t="shared" si="24"/>
        <v>0</v>
      </c>
      <c r="BV50" s="336">
        <f t="shared" si="24"/>
        <v>0</v>
      </c>
      <c r="BW50" s="336">
        <f t="shared" si="24"/>
        <v>0</v>
      </c>
      <c r="BX50" s="336">
        <f t="shared" si="24"/>
        <v>0</v>
      </c>
      <c r="BY50" s="336">
        <f t="shared" si="24"/>
        <v>0</v>
      </c>
      <c r="BZ50" s="336">
        <f t="shared" si="24"/>
        <v>0</v>
      </c>
      <c r="CA50" s="336">
        <f t="shared" si="24"/>
        <v>0</v>
      </c>
      <c r="CB50" s="336">
        <f t="shared" si="24"/>
        <v>0</v>
      </c>
      <c r="CC50" s="336">
        <f t="shared" si="24"/>
        <v>0</v>
      </c>
      <c r="CD50" s="336">
        <f t="shared" si="24"/>
        <v>0</v>
      </c>
      <c r="CE50" s="336">
        <f t="shared" si="24"/>
        <v>0</v>
      </c>
      <c r="CF50" s="336">
        <f t="shared" si="24"/>
        <v>0</v>
      </c>
      <c r="CG50" s="336">
        <f t="shared" si="24"/>
        <v>0</v>
      </c>
      <c r="CH50" s="336">
        <f t="shared" si="24"/>
        <v>0</v>
      </c>
      <c r="CI50" s="336">
        <f t="shared" si="24"/>
        <v>0</v>
      </c>
      <c r="CJ50" s="336">
        <f t="shared" si="24"/>
        <v>0</v>
      </c>
      <c r="CK50" s="336">
        <f t="shared" si="24"/>
        <v>0</v>
      </c>
      <c r="CL50" s="336">
        <f t="shared" si="24"/>
        <v>0</v>
      </c>
      <c r="CM50" s="336">
        <f t="shared" si="24"/>
        <v>0</v>
      </c>
      <c r="CN50" s="336">
        <f t="shared" si="24"/>
        <v>0</v>
      </c>
      <c r="CO50" s="336">
        <f t="shared" si="24"/>
        <v>0</v>
      </c>
      <c r="CP50" s="336">
        <f t="shared" si="24"/>
        <v>0</v>
      </c>
      <c r="CQ50" s="336">
        <f t="shared" si="24"/>
        <v>0</v>
      </c>
      <c r="CR50" s="336">
        <f t="shared" si="24"/>
        <v>0</v>
      </c>
      <c r="CS50" s="336">
        <f t="shared" si="24"/>
        <v>0</v>
      </c>
      <c r="CT50" s="336">
        <f t="shared" si="24"/>
        <v>0</v>
      </c>
      <c r="CU50" s="336">
        <f t="shared" si="24"/>
        <v>0</v>
      </c>
      <c r="CV50" s="336">
        <f t="shared" si="24"/>
        <v>0</v>
      </c>
      <c r="CW50" s="336">
        <f t="shared" si="24"/>
        <v>0</v>
      </c>
      <c r="CX50" s="336">
        <f t="shared" si="24"/>
        <v>0</v>
      </c>
      <c r="CY50" s="336">
        <f t="shared" si="24"/>
        <v>0</v>
      </c>
      <c r="CZ50" s="336">
        <f t="shared" si="24"/>
        <v>0</v>
      </c>
      <c r="DA50" s="336">
        <f t="shared" si="24"/>
        <v>0</v>
      </c>
      <c r="DB50" s="336">
        <f t="shared" si="24"/>
        <v>0</v>
      </c>
      <c r="DC50" s="336">
        <f t="shared" si="24"/>
        <v>0</v>
      </c>
      <c r="DD50" s="336">
        <f t="shared" si="24"/>
        <v>0</v>
      </c>
      <c r="DE50" s="336">
        <f t="shared" si="24"/>
        <v>0</v>
      </c>
      <c r="DF50" s="336">
        <f t="shared" si="24"/>
        <v>0</v>
      </c>
      <c r="DG50" s="336">
        <f t="shared" si="24"/>
        <v>0</v>
      </c>
      <c r="DH50" s="336">
        <f t="shared" si="24"/>
        <v>0</v>
      </c>
      <c r="DI50" s="336">
        <f t="shared" si="24"/>
        <v>0</v>
      </c>
      <c r="DJ50" s="336">
        <f t="shared" si="24"/>
        <v>0</v>
      </c>
      <c r="DK50" s="336">
        <f t="shared" si="24"/>
        <v>0</v>
      </c>
      <c r="DL50" s="336">
        <f t="shared" si="24"/>
        <v>0</v>
      </c>
      <c r="DM50" s="336">
        <f t="shared" si="24"/>
        <v>0</v>
      </c>
      <c r="DN50" s="336">
        <f t="shared" si="24"/>
        <v>0</v>
      </c>
      <c r="DO50" s="336">
        <f t="shared" si="24"/>
        <v>0</v>
      </c>
      <c r="DP50" s="336">
        <f t="shared" si="24"/>
        <v>0</v>
      </c>
      <c r="DQ50" s="336">
        <f t="shared" si="24"/>
        <v>0</v>
      </c>
      <c r="DR50" s="336">
        <f t="shared" si="24"/>
        <v>0</v>
      </c>
      <c r="DS50" s="336">
        <f t="shared" si="24"/>
        <v>0</v>
      </c>
      <c r="DT50" s="336">
        <f t="shared" si="24"/>
        <v>0</v>
      </c>
      <c r="DU50" s="336">
        <f t="shared" si="24"/>
        <v>0</v>
      </c>
      <c r="DV50" s="336">
        <f t="shared" si="24"/>
        <v>0</v>
      </c>
      <c r="DW50" s="336">
        <f t="shared" si="24"/>
        <v>0</v>
      </c>
      <c r="DX50" s="336">
        <f t="shared" si="24"/>
        <v>0</v>
      </c>
      <c r="DY50" s="336">
        <f t="shared" si="24"/>
        <v>0</v>
      </c>
      <c r="DZ50" s="336">
        <f t="shared" si="24"/>
        <v>0</v>
      </c>
      <c r="EA50" s="336">
        <f t="shared" si="24"/>
        <v>0</v>
      </c>
      <c r="EB50" s="336">
        <f t="shared" si="24"/>
        <v>0</v>
      </c>
      <c r="EC50" s="336">
        <f t="shared" ref="EC50:GA50" si="25">SUM(EC47:EC49)</f>
        <v>0</v>
      </c>
      <c r="ED50" s="336">
        <f t="shared" si="25"/>
        <v>0</v>
      </c>
      <c r="EE50" s="336">
        <f t="shared" si="25"/>
        <v>0</v>
      </c>
      <c r="EF50" s="336">
        <f t="shared" si="25"/>
        <v>0</v>
      </c>
      <c r="EG50" s="336">
        <f t="shared" si="25"/>
        <v>0</v>
      </c>
      <c r="EH50" s="336">
        <f t="shared" si="25"/>
        <v>0</v>
      </c>
      <c r="EI50" s="336">
        <f t="shared" si="25"/>
        <v>0</v>
      </c>
      <c r="EJ50" s="336">
        <f t="shared" si="25"/>
        <v>0</v>
      </c>
      <c r="EK50" s="336">
        <f t="shared" si="25"/>
        <v>0</v>
      </c>
      <c r="EL50" s="336">
        <f t="shared" si="25"/>
        <v>0</v>
      </c>
      <c r="EM50" s="336">
        <f t="shared" si="25"/>
        <v>0</v>
      </c>
      <c r="EN50" s="336">
        <f t="shared" si="25"/>
        <v>0</v>
      </c>
      <c r="EO50" s="336">
        <f t="shared" si="25"/>
        <v>0</v>
      </c>
      <c r="EP50" s="336">
        <f t="shared" si="25"/>
        <v>0</v>
      </c>
      <c r="EQ50" s="336">
        <f t="shared" si="25"/>
        <v>0</v>
      </c>
      <c r="ER50" s="336">
        <f t="shared" si="25"/>
        <v>0</v>
      </c>
      <c r="ES50" s="336">
        <f t="shared" si="25"/>
        <v>0</v>
      </c>
      <c r="ET50" s="336">
        <f t="shared" si="25"/>
        <v>0</v>
      </c>
      <c r="EU50" s="336">
        <f t="shared" si="25"/>
        <v>0</v>
      </c>
      <c r="EV50" s="336">
        <f t="shared" si="25"/>
        <v>0</v>
      </c>
      <c r="EW50" s="336">
        <f t="shared" si="25"/>
        <v>0</v>
      </c>
      <c r="EX50" s="336">
        <f t="shared" si="25"/>
        <v>0</v>
      </c>
      <c r="EY50" s="336">
        <f t="shared" si="25"/>
        <v>0</v>
      </c>
      <c r="EZ50" s="336">
        <f t="shared" si="25"/>
        <v>0</v>
      </c>
      <c r="FA50" s="336">
        <f t="shared" si="25"/>
        <v>0</v>
      </c>
      <c r="FB50" s="336">
        <f t="shared" si="25"/>
        <v>0</v>
      </c>
      <c r="FC50" s="336">
        <f t="shared" si="25"/>
        <v>0</v>
      </c>
      <c r="FD50" s="336">
        <f t="shared" si="25"/>
        <v>0</v>
      </c>
      <c r="FE50" s="336">
        <f t="shared" si="25"/>
        <v>0</v>
      </c>
      <c r="FF50" s="336">
        <f t="shared" si="25"/>
        <v>0</v>
      </c>
      <c r="FG50" s="336">
        <f t="shared" si="25"/>
        <v>0</v>
      </c>
      <c r="FH50" s="336">
        <f t="shared" si="25"/>
        <v>0</v>
      </c>
      <c r="FI50" s="336">
        <f t="shared" si="25"/>
        <v>0</v>
      </c>
      <c r="FJ50" s="336">
        <f t="shared" si="25"/>
        <v>0</v>
      </c>
      <c r="FK50" s="336">
        <f t="shared" si="25"/>
        <v>0</v>
      </c>
      <c r="FL50" s="336">
        <f t="shared" si="25"/>
        <v>0</v>
      </c>
      <c r="FM50" s="336">
        <f t="shared" si="25"/>
        <v>0</v>
      </c>
      <c r="FN50" s="336">
        <f t="shared" si="25"/>
        <v>0</v>
      </c>
      <c r="FO50" s="336">
        <f t="shared" si="25"/>
        <v>0</v>
      </c>
      <c r="FP50" s="336">
        <f t="shared" si="25"/>
        <v>0</v>
      </c>
      <c r="FQ50" s="336">
        <f t="shared" si="25"/>
        <v>0</v>
      </c>
      <c r="FR50" s="336">
        <f t="shared" si="25"/>
        <v>0</v>
      </c>
      <c r="FS50" s="336">
        <f t="shared" si="25"/>
        <v>0</v>
      </c>
      <c r="FT50" s="336">
        <f t="shared" si="25"/>
        <v>0</v>
      </c>
      <c r="FU50" s="336">
        <f t="shared" si="25"/>
        <v>0</v>
      </c>
      <c r="FV50" s="336">
        <f t="shared" si="25"/>
        <v>0</v>
      </c>
      <c r="FW50" s="336">
        <f t="shared" si="25"/>
        <v>0</v>
      </c>
      <c r="FX50" s="336">
        <f t="shared" si="25"/>
        <v>0</v>
      </c>
      <c r="FY50" s="336">
        <f t="shared" si="25"/>
        <v>0</v>
      </c>
      <c r="FZ50" s="336">
        <f t="shared" si="25"/>
        <v>0</v>
      </c>
      <c r="GA50" s="338">
        <f t="shared" si="25"/>
        <v>0</v>
      </c>
    </row>
    <row r="51" spans="1:183" x14ac:dyDescent="0.15">
      <c r="A51" s="335"/>
      <c r="C51" s="302"/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290"/>
      <c r="X51" s="290"/>
      <c r="Y51" s="290"/>
      <c r="Z51" s="290"/>
      <c r="AA51" s="290"/>
      <c r="AB51" s="290"/>
      <c r="AC51" s="290"/>
      <c r="AD51" s="290"/>
      <c r="AE51" s="290"/>
      <c r="AF51" s="290"/>
      <c r="AG51" s="290"/>
      <c r="AH51" s="290"/>
      <c r="AI51" s="290"/>
      <c r="AJ51" s="290"/>
      <c r="AK51" s="290"/>
      <c r="AL51" s="290"/>
      <c r="AM51" s="290"/>
      <c r="AN51" s="290"/>
      <c r="AO51" s="290"/>
      <c r="AP51" s="290"/>
      <c r="AQ51" s="290"/>
      <c r="AR51" s="290"/>
      <c r="AS51" s="290"/>
      <c r="AT51" s="290"/>
      <c r="AU51" s="290"/>
      <c r="AV51" s="290"/>
      <c r="AW51" s="290"/>
      <c r="AX51" s="290"/>
      <c r="AY51" s="290"/>
      <c r="AZ51" s="290"/>
      <c r="BA51" s="290"/>
      <c r="BB51" s="290"/>
      <c r="BC51" s="290"/>
      <c r="BD51" s="290"/>
      <c r="BE51" s="290"/>
      <c r="BF51" s="290"/>
      <c r="BG51" s="290"/>
      <c r="BH51" s="290"/>
      <c r="BI51" s="290"/>
      <c r="BJ51" s="290"/>
      <c r="BK51" s="290"/>
      <c r="BL51" s="290"/>
      <c r="BM51" s="290"/>
      <c r="BN51" s="290"/>
      <c r="BO51" s="290"/>
      <c r="BP51" s="290"/>
      <c r="BQ51" s="290"/>
      <c r="BR51" s="290"/>
      <c r="BS51" s="290"/>
      <c r="BT51" s="290"/>
      <c r="BU51" s="290"/>
      <c r="BV51" s="290"/>
      <c r="BW51" s="290"/>
      <c r="BX51" s="290"/>
      <c r="BY51" s="290"/>
      <c r="BZ51" s="290"/>
      <c r="CA51" s="290"/>
      <c r="CB51" s="290"/>
      <c r="CC51" s="290"/>
      <c r="CD51" s="290"/>
      <c r="CE51" s="290"/>
      <c r="CF51" s="290"/>
      <c r="CG51" s="290"/>
      <c r="CH51" s="290"/>
      <c r="CI51" s="290"/>
      <c r="CJ51" s="290"/>
      <c r="CK51" s="290"/>
      <c r="CL51" s="290"/>
      <c r="CM51" s="290"/>
      <c r="CN51" s="290"/>
      <c r="CO51" s="290"/>
      <c r="CP51" s="290"/>
      <c r="CQ51" s="290"/>
      <c r="CR51" s="290"/>
      <c r="CS51" s="290"/>
      <c r="CT51" s="290"/>
      <c r="CU51" s="290"/>
      <c r="CV51" s="290"/>
      <c r="CW51" s="290"/>
      <c r="CX51" s="290"/>
      <c r="CY51" s="290"/>
      <c r="CZ51" s="290"/>
      <c r="DA51" s="290"/>
      <c r="DB51" s="290"/>
      <c r="DC51" s="290"/>
      <c r="DD51" s="290"/>
      <c r="DE51" s="290"/>
      <c r="DF51" s="290"/>
      <c r="DG51" s="290"/>
      <c r="DH51" s="290"/>
      <c r="DI51" s="290"/>
      <c r="DJ51" s="290"/>
      <c r="DK51" s="290"/>
      <c r="DL51" s="290"/>
      <c r="DM51" s="290"/>
      <c r="DN51" s="290"/>
      <c r="DO51" s="290"/>
      <c r="DP51" s="290"/>
      <c r="DQ51" s="290"/>
      <c r="DR51" s="290"/>
      <c r="DS51" s="290"/>
      <c r="DT51" s="290"/>
      <c r="DU51" s="290"/>
      <c r="DV51" s="290"/>
      <c r="DW51" s="290"/>
      <c r="DX51" s="290"/>
      <c r="DY51" s="290"/>
      <c r="DZ51" s="290"/>
      <c r="EA51" s="290"/>
      <c r="EB51" s="290"/>
      <c r="EC51" s="290"/>
      <c r="ED51" s="290"/>
      <c r="EE51" s="290"/>
      <c r="EF51" s="290"/>
      <c r="EG51" s="290"/>
      <c r="EH51" s="290"/>
      <c r="EI51" s="290"/>
      <c r="EJ51" s="290"/>
      <c r="EK51" s="290"/>
      <c r="EL51" s="290"/>
      <c r="EM51" s="290"/>
      <c r="EN51" s="290"/>
      <c r="EO51" s="290"/>
      <c r="EP51" s="290"/>
      <c r="EQ51" s="290"/>
      <c r="ER51" s="290"/>
      <c r="ES51" s="290"/>
      <c r="ET51" s="290"/>
      <c r="EU51" s="290"/>
      <c r="EV51" s="290"/>
      <c r="EW51" s="290"/>
      <c r="EX51" s="290"/>
      <c r="EY51" s="290"/>
      <c r="EZ51" s="290"/>
      <c r="FA51" s="290"/>
      <c r="FB51" s="290"/>
      <c r="FC51" s="290"/>
      <c r="FD51" s="290"/>
      <c r="FE51" s="290"/>
      <c r="FF51" s="290"/>
      <c r="FG51" s="290"/>
      <c r="FH51" s="290"/>
      <c r="FI51" s="290"/>
      <c r="FJ51" s="290"/>
      <c r="FK51" s="290"/>
      <c r="FL51" s="290"/>
      <c r="FM51" s="290"/>
      <c r="FN51" s="290"/>
      <c r="FO51" s="290"/>
      <c r="FP51" s="290"/>
      <c r="FQ51" s="290"/>
      <c r="FR51" s="290"/>
      <c r="FS51" s="290"/>
      <c r="FT51" s="290"/>
      <c r="FU51" s="290"/>
      <c r="FV51" s="290"/>
      <c r="FW51" s="290"/>
      <c r="FX51" s="290"/>
      <c r="FY51" s="290"/>
      <c r="FZ51" s="290"/>
      <c r="GA51" s="302"/>
    </row>
    <row r="52" spans="1:183" x14ac:dyDescent="0.15">
      <c r="A52" s="319" t="s">
        <v>669</v>
      </c>
      <c r="C52" s="339"/>
      <c r="D52" s="340" t="str">
        <f ca="1">IFERROR(XIRR($C44:D44,$C$41:D$41),"NaN")</f>
        <v>NaN</v>
      </c>
      <c r="E52" s="340" t="str">
        <f ca="1">IFERROR(XIRR($C44:E44,$C$41:E$41),"NaN")</f>
        <v>NaN</v>
      </c>
      <c r="F52" s="340" t="str">
        <f ca="1">IFERROR(XIRR($C44:F44,$C$41:F$41),"NaN")</f>
        <v>NaN</v>
      </c>
      <c r="G52" s="340" t="str">
        <f ca="1">IFERROR(XIRR($C44:G44,$C$41:G$41),"NaN")</f>
        <v>NaN</v>
      </c>
      <c r="H52" s="340" t="str">
        <f ca="1">IFERROR(XIRR($C44:H44,$C$41:H$41),"NaN")</f>
        <v>NaN</v>
      </c>
      <c r="I52" s="340" t="str">
        <f ca="1">IFERROR(XIRR($C44:I44,$C$41:I$41),"NaN")</f>
        <v>NaN</v>
      </c>
      <c r="J52" s="340" t="str">
        <f ca="1">IFERROR(XIRR($C44:J44,$C$41:J$41),"NaN")</f>
        <v>NaN</v>
      </c>
      <c r="K52" s="340" t="str">
        <f ca="1">IFERROR(XIRR($C44:K44,$C$41:K$41),"NaN")</f>
        <v>NaN</v>
      </c>
      <c r="L52" s="340" t="str">
        <f ca="1">IFERROR(XIRR($C44:L44,$C$41:L$41),"NaN")</f>
        <v>NaN</v>
      </c>
      <c r="M52" s="340" t="str">
        <f ca="1">IFERROR(XIRR($C44:M44,$C$41:M$41),"NaN")</f>
        <v>NaN</v>
      </c>
      <c r="N52" s="340" t="str">
        <f ca="1">IFERROR(XIRR($C44:N44,$C$41:N$41),"NaN")</f>
        <v>NaN</v>
      </c>
      <c r="O52" s="340" t="str">
        <f ca="1">IFERROR(XIRR($C44:O44,$C$41:O$41),"NaN")</f>
        <v>NaN</v>
      </c>
      <c r="P52" s="340" t="str">
        <f ca="1">IFERROR(XIRR($C44:P44,$C$41:P$41),"NaN")</f>
        <v>NaN</v>
      </c>
      <c r="Q52" s="340" t="str">
        <f ca="1">IFERROR(XIRR($C44:Q44,$C$41:Q$41),"NaN")</f>
        <v>NaN</v>
      </c>
      <c r="R52" s="340" t="str">
        <f ca="1">IFERROR(XIRR($C44:R44,$C$41:R$41),"NaN")</f>
        <v>NaN</v>
      </c>
      <c r="S52" s="340" t="str">
        <f ca="1">IFERROR(XIRR($C44:S44,$C$41:S$41),"NaN")</f>
        <v>NaN</v>
      </c>
      <c r="T52" s="340" t="str">
        <f ca="1">IFERROR(XIRR($C44:T44,$C$41:T$41),"NaN")</f>
        <v>NaN</v>
      </c>
      <c r="U52" s="340" t="str">
        <f ca="1">IFERROR(XIRR($C44:U44,$C$41:U$41),"NaN")</f>
        <v>NaN</v>
      </c>
      <c r="V52" s="340" t="str">
        <f ca="1">IFERROR(XIRR($C44:V44,$C$41:V$41),"NaN")</f>
        <v>NaN</v>
      </c>
      <c r="W52" s="340" t="str">
        <f ca="1">IFERROR(XIRR($C44:W44,$C$41:W$41),"NaN")</f>
        <v>NaN</v>
      </c>
      <c r="X52" s="340" t="str">
        <f ca="1">IFERROR(XIRR($C44:X44,$C$41:X$41),"NaN")</f>
        <v>NaN</v>
      </c>
      <c r="Y52" s="340" t="str">
        <f ca="1">IFERROR(XIRR($C44:Y44,$C$41:Y$41),"NaN")</f>
        <v>NaN</v>
      </c>
      <c r="Z52" s="340" t="str">
        <f ca="1">IFERROR(XIRR($C44:Z44,$C$41:Z$41),"NaN")</f>
        <v>NaN</v>
      </c>
      <c r="AA52" s="340" t="str">
        <f ca="1">IFERROR(XIRR($C44:AA44,$C$41:AA$41),"NaN")</f>
        <v>NaN</v>
      </c>
      <c r="AB52" s="340" t="str">
        <f ca="1">IFERROR(XIRR($C44:AB44,$C$41:AB$41),"NaN")</f>
        <v>NaN</v>
      </c>
      <c r="AC52" s="340" t="str">
        <f ca="1">IFERROR(XIRR($C44:AC44,$C$41:AC$41),"NaN")</f>
        <v>NaN</v>
      </c>
      <c r="AD52" s="340" t="str">
        <f ca="1">IFERROR(XIRR($C44:AD44,$C$41:AD$41),"NaN")</f>
        <v>NaN</v>
      </c>
      <c r="AE52" s="340" t="str">
        <f ca="1">IFERROR(XIRR($C44:AE44,$C$41:AE$41),"NaN")</f>
        <v>NaN</v>
      </c>
      <c r="AF52" s="340" t="str">
        <f ca="1">IFERROR(XIRR($C44:AF44,$C$41:AF$41),"NaN")</f>
        <v>NaN</v>
      </c>
      <c r="AG52" s="340" t="str">
        <f ca="1">IFERROR(XIRR($C44:AG44,$C$41:AG$41),"NaN")</f>
        <v>NaN</v>
      </c>
      <c r="AH52" s="340" t="str">
        <f ca="1">IFERROR(XIRR($C44:AH44,$C$41:AH$41),"NaN")</f>
        <v>NaN</v>
      </c>
      <c r="AI52" s="340" t="str">
        <f ca="1">IFERROR(XIRR($C44:AI44,$C$41:AI$41),"NaN")</f>
        <v>NaN</v>
      </c>
      <c r="AJ52" s="340" t="str">
        <f ca="1">IFERROR(XIRR($C44:AJ44,$C$41:AJ$41),"NaN")</f>
        <v>NaN</v>
      </c>
      <c r="AK52" s="340" t="str">
        <f ca="1">IFERROR(XIRR($C44:AK44,$C$41:AK$41),"NaN")</f>
        <v>NaN</v>
      </c>
      <c r="AL52" s="340" t="str">
        <f ca="1">IFERROR(XIRR($C44:AL44,$C$41:AL$41),"NaN")</f>
        <v>NaN</v>
      </c>
      <c r="AM52" s="340" t="str">
        <f ca="1">IFERROR(XIRR($C44:AM44,$C$41:AM$41),"NaN")</f>
        <v>NaN</v>
      </c>
      <c r="AN52" s="340" t="str">
        <f ca="1">IFERROR(XIRR($C44:AN44,$C$41:AN$41),"NaN")</f>
        <v>NaN</v>
      </c>
      <c r="AO52" s="340" t="str">
        <f ca="1">IFERROR(XIRR($C44:AO44,$C$41:AO$41),"NaN")</f>
        <v>NaN</v>
      </c>
      <c r="AP52" s="340" t="str">
        <f ca="1">IFERROR(XIRR($C44:AP44,$C$41:AP$41),"NaN")</f>
        <v>NaN</v>
      </c>
      <c r="AQ52" s="340" t="str">
        <f ca="1">IFERROR(XIRR($C44:AQ44,$C$41:AQ$41),"NaN")</f>
        <v>NaN</v>
      </c>
      <c r="AR52" s="340" t="str">
        <f ca="1">IFERROR(XIRR($C44:AR44,$C$41:AR$41),"NaN")</f>
        <v>NaN</v>
      </c>
      <c r="AS52" s="340" t="str">
        <f ca="1">IFERROR(XIRR($C44:AS44,$C$41:AS$41),"NaN")</f>
        <v>NaN</v>
      </c>
      <c r="AT52" s="340" t="str">
        <f ca="1">IFERROR(XIRR($C44:AT44,$C$41:AT$41),"NaN")</f>
        <v>NaN</v>
      </c>
      <c r="AU52" s="340" t="str">
        <f ca="1">IFERROR(XIRR($C44:AU44,$C$41:AU$41),"NaN")</f>
        <v>NaN</v>
      </c>
      <c r="AV52" s="340" t="str">
        <f ca="1">IFERROR(XIRR($C44:AV44,$C$41:AV$41),"NaN")</f>
        <v>NaN</v>
      </c>
      <c r="AW52" s="340" t="str">
        <f ca="1">IFERROR(XIRR($C44:AW44,$C$41:AW$41),"NaN")</f>
        <v>NaN</v>
      </c>
      <c r="AX52" s="340" t="str">
        <f ca="1">IFERROR(XIRR($C44:AX44,$C$41:AX$41),"NaN")</f>
        <v>NaN</v>
      </c>
      <c r="AY52" s="340" t="str">
        <f ca="1">IFERROR(XIRR($C44:AY44,$C$41:AY$41),"NaN")</f>
        <v>NaN</v>
      </c>
      <c r="AZ52" s="340" t="str">
        <f ca="1">IFERROR(XIRR($C44:AZ44,$C$41:AZ$41),"NaN")</f>
        <v>NaN</v>
      </c>
      <c r="BA52" s="340" t="str">
        <f ca="1">IFERROR(XIRR($C44:BA44,$C$41:BA$41),"NaN")</f>
        <v>NaN</v>
      </c>
      <c r="BB52" s="340" t="str">
        <f ca="1">IFERROR(XIRR($C44:BB44,$C$41:BB$41),"NaN")</f>
        <v>NaN</v>
      </c>
      <c r="BC52" s="340" t="str">
        <f ca="1">IFERROR(XIRR($C44:BC44,$C$41:BC$41),"NaN")</f>
        <v>NaN</v>
      </c>
      <c r="BD52" s="340" t="str">
        <f ca="1">IFERROR(XIRR($C44:BD44,$C$41:BD$41),"NaN")</f>
        <v>NaN</v>
      </c>
      <c r="BE52" s="340" t="str">
        <f ca="1">IFERROR(XIRR($C44:BE44,$C$41:BE$41),"NaN")</f>
        <v>NaN</v>
      </c>
      <c r="BF52" s="340" t="str">
        <f ca="1">IFERROR(XIRR($C44:BF44,$C$41:BF$41),"NaN")</f>
        <v>NaN</v>
      </c>
      <c r="BG52" s="340" t="str">
        <f ca="1">IFERROR(XIRR($C44:BG44,$C$41:BG$41),"NaN")</f>
        <v>NaN</v>
      </c>
      <c r="BH52" s="340" t="str">
        <f ca="1">IFERROR(XIRR($C44:BH44,$C$41:BH$41),"NaN")</f>
        <v>NaN</v>
      </c>
      <c r="BI52" s="340" t="str">
        <f ca="1">IFERROR(XIRR($C44:BI44,$C$41:BI$41),"NaN")</f>
        <v>NaN</v>
      </c>
      <c r="BJ52" s="340" t="str">
        <f ca="1">IFERROR(XIRR($C44:BJ44,$C$41:BJ$41),"NaN")</f>
        <v>NaN</v>
      </c>
      <c r="BK52" s="340" t="str">
        <f ca="1">IFERROR(XIRR($C44:BK44,$C$41:BK$41),"NaN")</f>
        <v>NaN</v>
      </c>
      <c r="BL52" s="340" t="str">
        <f ca="1">IFERROR(XIRR($C44:BL44,$C$41:BL$41),"NaN")</f>
        <v>NaN</v>
      </c>
      <c r="BM52" s="340" t="str">
        <f ca="1">IFERROR(XIRR($C44:BM44,$C$41:BM$41),"NaN")</f>
        <v>NaN</v>
      </c>
      <c r="BN52" s="340" t="str">
        <f ca="1">IFERROR(XIRR($C44:BN44,$C$41:BN$41),"NaN")</f>
        <v>NaN</v>
      </c>
      <c r="BO52" s="340" t="str">
        <f ca="1">IFERROR(XIRR($C44:BO44,$C$41:BO$41),"NaN")</f>
        <v>NaN</v>
      </c>
      <c r="BP52" s="340" t="str">
        <f ca="1">IFERROR(XIRR($C44:BP44,$C$41:BP$41),"NaN")</f>
        <v>NaN</v>
      </c>
      <c r="BQ52" s="340" t="str">
        <f ca="1">IFERROR(XIRR($C44:BQ44,$C$41:BQ$41),"NaN")</f>
        <v>NaN</v>
      </c>
      <c r="BR52" s="340" t="str">
        <f ca="1">IFERROR(XIRR($C44:BR44,$C$41:BR$41),"NaN")</f>
        <v>NaN</v>
      </c>
      <c r="BS52" s="340" t="str">
        <f ca="1">IFERROR(XIRR($C44:BS44,$C$41:BS$41),"NaN")</f>
        <v>NaN</v>
      </c>
      <c r="BT52" s="340" t="str">
        <f ca="1">IFERROR(XIRR($C44:BT44,$C$41:BT$41),"NaN")</f>
        <v>NaN</v>
      </c>
      <c r="BU52" s="340" t="str">
        <f ca="1">IFERROR(XIRR($C44:BU44,$C$41:BU$41),"NaN")</f>
        <v>NaN</v>
      </c>
      <c r="BV52" s="340" t="str">
        <f ca="1">IFERROR(XIRR($C44:BV44,$C$41:BV$41),"NaN")</f>
        <v>NaN</v>
      </c>
      <c r="BW52" s="340" t="str">
        <f ca="1">IFERROR(XIRR($C44:BW44,$C$41:BW$41),"NaN")</f>
        <v>NaN</v>
      </c>
      <c r="BX52" s="340" t="str">
        <f ca="1">IFERROR(XIRR($C44:BX44,$C$41:BX$41),"NaN")</f>
        <v>NaN</v>
      </c>
      <c r="BY52" s="340" t="str">
        <f ca="1">IFERROR(XIRR($C44:BY44,$C$41:BY$41),"NaN")</f>
        <v>NaN</v>
      </c>
      <c r="BZ52" s="340" t="str">
        <f ca="1">IFERROR(XIRR($C44:BZ44,$C$41:BZ$41),"NaN")</f>
        <v>NaN</v>
      </c>
      <c r="CA52" s="340" t="str">
        <f ca="1">IFERROR(XIRR($C44:CA44,$C$41:CA$41),"NaN")</f>
        <v>NaN</v>
      </c>
      <c r="CB52" s="340" t="str">
        <f ca="1">IFERROR(XIRR($C44:CB44,$C$41:CB$41),"NaN")</f>
        <v>NaN</v>
      </c>
      <c r="CC52" s="340" t="str">
        <f ca="1">IFERROR(XIRR($C44:CC44,$C$41:CC$41),"NaN")</f>
        <v>NaN</v>
      </c>
      <c r="CD52" s="340" t="str">
        <f ca="1">IFERROR(XIRR($C44:CD44,$C$41:CD$41),"NaN")</f>
        <v>NaN</v>
      </c>
      <c r="CE52" s="340" t="str">
        <f ca="1">IFERROR(XIRR($C44:CE44,$C$41:CE$41),"NaN")</f>
        <v>NaN</v>
      </c>
      <c r="CF52" s="340" t="str">
        <f ca="1">IFERROR(XIRR($C44:CF44,$C$41:CF$41),"NaN")</f>
        <v>NaN</v>
      </c>
      <c r="CG52" s="340" t="str">
        <f ca="1">IFERROR(XIRR($C44:CG44,$C$41:CG$41),"NaN")</f>
        <v>NaN</v>
      </c>
      <c r="CH52" s="340" t="str">
        <f ca="1">IFERROR(XIRR($C44:CH44,$C$41:CH$41),"NaN")</f>
        <v>NaN</v>
      </c>
      <c r="CI52" s="340" t="str">
        <f ca="1">IFERROR(XIRR($C44:CI44,$C$41:CI$41),"NaN")</f>
        <v>NaN</v>
      </c>
      <c r="CJ52" s="340" t="str">
        <f ca="1">IFERROR(XIRR($C44:CJ44,$C$41:CJ$41),"NaN")</f>
        <v>NaN</v>
      </c>
      <c r="CK52" s="340" t="str">
        <f ca="1">IFERROR(XIRR($C44:CK44,$C$41:CK$41),"NaN")</f>
        <v>NaN</v>
      </c>
      <c r="CL52" s="340" t="str">
        <f ca="1">IFERROR(XIRR($C44:CL44,$C$41:CL$41),"NaN")</f>
        <v>NaN</v>
      </c>
      <c r="CM52" s="340" t="str">
        <f ca="1">IFERROR(XIRR($C44:CM44,$C$41:CM$41),"NaN")</f>
        <v>NaN</v>
      </c>
      <c r="CN52" s="340" t="str">
        <f ca="1">IFERROR(XIRR($C44:CN44,$C$41:CN$41),"NaN")</f>
        <v>NaN</v>
      </c>
      <c r="CO52" s="340" t="str">
        <f ca="1">IFERROR(XIRR($C44:CO44,$C$41:CO$41),"NaN")</f>
        <v>NaN</v>
      </c>
      <c r="CP52" s="340" t="str">
        <f ca="1">IFERROR(XIRR($C44:CP44,$C$41:CP$41),"NaN")</f>
        <v>NaN</v>
      </c>
      <c r="CQ52" s="340" t="str">
        <f ca="1">IFERROR(XIRR($C44:CQ44,$C$41:CQ$41),"NaN")</f>
        <v>NaN</v>
      </c>
      <c r="CR52" s="340" t="str">
        <f ca="1">IFERROR(XIRR($C44:CR44,$C$41:CR$41),"NaN")</f>
        <v>NaN</v>
      </c>
      <c r="CS52" s="340" t="str">
        <f ca="1">IFERROR(XIRR($C44:CS44,$C$41:CS$41),"NaN")</f>
        <v>NaN</v>
      </c>
      <c r="CT52" s="340" t="str">
        <f ca="1">IFERROR(XIRR($C44:CT44,$C$41:CT$41),"NaN")</f>
        <v>NaN</v>
      </c>
      <c r="CU52" s="340" t="str">
        <f ca="1">IFERROR(XIRR($C44:CU44,$C$41:CU$41),"NaN")</f>
        <v>NaN</v>
      </c>
      <c r="CV52" s="340" t="str">
        <f ca="1">IFERROR(XIRR($C44:CV44,$C$41:CV$41),"NaN")</f>
        <v>NaN</v>
      </c>
      <c r="CW52" s="340" t="str">
        <f ca="1">IFERROR(XIRR($C44:CW44,$C$41:CW$41),"NaN")</f>
        <v>NaN</v>
      </c>
      <c r="CX52" s="340" t="str">
        <f ca="1">IFERROR(XIRR($C44:CX44,$C$41:CX$41),"NaN")</f>
        <v>NaN</v>
      </c>
      <c r="CY52" s="340" t="str">
        <f ca="1">IFERROR(XIRR($C44:CY44,$C$41:CY$41),"NaN")</f>
        <v>NaN</v>
      </c>
      <c r="CZ52" s="340" t="str">
        <f ca="1">IFERROR(XIRR($C44:CZ44,$C$41:CZ$41),"NaN")</f>
        <v>NaN</v>
      </c>
      <c r="DA52" s="340" t="str">
        <f ca="1">IFERROR(XIRR($C44:DA44,$C$41:DA$41),"NaN")</f>
        <v>NaN</v>
      </c>
      <c r="DB52" s="340" t="str">
        <f ca="1">IFERROR(XIRR($C44:DB44,$C$41:DB$41),"NaN")</f>
        <v>NaN</v>
      </c>
      <c r="DC52" s="340" t="str">
        <f ca="1">IFERROR(XIRR($C44:DC44,$C$41:DC$41),"NaN")</f>
        <v>NaN</v>
      </c>
      <c r="DD52" s="340" t="str">
        <f ca="1">IFERROR(XIRR($C44:DD44,$C$41:DD$41),"NaN")</f>
        <v>NaN</v>
      </c>
      <c r="DE52" s="340" t="str">
        <f ca="1">IFERROR(XIRR($C44:DE44,$C$41:DE$41),"NaN")</f>
        <v>NaN</v>
      </c>
      <c r="DF52" s="340" t="str">
        <f ca="1">IFERROR(XIRR($C44:DF44,$C$41:DF$41),"NaN")</f>
        <v>NaN</v>
      </c>
      <c r="DG52" s="340" t="str">
        <f ca="1">IFERROR(XIRR($C44:DG44,$C$41:DG$41),"NaN")</f>
        <v>NaN</v>
      </c>
      <c r="DH52" s="340" t="str">
        <f ca="1">IFERROR(XIRR($C44:DH44,$C$41:DH$41),"NaN")</f>
        <v>NaN</v>
      </c>
      <c r="DI52" s="340" t="str">
        <f ca="1">IFERROR(XIRR($C44:DI44,$C$41:DI$41),"NaN")</f>
        <v>NaN</v>
      </c>
      <c r="DJ52" s="340" t="str">
        <f ca="1">IFERROR(XIRR($C44:DJ44,$C$41:DJ$41),"NaN")</f>
        <v>NaN</v>
      </c>
      <c r="DK52" s="340" t="str">
        <f ca="1">IFERROR(XIRR($C44:DK44,$C$41:DK$41),"NaN")</f>
        <v>NaN</v>
      </c>
      <c r="DL52" s="340" t="str">
        <f ca="1">IFERROR(XIRR($C44:DL44,$C$41:DL$41),"NaN")</f>
        <v>NaN</v>
      </c>
      <c r="DM52" s="340" t="str">
        <f ca="1">IFERROR(XIRR($C44:DM44,$C$41:DM$41),"NaN")</f>
        <v>NaN</v>
      </c>
      <c r="DN52" s="340" t="str">
        <f ca="1">IFERROR(XIRR($C44:DN44,$C$41:DN$41),"NaN")</f>
        <v>NaN</v>
      </c>
      <c r="DO52" s="340" t="str">
        <f ca="1">IFERROR(XIRR($C44:DO44,$C$41:DO$41),"NaN")</f>
        <v>NaN</v>
      </c>
      <c r="DP52" s="340" t="str">
        <f ca="1">IFERROR(XIRR($C44:DP44,$C$41:DP$41),"NaN")</f>
        <v>NaN</v>
      </c>
      <c r="DQ52" s="340" t="str">
        <f ca="1">IFERROR(XIRR($C44:DQ44,$C$41:DQ$41),"NaN")</f>
        <v>NaN</v>
      </c>
      <c r="DR52" s="340" t="str">
        <f ca="1">IFERROR(XIRR($C44:DR44,$C$41:DR$41),"NaN")</f>
        <v>NaN</v>
      </c>
      <c r="DS52" s="340" t="str">
        <f ca="1">IFERROR(XIRR($C44:DS44,$C$41:DS$41),"NaN")</f>
        <v>NaN</v>
      </c>
      <c r="DT52" s="340" t="str">
        <f ca="1">IFERROR(XIRR($C44:DT44,$C$41:DT$41),"NaN")</f>
        <v>NaN</v>
      </c>
      <c r="DU52" s="340" t="str">
        <f ca="1">IFERROR(XIRR($C44:DU44,$C$41:DU$41),"NaN")</f>
        <v>NaN</v>
      </c>
      <c r="DV52" s="340" t="str">
        <f ca="1">IFERROR(XIRR($C44:DV44,$C$41:DV$41),"NaN")</f>
        <v>NaN</v>
      </c>
      <c r="DW52" s="340" t="str">
        <f ca="1">IFERROR(XIRR($C44:DW44,$C$41:DW$41),"NaN")</f>
        <v>NaN</v>
      </c>
      <c r="DX52" s="340" t="str">
        <f ca="1">IFERROR(XIRR($C44:DX44,$C$41:DX$41),"NaN")</f>
        <v>NaN</v>
      </c>
      <c r="DY52" s="340" t="str">
        <f ca="1">IFERROR(XIRR($C44:DY44,$C$41:DY$41),"NaN")</f>
        <v>NaN</v>
      </c>
      <c r="DZ52" s="340" t="str">
        <f ca="1">IFERROR(XIRR($C44:DZ44,$C$41:DZ$41),"NaN")</f>
        <v>NaN</v>
      </c>
      <c r="EA52" s="340" t="str">
        <f ca="1">IFERROR(XIRR($C44:EA44,$C$41:EA$41),"NaN")</f>
        <v>NaN</v>
      </c>
      <c r="EB52" s="340" t="str">
        <f ca="1">IFERROR(XIRR($C44:EB44,$C$41:EB$41),"NaN")</f>
        <v>NaN</v>
      </c>
      <c r="EC52" s="340" t="str">
        <f ca="1">IFERROR(XIRR($C44:EC44,$C$41:EC$41),"NaN")</f>
        <v>NaN</v>
      </c>
      <c r="ED52" s="340" t="str">
        <f ca="1">IFERROR(XIRR($C44:ED44,$C$41:ED$41),"NaN")</f>
        <v>NaN</v>
      </c>
      <c r="EE52" s="340" t="str">
        <f ca="1">IFERROR(XIRR($C44:EE44,$C$41:EE$41),"NaN")</f>
        <v>NaN</v>
      </c>
      <c r="EF52" s="340" t="str">
        <f ca="1">IFERROR(XIRR($C44:EF44,$C$41:EF$41),"NaN")</f>
        <v>NaN</v>
      </c>
      <c r="EG52" s="340" t="str">
        <f ca="1">IFERROR(XIRR($C44:EG44,$C$41:EG$41),"NaN")</f>
        <v>NaN</v>
      </c>
      <c r="EH52" s="340" t="str">
        <f ca="1">IFERROR(XIRR($C44:EH44,$C$41:EH$41),"NaN")</f>
        <v>NaN</v>
      </c>
      <c r="EI52" s="340" t="str">
        <f ca="1">IFERROR(XIRR($C44:EI44,$C$41:EI$41),"NaN")</f>
        <v>NaN</v>
      </c>
      <c r="EJ52" s="340" t="str">
        <f ca="1">IFERROR(XIRR($C44:EJ44,$C$41:EJ$41),"NaN")</f>
        <v>NaN</v>
      </c>
      <c r="EK52" s="340" t="str">
        <f ca="1">IFERROR(XIRR($C44:EK44,$C$41:EK$41),"NaN")</f>
        <v>NaN</v>
      </c>
      <c r="EL52" s="340" t="str">
        <f ca="1">IFERROR(XIRR($C44:EL44,$C$41:EL$41),"NaN")</f>
        <v>NaN</v>
      </c>
      <c r="EM52" s="340" t="str">
        <f ca="1">IFERROR(XIRR($C44:EM44,$C$41:EM$41),"NaN")</f>
        <v>NaN</v>
      </c>
      <c r="EN52" s="340" t="str">
        <f ca="1">IFERROR(XIRR($C44:EN44,$C$41:EN$41),"NaN")</f>
        <v>NaN</v>
      </c>
      <c r="EO52" s="340" t="str">
        <f ca="1">IFERROR(XIRR($C44:EO44,$C$41:EO$41),"NaN")</f>
        <v>NaN</v>
      </c>
      <c r="EP52" s="340" t="str">
        <f ca="1">IFERROR(XIRR($C44:EP44,$C$41:EP$41),"NaN")</f>
        <v>NaN</v>
      </c>
      <c r="EQ52" s="340" t="str">
        <f ca="1">IFERROR(XIRR($C44:EQ44,$C$41:EQ$41),"NaN")</f>
        <v>NaN</v>
      </c>
      <c r="ER52" s="340" t="str">
        <f ca="1">IFERROR(XIRR($C44:ER44,$C$41:ER$41),"NaN")</f>
        <v>NaN</v>
      </c>
      <c r="ES52" s="340" t="str">
        <f ca="1">IFERROR(XIRR($C44:ES44,$C$41:ES$41),"NaN")</f>
        <v>NaN</v>
      </c>
      <c r="ET52" s="340" t="str">
        <f ca="1">IFERROR(XIRR($C44:ET44,$C$41:ET$41),"NaN")</f>
        <v>NaN</v>
      </c>
      <c r="EU52" s="340" t="str">
        <f ca="1">IFERROR(XIRR($C44:EU44,$C$41:EU$41),"NaN")</f>
        <v>NaN</v>
      </c>
      <c r="EV52" s="340" t="str">
        <f ca="1">IFERROR(XIRR($C44:EV44,$C$41:EV$41),"NaN")</f>
        <v>NaN</v>
      </c>
      <c r="EW52" s="340" t="str">
        <f ca="1">IFERROR(XIRR($C44:EW44,$C$41:EW$41),"NaN")</f>
        <v>NaN</v>
      </c>
      <c r="EX52" s="340" t="str">
        <f ca="1">IFERROR(XIRR($C44:EX44,$C$41:EX$41),"NaN")</f>
        <v>NaN</v>
      </c>
      <c r="EY52" s="340" t="str">
        <f ca="1">IFERROR(XIRR($C44:EY44,$C$41:EY$41),"NaN")</f>
        <v>NaN</v>
      </c>
      <c r="EZ52" s="340" t="str">
        <f ca="1">IFERROR(XIRR($C44:EZ44,$C$41:EZ$41),"NaN")</f>
        <v>NaN</v>
      </c>
      <c r="FA52" s="340" t="str">
        <f ca="1">IFERROR(XIRR($C44:FA44,$C$41:FA$41),"NaN")</f>
        <v>NaN</v>
      </c>
      <c r="FB52" s="340" t="str">
        <f ca="1">IFERROR(XIRR($C44:FB44,$C$41:FB$41),"NaN")</f>
        <v>NaN</v>
      </c>
      <c r="FC52" s="340" t="str">
        <f ca="1">IFERROR(XIRR($C44:FC44,$C$41:FC$41),"NaN")</f>
        <v>NaN</v>
      </c>
      <c r="FD52" s="340" t="str">
        <f ca="1">IFERROR(XIRR($C44:FD44,$C$41:FD$41),"NaN")</f>
        <v>NaN</v>
      </c>
      <c r="FE52" s="340" t="str">
        <f ca="1">IFERROR(XIRR($C44:FE44,$C$41:FE$41),"NaN")</f>
        <v>NaN</v>
      </c>
      <c r="FF52" s="340" t="str">
        <f ca="1">IFERROR(XIRR($C44:FF44,$C$41:FF$41),"NaN")</f>
        <v>NaN</v>
      </c>
      <c r="FG52" s="340" t="str">
        <f ca="1">IFERROR(XIRR($C44:FG44,$C$41:FG$41),"NaN")</f>
        <v>NaN</v>
      </c>
      <c r="FH52" s="340" t="str">
        <f ca="1">IFERROR(XIRR($C44:FH44,$C$41:FH$41),"NaN")</f>
        <v>NaN</v>
      </c>
      <c r="FI52" s="340" t="str">
        <f ca="1">IFERROR(XIRR($C44:FI44,$C$41:FI$41),"NaN")</f>
        <v>NaN</v>
      </c>
      <c r="FJ52" s="340" t="str">
        <f ca="1">IFERROR(XIRR($C44:FJ44,$C$41:FJ$41),"NaN")</f>
        <v>NaN</v>
      </c>
      <c r="FK52" s="340" t="str">
        <f ca="1">IFERROR(XIRR($C44:FK44,$C$41:FK$41),"NaN")</f>
        <v>NaN</v>
      </c>
      <c r="FL52" s="340" t="str">
        <f ca="1">IFERROR(XIRR($C44:FL44,$C$41:FL$41),"NaN")</f>
        <v>NaN</v>
      </c>
      <c r="FM52" s="340" t="str">
        <f ca="1">IFERROR(XIRR($C44:FM44,$C$41:FM$41),"NaN")</f>
        <v>NaN</v>
      </c>
      <c r="FN52" s="340" t="str">
        <f ca="1">IFERROR(XIRR($C44:FN44,$C$41:FN$41),"NaN")</f>
        <v>NaN</v>
      </c>
      <c r="FO52" s="340" t="str">
        <f ca="1">IFERROR(XIRR($C44:FO44,$C$41:FO$41),"NaN")</f>
        <v>NaN</v>
      </c>
      <c r="FP52" s="340" t="str">
        <f ca="1">IFERROR(XIRR($C44:FP44,$C$41:FP$41),"NaN")</f>
        <v>NaN</v>
      </c>
      <c r="FQ52" s="340" t="str">
        <f ca="1">IFERROR(XIRR($C44:FQ44,$C$41:FQ$41),"NaN")</f>
        <v>NaN</v>
      </c>
      <c r="FR52" s="340" t="str">
        <f ca="1">IFERROR(XIRR($C44:FR44,$C$41:FR$41),"NaN")</f>
        <v>NaN</v>
      </c>
      <c r="FS52" s="340" t="str">
        <f ca="1">IFERROR(XIRR($C44:FS44,$C$41:FS$41),"NaN")</f>
        <v>NaN</v>
      </c>
      <c r="FT52" s="340" t="str">
        <f ca="1">IFERROR(XIRR($C44:FT44,$C$41:FT$41),"NaN")</f>
        <v>NaN</v>
      </c>
      <c r="FU52" s="340" t="str">
        <f ca="1">IFERROR(XIRR($C44:FU44,$C$41:FU$41),"NaN")</f>
        <v>NaN</v>
      </c>
      <c r="FV52" s="340" t="str">
        <f ca="1">IFERROR(XIRR($C44:FV44,$C$41:FV$41),"NaN")</f>
        <v>NaN</v>
      </c>
      <c r="FW52" s="340" t="str">
        <f ca="1">IFERROR(XIRR($C44:FW44,$C$41:FW$41),"NaN")</f>
        <v>NaN</v>
      </c>
      <c r="FX52" s="340" t="str">
        <f ca="1">IFERROR(XIRR($C44:FX44,$C$41:FX$41),"NaN")</f>
        <v>NaN</v>
      </c>
      <c r="FY52" s="340" t="str">
        <f ca="1">IFERROR(XIRR($C44:FY44,$C$41:FY$41),"NaN")</f>
        <v>NaN</v>
      </c>
      <c r="FZ52" s="340" t="str">
        <f ca="1">IFERROR(XIRR($C44:FZ44,$C$41:FZ$41),"NaN")</f>
        <v>NaN</v>
      </c>
      <c r="GA52" s="341" t="str">
        <f ca="1">IFERROR(XIRR($C44:GA44,$C$41:GA$41),"NaN")</f>
        <v>NaN</v>
      </c>
    </row>
    <row r="53" spans="1:183" x14ac:dyDescent="0.15">
      <c r="A53" s="323" t="s">
        <v>355</v>
      </c>
      <c r="C53" s="461"/>
      <c r="D53" s="91" t="str">
        <f ca="1">IFERROR(XIRR($C46:D46,$C$41:D$41),"NaN")</f>
        <v>NaN</v>
      </c>
      <c r="E53" s="91" t="str">
        <f ca="1">IFERROR(XIRR($C46:E46,$C$41:E$41),"NaN")</f>
        <v>NaN</v>
      </c>
      <c r="F53" s="91" t="str">
        <f ca="1">IFERROR(XIRR($C46:F46,$C$41:F$41),"NaN")</f>
        <v>NaN</v>
      </c>
      <c r="G53" s="91" t="str">
        <f ca="1">IFERROR(XIRR($C46:G46,$C$41:G$41),"NaN")</f>
        <v>NaN</v>
      </c>
      <c r="H53" s="91" t="str">
        <f ca="1">IFERROR(XIRR($C46:H46,$C$41:H$41),"NaN")</f>
        <v>NaN</v>
      </c>
      <c r="I53" s="91" t="str">
        <f ca="1">IFERROR(XIRR($C46:I46,$C$41:I$41),"NaN")</f>
        <v>NaN</v>
      </c>
      <c r="J53" s="91" t="str">
        <f ca="1">IFERROR(XIRR($C46:J46,$C$41:J$41),"NaN")</f>
        <v>NaN</v>
      </c>
      <c r="K53" s="91" t="str">
        <f ca="1">IFERROR(XIRR($C46:K46,$C$41:K$41),"NaN")</f>
        <v>NaN</v>
      </c>
      <c r="L53" s="91" t="str">
        <f ca="1">IFERROR(XIRR($C46:L46,$C$41:L$41),"NaN")</f>
        <v>NaN</v>
      </c>
      <c r="M53" s="91" t="str">
        <f ca="1">IFERROR(XIRR($C46:M46,$C$41:M$41),"NaN")</f>
        <v>NaN</v>
      </c>
      <c r="N53" s="91" t="str">
        <f ca="1">IFERROR(XIRR($C46:N46,$C$41:N$41),"NaN")</f>
        <v>NaN</v>
      </c>
      <c r="O53" s="91" t="str">
        <f ca="1">IFERROR(XIRR($C46:O46,$C$41:O$41),"NaN")</f>
        <v>NaN</v>
      </c>
      <c r="P53" s="91" t="str">
        <f ca="1">IFERROR(XIRR($C46:P46,$C$41:P$41),"NaN")</f>
        <v>NaN</v>
      </c>
      <c r="Q53" s="91" t="str">
        <f ca="1">IFERROR(XIRR($C46:Q46,$C$41:Q$41),"NaN")</f>
        <v>NaN</v>
      </c>
      <c r="R53" s="91" t="str">
        <f ca="1">IFERROR(XIRR($C46:R46,$C$41:R$41),"NaN")</f>
        <v>NaN</v>
      </c>
      <c r="S53" s="91" t="str">
        <f ca="1">IFERROR(XIRR($C46:S46,$C$41:S$41),"NaN")</f>
        <v>NaN</v>
      </c>
      <c r="T53" s="91" t="str">
        <f ca="1">IFERROR(XIRR($C46:T46,$C$41:T$41),"NaN")</f>
        <v>NaN</v>
      </c>
      <c r="U53" s="91" t="str">
        <f ca="1">IFERROR(XIRR($C46:U46,$C$41:U$41),"NaN")</f>
        <v>NaN</v>
      </c>
      <c r="V53" s="91" t="str">
        <f ca="1">IFERROR(XIRR($C46:V46,$C$41:V$41),"NaN")</f>
        <v>NaN</v>
      </c>
      <c r="W53" s="91" t="str">
        <f ca="1">IFERROR(XIRR($C46:W46,$C$41:W$41),"NaN")</f>
        <v>NaN</v>
      </c>
      <c r="X53" s="91" t="str">
        <f ca="1">IFERROR(XIRR($C46:X46,$C$41:X$41),"NaN")</f>
        <v>NaN</v>
      </c>
      <c r="Y53" s="91" t="str">
        <f ca="1">IFERROR(XIRR($C46:Y46,$C$41:Y$41),"NaN")</f>
        <v>NaN</v>
      </c>
      <c r="Z53" s="91" t="str">
        <f ca="1">IFERROR(XIRR($C46:Z46,$C$41:Z$41),"NaN")</f>
        <v>NaN</v>
      </c>
      <c r="AA53" s="91" t="str">
        <f ca="1">IFERROR(XIRR($C46:AA46,$C$41:AA$41),"NaN")</f>
        <v>NaN</v>
      </c>
      <c r="AB53" s="91" t="str">
        <f ca="1">IFERROR(XIRR($C46:AB46,$C$41:AB$41),"NaN")</f>
        <v>NaN</v>
      </c>
      <c r="AC53" s="91" t="str">
        <f ca="1">IFERROR(XIRR($C46:AC46,$C$41:AC$41),"NaN")</f>
        <v>NaN</v>
      </c>
      <c r="AD53" s="91" t="str">
        <f ca="1">IFERROR(XIRR($C46:AD46,$C$41:AD$41),"NaN")</f>
        <v>NaN</v>
      </c>
      <c r="AE53" s="91" t="str">
        <f ca="1">IFERROR(XIRR($C46:AE46,$C$41:AE$41),"NaN")</f>
        <v>NaN</v>
      </c>
      <c r="AF53" s="91" t="str">
        <f ca="1">IFERROR(XIRR($C46:AF46,$C$41:AF$41),"NaN")</f>
        <v>NaN</v>
      </c>
      <c r="AG53" s="91" t="str">
        <f ca="1">IFERROR(XIRR($C46:AG46,$C$41:AG$41),"NaN")</f>
        <v>NaN</v>
      </c>
      <c r="AH53" s="91" t="str">
        <f ca="1">IFERROR(XIRR($C46:AH46,$C$41:AH$41),"NaN")</f>
        <v>NaN</v>
      </c>
      <c r="AI53" s="91" t="str">
        <f ca="1">IFERROR(XIRR($C46:AI46,$C$41:AI$41),"NaN")</f>
        <v>NaN</v>
      </c>
      <c r="AJ53" s="91" t="str">
        <f ca="1">IFERROR(XIRR($C46:AJ46,$C$41:AJ$41),"NaN")</f>
        <v>NaN</v>
      </c>
      <c r="AK53" s="91" t="str">
        <f ca="1">IFERROR(XIRR($C46:AK46,$C$41:AK$41),"NaN")</f>
        <v>NaN</v>
      </c>
      <c r="AL53" s="91" t="str">
        <f ca="1">IFERROR(XIRR($C46:AL46,$C$41:AL$41),"NaN")</f>
        <v>NaN</v>
      </c>
      <c r="AM53" s="91" t="str">
        <f ca="1">IFERROR(XIRR($C46:AM46,$C$41:AM$41),"NaN")</f>
        <v>NaN</v>
      </c>
      <c r="AN53" s="91" t="str">
        <f ca="1">IFERROR(XIRR($C46:AN46,$C$41:AN$41),"NaN")</f>
        <v>NaN</v>
      </c>
      <c r="AO53" s="91" t="str">
        <f ca="1">IFERROR(XIRR($C46:AO46,$C$41:AO$41),"NaN")</f>
        <v>NaN</v>
      </c>
      <c r="AP53" s="91" t="str">
        <f ca="1">IFERROR(XIRR($C46:AP46,$C$41:AP$41),"NaN")</f>
        <v>NaN</v>
      </c>
      <c r="AQ53" s="91" t="str">
        <f ca="1">IFERROR(XIRR($C46:AQ46,$C$41:AQ$41),"NaN")</f>
        <v>NaN</v>
      </c>
      <c r="AR53" s="91" t="str">
        <f ca="1">IFERROR(XIRR($C46:AR46,$C$41:AR$41),"NaN")</f>
        <v>NaN</v>
      </c>
      <c r="AS53" s="91" t="str">
        <f ca="1">IFERROR(XIRR($C46:AS46,$C$41:AS$41),"NaN")</f>
        <v>NaN</v>
      </c>
      <c r="AT53" s="91" t="str">
        <f ca="1">IFERROR(XIRR($C46:AT46,$C$41:AT$41),"NaN")</f>
        <v>NaN</v>
      </c>
      <c r="AU53" s="91" t="str">
        <f ca="1">IFERROR(XIRR($C46:AU46,$C$41:AU$41),"NaN")</f>
        <v>NaN</v>
      </c>
      <c r="AV53" s="91" t="str">
        <f ca="1">IFERROR(XIRR($C46:AV46,$C$41:AV$41),"NaN")</f>
        <v>NaN</v>
      </c>
      <c r="AW53" s="91" t="str">
        <f ca="1">IFERROR(XIRR($C46:AW46,$C$41:AW$41),"NaN")</f>
        <v>NaN</v>
      </c>
      <c r="AX53" s="91" t="str">
        <f ca="1">IFERROR(XIRR($C46:AX46,$C$41:AX$41),"NaN")</f>
        <v>NaN</v>
      </c>
      <c r="AY53" s="91" t="str">
        <f ca="1">IFERROR(XIRR($C46:AY46,$C$41:AY$41),"NaN")</f>
        <v>NaN</v>
      </c>
      <c r="AZ53" s="91" t="str">
        <f ca="1">IFERROR(XIRR($C46:AZ46,$C$41:AZ$41),"NaN")</f>
        <v>NaN</v>
      </c>
      <c r="BA53" s="91" t="str">
        <f ca="1">IFERROR(XIRR($C46:BA46,$C$41:BA$41),"NaN")</f>
        <v>NaN</v>
      </c>
      <c r="BB53" s="91" t="str">
        <f ca="1">IFERROR(XIRR($C46:BB46,$C$41:BB$41),"NaN")</f>
        <v>NaN</v>
      </c>
      <c r="BC53" s="91" t="str">
        <f ca="1">IFERROR(XIRR($C46:BC46,$C$41:BC$41),"NaN")</f>
        <v>NaN</v>
      </c>
      <c r="BD53" s="91" t="str">
        <f ca="1">IFERROR(XIRR($C46:BD46,$C$41:BD$41),"NaN")</f>
        <v>NaN</v>
      </c>
      <c r="BE53" s="91" t="str">
        <f ca="1">IFERROR(XIRR($C46:BE46,$C$41:BE$41),"NaN")</f>
        <v>NaN</v>
      </c>
      <c r="BF53" s="91" t="str">
        <f ca="1">IFERROR(XIRR($C46:BF46,$C$41:BF$41),"NaN")</f>
        <v>NaN</v>
      </c>
      <c r="BG53" s="91" t="str">
        <f ca="1">IFERROR(XIRR($C46:BG46,$C$41:BG$41),"NaN")</f>
        <v>NaN</v>
      </c>
      <c r="BH53" s="91" t="str">
        <f ca="1">IFERROR(XIRR($C46:BH46,$C$41:BH$41),"NaN")</f>
        <v>NaN</v>
      </c>
      <c r="BI53" s="91" t="str">
        <f ca="1">IFERROR(XIRR($C46:BI46,$C$41:BI$41),"NaN")</f>
        <v>NaN</v>
      </c>
      <c r="BJ53" s="91" t="str">
        <f ca="1">IFERROR(XIRR($C46:BJ46,$C$41:BJ$41),"NaN")</f>
        <v>NaN</v>
      </c>
      <c r="BK53" s="91" t="str">
        <f ca="1">IFERROR(XIRR($C46:BK46,$C$41:BK$41),"NaN")</f>
        <v>NaN</v>
      </c>
      <c r="BL53" s="91" t="str">
        <f ca="1">IFERROR(XIRR($C46:BL46,$C$41:BL$41),"NaN")</f>
        <v>NaN</v>
      </c>
      <c r="BM53" s="91" t="str">
        <f ca="1">IFERROR(XIRR($C46:BM46,$C$41:BM$41),"NaN")</f>
        <v>NaN</v>
      </c>
      <c r="BN53" s="91" t="str">
        <f ca="1">IFERROR(XIRR($C46:BN46,$C$41:BN$41),"NaN")</f>
        <v>NaN</v>
      </c>
      <c r="BO53" s="91" t="str">
        <f ca="1">IFERROR(XIRR($C46:BO46,$C$41:BO$41),"NaN")</f>
        <v>NaN</v>
      </c>
      <c r="BP53" s="91" t="str">
        <f ca="1">IFERROR(XIRR($C46:BP46,$C$41:BP$41),"NaN")</f>
        <v>NaN</v>
      </c>
      <c r="BQ53" s="91" t="str">
        <f ca="1">IFERROR(XIRR($C46:BQ46,$C$41:BQ$41),"NaN")</f>
        <v>NaN</v>
      </c>
      <c r="BR53" s="91" t="str">
        <f ca="1">IFERROR(XIRR($C46:BR46,$C$41:BR$41),"NaN")</f>
        <v>NaN</v>
      </c>
      <c r="BS53" s="91" t="str">
        <f ca="1">IFERROR(XIRR($C46:BS46,$C$41:BS$41),"NaN")</f>
        <v>NaN</v>
      </c>
      <c r="BT53" s="91" t="str">
        <f ca="1">IFERROR(XIRR($C46:BT46,$C$41:BT$41),"NaN")</f>
        <v>NaN</v>
      </c>
      <c r="BU53" s="91" t="str">
        <f ca="1">IFERROR(XIRR($C46:BU46,$C$41:BU$41),"NaN")</f>
        <v>NaN</v>
      </c>
      <c r="BV53" s="91" t="str">
        <f ca="1">IFERROR(XIRR($C46:BV46,$C$41:BV$41),"NaN")</f>
        <v>NaN</v>
      </c>
      <c r="BW53" s="91" t="str">
        <f ca="1">IFERROR(XIRR($C46:BW46,$C$41:BW$41),"NaN")</f>
        <v>NaN</v>
      </c>
      <c r="BX53" s="91" t="str">
        <f ca="1">IFERROR(XIRR($C46:BX46,$C$41:BX$41),"NaN")</f>
        <v>NaN</v>
      </c>
      <c r="BY53" s="91" t="str">
        <f ca="1">IFERROR(XIRR($C46:BY46,$C$41:BY$41),"NaN")</f>
        <v>NaN</v>
      </c>
      <c r="BZ53" s="91" t="str">
        <f ca="1">IFERROR(XIRR($C46:BZ46,$C$41:BZ$41),"NaN")</f>
        <v>NaN</v>
      </c>
      <c r="CA53" s="91" t="str">
        <f ca="1">IFERROR(XIRR($C46:CA46,$C$41:CA$41),"NaN")</f>
        <v>NaN</v>
      </c>
      <c r="CB53" s="91" t="str">
        <f ca="1">IFERROR(XIRR($C46:CB46,$C$41:CB$41),"NaN")</f>
        <v>NaN</v>
      </c>
      <c r="CC53" s="91" t="str">
        <f ca="1">IFERROR(XIRR($C46:CC46,$C$41:CC$41),"NaN")</f>
        <v>NaN</v>
      </c>
      <c r="CD53" s="91" t="str">
        <f ca="1">IFERROR(XIRR($C46:CD46,$C$41:CD$41),"NaN")</f>
        <v>NaN</v>
      </c>
      <c r="CE53" s="91" t="str">
        <f ca="1">IFERROR(XIRR($C46:CE46,$C$41:CE$41),"NaN")</f>
        <v>NaN</v>
      </c>
      <c r="CF53" s="91" t="str">
        <f ca="1">IFERROR(XIRR($C46:CF46,$C$41:CF$41),"NaN")</f>
        <v>NaN</v>
      </c>
      <c r="CG53" s="91" t="str">
        <f ca="1">IFERROR(XIRR($C46:CG46,$C$41:CG$41),"NaN")</f>
        <v>NaN</v>
      </c>
      <c r="CH53" s="91" t="str">
        <f ca="1">IFERROR(XIRR($C46:CH46,$C$41:CH$41),"NaN")</f>
        <v>NaN</v>
      </c>
      <c r="CI53" s="91" t="str">
        <f ca="1">IFERROR(XIRR($C46:CI46,$C$41:CI$41),"NaN")</f>
        <v>NaN</v>
      </c>
      <c r="CJ53" s="91" t="str">
        <f ca="1">IFERROR(XIRR($C46:CJ46,$C$41:CJ$41),"NaN")</f>
        <v>NaN</v>
      </c>
      <c r="CK53" s="91" t="str">
        <f ca="1">IFERROR(XIRR($C46:CK46,$C$41:CK$41),"NaN")</f>
        <v>NaN</v>
      </c>
      <c r="CL53" s="91" t="str">
        <f ca="1">IFERROR(XIRR($C46:CL46,$C$41:CL$41),"NaN")</f>
        <v>NaN</v>
      </c>
      <c r="CM53" s="91" t="str">
        <f ca="1">IFERROR(XIRR($C46:CM46,$C$41:CM$41),"NaN")</f>
        <v>NaN</v>
      </c>
      <c r="CN53" s="91" t="str">
        <f ca="1">IFERROR(XIRR($C46:CN46,$C$41:CN$41),"NaN")</f>
        <v>NaN</v>
      </c>
      <c r="CO53" s="91" t="str">
        <f ca="1">IFERROR(XIRR($C46:CO46,$C$41:CO$41),"NaN")</f>
        <v>NaN</v>
      </c>
      <c r="CP53" s="91" t="str">
        <f ca="1">IFERROR(XIRR($C46:CP46,$C$41:CP$41),"NaN")</f>
        <v>NaN</v>
      </c>
      <c r="CQ53" s="91" t="str">
        <f ca="1">IFERROR(XIRR($C46:CQ46,$C$41:CQ$41),"NaN")</f>
        <v>NaN</v>
      </c>
      <c r="CR53" s="91" t="str">
        <f ca="1">IFERROR(XIRR($C46:CR46,$C$41:CR$41),"NaN")</f>
        <v>NaN</v>
      </c>
      <c r="CS53" s="91" t="str">
        <f ca="1">IFERROR(XIRR($C46:CS46,$C$41:CS$41),"NaN")</f>
        <v>NaN</v>
      </c>
      <c r="CT53" s="91" t="str">
        <f ca="1">IFERROR(XIRR($C46:CT46,$C$41:CT$41),"NaN")</f>
        <v>NaN</v>
      </c>
      <c r="CU53" s="91" t="str">
        <f ca="1">IFERROR(XIRR($C46:CU46,$C$41:CU$41),"NaN")</f>
        <v>NaN</v>
      </c>
      <c r="CV53" s="91" t="str">
        <f ca="1">IFERROR(XIRR($C46:CV46,$C$41:CV$41),"NaN")</f>
        <v>NaN</v>
      </c>
      <c r="CW53" s="91" t="str">
        <f ca="1">IFERROR(XIRR($C46:CW46,$C$41:CW$41),"NaN")</f>
        <v>NaN</v>
      </c>
      <c r="CX53" s="91" t="str">
        <f ca="1">IFERROR(XIRR($C46:CX46,$C$41:CX$41),"NaN")</f>
        <v>NaN</v>
      </c>
      <c r="CY53" s="91" t="str">
        <f ca="1">IFERROR(XIRR($C46:CY46,$C$41:CY$41),"NaN")</f>
        <v>NaN</v>
      </c>
      <c r="CZ53" s="91" t="str">
        <f ca="1">IFERROR(XIRR($C46:CZ46,$C$41:CZ$41),"NaN")</f>
        <v>NaN</v>
      </c>
      <c r="DA53" s="91" t="str">
        <f ca="1">IFERROR(XIRR($C46:DA46,$C$41:DA$41),"NaN")</f>
        <v>NaN</v>
      </c>
      <c r="DB53" s="91" t="str">
        <f ca="1">IFERROR(XIRR($C46:DB46,$C$41:DB$41),"NaN")</f>
        <v>NaN</v>
      </c>
      <c r="DC53" s="91" t="str">
        <f ca="1">IFERROR(XIRR($C46:DC46,$C$41:DC$41),"NaN")</f>
        <v>NaN</v>
      </c>
      <c r="DD53" s="91" t="str">
        <f ca="1">IFERROR(XIRR($C46:DD46,$C$41:DD$41),"NaN")</f>
        <v>NaN</v>
      </c>
      <c r="DE53" s="91" t="str">
        <f ca="1">IFERROR(XIRR($C46:DE46,$C$41:DE$41),"NaN")</f>
        <v>NaN</v>
      </c>
      <c r="DF53" s="91" t="str">
        <f ca="1">IFERROR(XIRR($C46:DF46,$C$41:DF$41),"NaN")</f>
        <v>NaN</v>
      </c>
      <c r="DG53" s="91" t="str">
        <f ca="1">IFERROR(XIRR($C46:DG46,$C$41:DG$41),"NaN")</f>
        <v>NaN</v>
      </c>
      <c r="DH53" s="91" t="str">
        <f ca="1">IFERROR(XIRR($C46:DH46,$C$41:DH$41),"NaN")</f>
        <v>NaN</v>
      </c>
      <c r="DI53" s="91" t="str">
        <f ca="1">IFERROR(XIRR($C46:DI46,$C$41:DI$41),"NaN")</f>
        <v>NaN</v>
      </c>
      <c r="DJ53" s="91" t="str">
        <f ca="1">IFERROR(XIRR($C46:DJ46,$C$41:DJ$41),"NaN")</f>
        <v>NaN</v>
      </c>
      <c r="DK53" s="91" t="str">
        <f ca="1">IFERROR(XIRR($C46:DK46,$C$41:DK$41),"NaN")</f>
        <v>NaN</v>
      </c>
      <c r="DL53" s="91" t="str">
        <f ca="1">IFERROR(XIRR($C46:DL46,$C$41:DL$41),"NaN")</f>
        <v>NaN</v>
      </c>
      <c r="DM53" s="91" t="str">
        <f ca="1">IFERROR(XIRR($C46:DM46,$C$41:DM$41),"NaN")</f>
        <v>NaN</v>
      </c>
      <c r="DN53" s="91" t="str">
        <f ca="1">IFERROR(XIRR($C46:DN46,$C$41:DN$41),"NaN")</f>
        <v>NaN</v>
      </c>
      <c r="DO53" s="91" t="str">
        <f ca="1">IFERROR(XIRR($C46:DO46,$C$41:DO$41),"NaN")</f>
        <v>NaN</v>
      </c>
      <c r="DP53" s="91" t="str">
        <f ca="1">IFERROR(XIRR($C46:DP46,$C$41:DP$41),"NaN")</f>
        <v>NaN</v>
      </c>
      <c r="DQ53" s="91" t="str">
        <f ca="1">IFERROR(XIRR($C46:DQ46,$C$41:DQ$41),"NaN")</f>
        <v>NaN</v>
      </c>
      <c r="DR53" s="91" t="str">
        <f ca="1">IFERROR(XIRR($C46:DR46,$C$41:DR$41),"NaN")</f>
        <v>NaN</v>
      </c>
      <c r="DS53" s="91" t="str">
        <f ca="1">IFERROR(XIRR($C46:DS46,$C$41:DS$41),"NaN")</f>
        <v>NaN</v>
      </c>
      <c r="DT53" s="91" t="str">
        <f ca="1">IFERROR(XIRR($C46:DT46,$C$41:DT$41),"NaN")</f>
        <v>NaN</v>
      </c>
      <c r="DU53" s="91" t="str">
        <f ca="1">IFERROR(XIRR($C46:DU46,$C$41:DU$41),"NaN")</f>
        <v>NaN</v>
      </c>
      <c r="DV53" s="91" t="str">
        <f ca="1">IFERROR(XIRR($C46:DV46,$C$41:DV$41),"NaN")</f>
        <v>NaN</v>
      </c>
      <c r="DW53" s="91" t="str">
        <f ca="1">IFERROR(XIRR($C46:DW46,$C$41:DW$41),"NaN")</f>
        <v>NaN</v>
      </c>
      <c r="DX53" s="91" t="str">
        <f ca="1">IFERROR(XIRR($C46:DX46,$C$41:DX$41),"NaN")</f>
        <v>NaN</v>
      </c>
      <c r="DY53" s="91" t="str">
        <f ca="1">IFERROR(XIRR($C46:DY46,$C$41:DY$41),"NaN")</f>
        <v>NaN</v>
      </c>
      <c r="DZ53" s="91" t="str">
        <f ca="1">IFERROR(XIRR($C46:DZ46,$C$41:DZ$41),"NaN")</f>
        <v>NaN</v>
      </c>
      <c r="EA53" s="91" t="str">
        <f ca="1">IFERROR(XIRR($C46:EA46,$C$41:EA$41),"NaN")</f>
        <v>NaN</v>
      </c>
      <c r="EB53" s="91" t="str">
        <f ca="1">IFERROR(XIRR($C46:EB46,$C$41:EB$41),"NaN")</f>
        <v>NaN</v>
      </c>
      <c r="EC53" s="91" t="str">
        <f ca="1">IFERROR(XIRR($C46:EC46,$C$41:EC$41),"NaN")</f>
        <v>NaN</v>
      </c>
      <c r="ED53" s="91" t="str">
        <f ca="1">IFERROR(XIRR($C46:ED46,$C$41:ED$41),"NaN")</f>
        <v>NaN</v>
      </c>
      <c r="EE53" s="91" t="str">
        <f ca="1">IFERROR(XIRR($C46:EE46,$C$41:EE$41),"NaN")</f>
        <v>NaN</v>
      </c>
      <c r="EF53" s="91" t="str">
        <f ca="1">IFERROR(XIRR($C46:EF46,$C$41:EF$41),"NaN")</f>
        <v>NaN</v>
      </c>
      <c r="EG53" s="91" t="str">
        <f ca="1">IFERROR(XIRR($C46:EG46,$C$41:EG$41),"NaN")</f>
        <v>NaN</v>
      </c>
      <c r="EH53" s="91" t="str">
        <f ca="1">IFERROR(XIRR($C46:EH46,$C$41:EH$41),"NaN")</f>
        <v>NaN</v>
      </c>
      <c r="EI53" s="91" t="str">
        <f ca="1">IFERROR(XIRR($C46:EI46,$C$41:EI$41),"NaN")</f>
        <v>NaN</v>
      </c>
      <c r="EJ53" s="91" t="str">
        <f ca="1">IFERROR(XIRR($C46:EJ46,$C$41:EJ$41),"NaN")</f>
        <v>NaN</v>
      </c>
      <c r="EK53" s="91" t="str">
        <f ca="1">IFERROR(XIRR($C46:EK46,$C$41:EK$41),"NaN")</f>
        <v>NaN</v>
      </c>
      <c r="EL53" s="91" t="str">
        <f ca="1">IFERROR(XIRR($C46:EL46,$C$41:EL$41),"NaN")</f>
        <v>NaN</v>
      </c>
      <c r="EM53" s="91" t="str">
        <f ca="1">IFERROR(XIRR($C46:EM46,$C$41:EM$41),"NaN")</f>
        <v>NaN</v>
      </c>
      <c r="EN53" s="91" t="str">
        <f ca="1">IFERROR(XIRR($C46:EN46,$C$41:EN$41),"NaN")</f>
        <v>NaN</v>
      </c>
      <c r="EO53" s="91" t="str">
        <f ca="1">IFERROR(XIRR($C46:EO46,$C$41:EO$41),"NaN")</f>
        <v>NaN</v>
      </c>
      <c r="EP53" s="91" t="str">
        <f ca="1">IFERROR(XIRR($C46:EP46,$C$41:EP$41),"NaN")</f>
        <v>NaN</v>
      </c>
      <c r="EQ53" s="91" t="str">
        <f ca="1">IFERROR(XIRR($C46:EQ46,$C$41:EQ$41),"NaN")</f>
        <v>NaN</v>
      </c>
      <c r="ER53" s="91" t="str">
        <f ca="1">IFERROR(XIRR($C46:ER46,$C$41:ER$41),"NaN")</f>
        <v>NaN</v>
      </c>
      <c r="ES53" s="91" t="str">
        <f ca="1">IFERROR(XIRR($C46:ES46,$C$41:ES$41),"NaN")</f>
        <v>NaN</v>
      </c>
      <c r="ET53" s="91" t="str">
        <f ca="1">IFERROR(XIRR($C46:ET46,$C$41:ET$41),"NaN")</f>
        <v>NaN</v>
      </c>
      <c r="EU53" s="91" t="str">
        <f ca="1">IFERROR(XIRR($C46:EU46,$C$41:EU$41),"NaN")</f>
        <v>NaN</v>
      </c>
      <c r="EV53" s="91" t="str">
        <f ca="1">IFERROR(XIRR($C46:EV46,$C$41:EV$41),"NaN")</f>
        <v>NaN</v>
      </c>
      <c r="EW53" s="91" t="str">
        <f ca="1">IFERROR(XIRR($C46:EW46,$C$41:EW$41),"NaN")</f>
        <v>NaN</v>
      </c>
      <c r="EX53" s="91" t="str">
        <f ca="1">IFERROR(XIRR($C46:EX46,$C$41:EX$41),"NaN")</f>
        <v>NaN</v>
      </c>
      <c r="EY53" s="91" t="str">
        <f ca="1">IFERROR(XIRR($C46:EY46,$C$41:EY$41),"NaN")</f>
        <v>NaN</v>
      </c>
      <c r="EZ53" s="91" t="str">
        <f ca="1">IFERROR(XIRR($C46:EZ46,$C$41:EZ$41),"NaN")</f>
        <v>NaN</v>
      </c>
      <c r="FA53" s="91" t="str">
        <f ca="1">IFERROR(XIRR($C46:FA46,$C$41:FA$41),"NaN")</f>
        <v>NaN</v>
      </c>
      <c r="FB53" s="91" t="str">
        <f ca="1">IFERROR(XIRR($C46:FB46,$C$41:FB$41),"NaN")</f>
        <v>NaN</v>
      </c>
      <c r="FC53" s="91" t="str">
        <f ca="1">IFERROR(XIRR($C46:FC46,$C$41:FC$41),"NaN")</f>
        <v>NaN</v>
      </c>
      <c r="FD53" s="91" t="str">
        <f ca="1">IFERROR(XIRR($C46:FD46,$C$41:FD$41),"NaN")</f>
        <v>NaN</v>
      </c>
      <c r="FE53" s="91" t="str">
        <f ca="1">IFERROR(XIRR($C46:FE46,$C$41:FE$41),"NaN")</f>
        <v>NaN</v>
      </c>
      <c r="FF53" s="91" t="str">
        <f ca="1">IFERROR(XIRR($C46:FF46,$C$41:FF$41),"NaN")</f>
        <v>NaN</v>
      </c>
      <c r="FG53" s="91" t="str">
        <f ca="1">IFERROR(XIRR($C46:FG46,$C$41:FG$41),"NaN")</f>
        <v>NaN</v>
      </c>
      <c r="FH53" s="91" t="str">
        <f ca="1">IFERROR(XIRR($C46:FH46,$C$41:FH$41),"NaN")</f>
        <v>NaN</v>
      </c>
      <c r="FI53" s="91" t="str">
        <f ca="1">IFERROR(XIRR($C46:FI46,$C$41:FI$41),"NaN")</f>
        <v>NaN</v>
      </c>
      <c r="FJ53" s="91" t="str">
        <f ca="1">IFERROR(XIRR($C46:FJ46,$C$41:FJ$41),"NaN")</f>
        <v>NaN</v>
      </c>
      <c r="FK53" s="91" t="str">
        <f ca="1">IFERROR(XIRR($C46:FK46,$C$41:FK$41),"NaN")</f>
        <v>NaN</v>
      </c>
      <c r="FL53" s="91" t="str">
        <f ca="1">IFERROR(XIRR($C46:FL46,$C$41:FL$41),"NaN")</f>
        <v>NaN</v>
      </c>
      <c r="FM53" s="91" t="str">
        <f ca="1">IFERROR(XIRR($C46:FM46,$C$41:FM$41),"NaN")</f>
        <v>NaN</v>
      </c>
      <c r="FN53" s="91" t="str">
        <f ca="1">IFERROR(XIRR($C46:FN46,$C$41:FN$41),"NaN")</f>
        <v>NaN</v>
      </c>
      <c r="FO53" s="91" t="str">
        <f ca="1">IFERROR(XIRR($C46:FO46,$C$41:FO$41),"NaN")</f>
        <v>NaN</v>
      </c>
      <c r="FP53" s="91" t="str">
        <f ca="1">IFERROR(XIRR($C46:FP46,$C$41:FP$41),"NaN")</f>
        <v>NaN</v>
      </c>
      <c r="FQ53" s="91" t="str">
        <f ca="1">IFERROR(XIRR($C46:FQ46,$C$41:FQ$41),"NaN")</f>
        <v>NaN</v>
      </c>
      <c r="FR53" s="91" t="str">
        <f ca="1">IFERROR(XIRR($C46:FR46,$C$41:FR$41),"NaN")</f>
        <v>NaN</v>
      </c>
      <c r="FS53" s="91" t="str">
        <f ca="1">IFERROR(XIRR($C46:FS46,$C$41:FS$41),"NaN")</f>
        <v>NaN</v>
      </c>
      <c r="FT53" s="91" t="str">
        <f ca="1">IFERROR(XIRR($C46:FT46,$C$41:FT$41),"NaN")</f>
        <v>NaN</v>
      </c>
      <c r="FU53" s="91" t="str">
        <f ca="1">IFERROR(XIRR($C46:FU46,$C$41:FU$41),"NaN")</f>
        <v>NaN</v>
      </c>
      <c r="FV53" s="91" t="str">
        <f ca="1">IFERROR(XIRR($C46:FV46,$C$41:FV$41),"NaN")</f>
        <v>NaN</v>
      </c>
      <c r="FW53" s="91" t="str">
        <f ca="1">IFERROR(XIRR($C46:FW46,$C$41:FW$41),"NaN")</f>
        <v>NaN</v>
      </c>
      <c r="FX53" s="91" t="str">
        <f ca="1">IFERROR(XIRR($C46:FX46,$C$41:FX$41),"NaN")</f>
        <v>NaN</v>
      </c>
      <c r="FY53" s="91" t="str">
        <f ca="1">IFERROR(XIRR($C46:FY46,$C$41:FY$41),"NaN")</f>
        <v>NaN</v>
      </c>
      <c r="FZ53" s="91" t="str">
        <f ca="1">IFERROR(XIRR($C46:FZ46,$C$41:FZ$41),"NaN")</f>
        <v>NaN</v>
      </c>
      <c r="GA53" s="462" t="str">
        <f ca="1">IFERROR(XIRR($C46:GA46,$C$41:GA$41),"NaN")</f>
        <v>NaN</v>
      </c>
    </row>
    <row r="54" spans="1:183" x14ac:dyDescent="0.15">
      <c r="A54" s="323" t="s">
        <v>668</v>
      </c>
      <c r="C54" s="461"/>
      <c r="D54" s="91" t="str">
        <f ca="1">IFERROR(XIRR($C47:D47,$C$41:D$41),"NaN")</f>
        <v>NaN</v>
      </c>
      <c r="E54" s="91" t="str">
        <f ca="1">IFERROR(XIRR($C47:E47,$C$41:E$41),"NaN")</f>
        <v>NaN</v>
      </c>
      <c r="F54" s="91" t="str">
        <f ca="1">IFERROR(XIRR($C47:F47,$C$41:F$41),"NaN")</f>
        <v>NaN</v>
      </c>
      <c r="G54" s="91" t="str">
        <f ca="1">IFERROR(XIRR($C47:G47,$C$41:G$41),"NaN")</f>
        <v>NaN</v>
      </c>
      <c r="H54" s="91" t="str">
        <f ca="1">IFERROR(XIRR($C47:H47,$C$41:H$41),"NaN")</f>
        <v>NaN</v>
      </c>
      <c r="I54" s="91" t="str">
        <f ca="1">IFERROR(XIRR($C47:I47,$C$41:I$41),"NaN")</f>
        <v>NaN</v>
      </c>
      <c r="J54" s="91" t="str">
        <f ca="1">IFERROR(XIRR($C47:J47,$C$41:J$41),"NaN")</f>
        <v>NaN</v>
      </c>
      <c r="K54" s="91" t="str">
        <f ca="1">IFERROR(XIRR($C47:K47,$C$41:K$41),"NaN")</f>
        <v>NaN</v>
      </c>
      <c r="L54" s="91" t="str">
        <f ca="1">IFERROR(XIRR($C47:L47,$C$41:L$41),"NaN")</f>
        <v>NaN</v>
      </c>
      <c r="M54" s="91" t="str">
        <f ca="1">IFERROR(XIRR($C47:M47,$C$41:M$41),"NaN")</f>
        <v>NaN</v>
      </c>
      <c r="N54" s="91" t="str">
        <f ca="1">IFERROR(XIRR($C47:N47,$C$41:N$41),"NaN")</f>
        <v>NaN</v>
      </c>
      <c r="O54" s="91" t="str">
        <f ca="1">IFERROR(XIRR($C47:O47,$C$41:O$41),"NaN")</f>
        <v>NaN</v>
      </c>
      <c r="P54" s="91" t="str">
        <f ca="1">IFERROR(XIRR($C47:P47,$C$41:P$41),"NaN")</f>
        <v>NaN</v>
      </c>
      <c r="Q54" s="91" t="str">
        <f ca="1">IFERROR(XIRR($C47:Q47,$C$41:Q$41),"NaN")</f>
        <v>NaN</v>
      </c>
      <c r="R54" s="91" t="str">
        <f ca="1">IFERROR(XIRR($C47:R47,$C$41:R$41),"NaN")</f>
        <v>NaN</v>
      </c>
      <c r="S54" s="91" t="str">
        <f ca="1">IFERROR(XIRR($C47:S47,$C$41:S$41),"NaN")</f>
        <v>NaN</v>
      </c>
      <c r="T54" s="91" t="str">
        <f ca="1">IFERROR(XIRR($C47:T47,$C$41:T$41),"NaN")</f>
        <v>NaN</v>
      </c>
      <c r="U54" s="91" t="str">
        <f ca="1">IFERROR(XIRR($C47:U47,$C$41:U$41),"NaN")</f>
        <v>NaN</v>
      </c>
      <c r="V54" s="91" t="str">
        <f ca="1">IFERROR(XIRR($C47:V47,$C$41:V$41),"NaN")</f>
        <v>NaN</v>
      </c>
      <c r="W54" s="91" t="str">
        <f ca="1">IFERROR(XIRR($C47:W47,$C$41:W$41),"NaN")</f>
        <v>NaN</v>
      </c>
      <c r="X54" s="91" t="str">
        <f ca="1">IFERROR(XIRR($C47:X47,$C$41:X$41),"NaN")</f>
        <v>NaN</v>
      </c>
      <c r="Y54" s="91" t="str">
        <f ca="1">IFERROR(XIRR($C47:Y47,$C$41:Y$41),"NaN")</f>
        <v>NaN</v>
      </c>
      <c r="Z54" s="91" t="str">
        <f ca="1">IFERROR(XIRR($C47:Z47,$C$41:Z$41),"NaN")</f>
        <v>NaN</v>
      </c>
      <c r="AA54" s="91" t="str">
        <f ca="1">IFERROR(XIRR($C47:AA47,$C$41:AA$41),"NaN")</f>
        <v>NaN</v>
      </c>
      <c r="AB54" s="91" t="str">
        <f ca="1">IFERROR(XIRR($C47:AB47,$C$41:AB$41),"NaN")</f>
        <v>NaN</v>
      </c>
      <c r="AC54" s="91" t="str">
        <f ca="1">IFERROR(XIRR($C47:AC47,$C$41:AC$41),"NaN")</f>
        <v>NaN</v>
      </c>
      <c r="AD54" s="91" t="str">
        <f ca="1">IFERROR(XIRR($C47:AD47,$C$41:AD$41),"NaN")</f>
        <v>NaN</v>
      </c>
      <c r="AE54" s="91" t="str">
        <f ca="1">IFERROR(XIRR($C47:AE47,$C$41:AE$41),"NaN")</f>
        <v>NaN</v>
      </c>
      <c r="AF54" s="91" t="str">
        <f ca="1">IFERROR(XIRR($C47:AF47,$C$41:AF$41),"NaN")</f>
        <v>NaN</v>
      </c>
      <c r="AG54" s="91" t="str">
        <f ca="1">IFERROR(XIRR($C47:AG47,$C$41:AG$41),"NaN")</f>
        <v>NaN</v>
      </c>
      <c r="AH54" s="91" t="str">
        <f ca="1">IFERROR(XIRR($C47:AH47,$C$41:AH$41),"NaN")</f>
        <v>NaN</v>
      </c>
      <c r="AI54" s="91" t="str">
        <f ca="1">IFERROR(XIRR($C47:AI47,$C$41:AI$41),"NaN")</f>
        <v>NaN</v>
      </c>
      <c r="AJ54" s="91" t="str">
        <f ca="1">IFERROR(XIRR($C47:AJ47,$C$41:AJ$41),"NaN")</f>
        <v>NaN</v>
      </c>
      <c r="AK54" s="91" t="str">
        <f ca="1">IFERROR(XIRR($C47:AK47,$C$41:AK$41),"NaN")</f>
        <v>NaN</v>
      </c>
      <c r="AL54" s="91" t="str">
        <f ca="1">IFERROR(XIRR($C47:AL47,$C$41:AL$41),"NaN")</f>
        <v>NaN</v>
      </c>
      <c r="AM54" s="91" t="str">
        <f ca="1">IFERROR(XIRR($C47:AM47,$C$41:AM$41),"NaN")</f>
        <v>NaN</v>
      </c>
      <c r="AN54" s="91" t="str">
        <f ca="1">IFERROR(XIRR($C47:AN47,$C$41:AN$41),"NaN")</f>
        <v>NaN</v>
      </c>
      <c r="AO54" s="91" t="str">
        <f ca="1">IFERROR(XIRR($C47:AO47,$C$41:AO$41),"NaN")</f>
        <v>NaN</v>
      </c>
      <c r="AP54" s="91" t="str">
        <f ca="1">IFERROR(XIRR($C47:AP47,$C$41:AP$41),"NaN")</f>
        <v>NaN</v>
      </c>
      <c r="AQ54" s="91" t="str">
        <f ca="1">IFERROR(XIRR($C47:AQ47,$C$41:AQ$41),"NaN")</f>
        <v>NaN</v>
      </c>
      <c r="AR54" s="91" t="str">
        <f ca="1">IFERROR(XIRR($C47:AR47,$C$41:AR$41),"NaN")</f>
        <v>NaN</v>
      </c>
      <c r="AS54" s="91" t="str">
        <f ca="1">IFERROR(XIRR($C47:AS47,$C$41:AS$41),"NaN")</f>
        <v>NaN</v>
      </c>
      <c r="AT54" s="91" t="str">
        <f ca="1">IFERROR(XIRR($C47:AT47,$C$41:AT$41),"NaN")</f>
        <v>NaN</v>
      </c>
      <c r="AU54" s="91" t="str">
        <f ca="1">IFERROR(XIRR($C47:AU47,$C$41:AU$41),"NaN")</f>
        <v>NaN</v>
      </c>
      <c r="AV54" s="91" t="str">
        <f ca="1">IFERROR(XIRR($C47:AV47,$C$41:AV$41),"NaN")</f>
        <v>NaN</v>
      </c>
      <c r="AW54" s="91" t="str">
        <f ca="1">IFERROR(XIRR($C47:AW47,$C$41:AW$41),"NaN")</f>
        <v>NaN</v>
      </c>
      <c r="AX54" s="91" t="str">
        <f ca="1">IFERROR(XIRR($C47:AX47,$C$41:AX$41),"NaN")</f>
        <v>NaN</v>
      </c>
      <c r="AY54" s="91" t="str">
        <f ca="1">IFERROR(XIRR($C47:AY47,$C$41:AY$41),"NaN")</f>
        <v>NaN</v>
      </c>
      <c r="AZ54" s="91" t="str">
        <f ca="1">IFERROR(XIRR($C47:AZ47,$C$41:AZ$41),"NaN")</f>
        <v>NaN</v>
      </c>
      <c r="BA54" s="91" t="str">
        <f ca="1">IFERROR(XIRR($C47:BA47,$C$41:BA$41),"NaN")</f>
        <v>NaN</v>
      </c>
      <c r="BB54" s="91" t="str">
        <f ca="1">IFERROR(XIRR($C47:BB47,$C$41:BB$41),"NaN")</f>
        <v>NaN</v>
      </c>
      <c r="BC54" s="91" t="str">
        <f ca="1">IFERROR(XIRR($C47:BC47,$C$41:BC$41),"NaN")</f>
        <v>NaN</v>
      </c>
      <c r="BD54" s="91" t="str">
        <f ca="1">IFERROR(XIRR($C47:BD47,$C$41:BD$41),"NaN")</f>
        <v>NaN</v>
      </c>
      <c r="BE54" s="91" t="str">
        <f ca="1">IFERROR(XIRR($C47:BE47,$C$41:BE$41),"NaN")</f>
        <v>NaN</v>
      </c>
      <c r="BF54" s="91" t="str">
        <f ca="1">IFERROR(XIRR($C47:BF47,$C$41:BF$41),"NaN")</f>
        <v>NaN</v>
      </c>
      <c r="BG54" s="91" t="str">
        <f ca="1">IFERROR(XIRR($C47:BG47,$C$41:BG$41),"NaN")</f>
        <v>NaN</v>
      </c>
      <c r="BH54" s="91" t="str">
        <f ca="1">IFERROR(XIRR($C47:BH47,$C$41:BH$41),"NaN")</f>
        <v>NaN</v>
      </c>
      <c r="BI54" s="91" t="str">
        <f ca="1">IFERROR(XIRR($C47:BI47,$C$41:BI$41),"NaN")</f>
        <v>NaN</v>
      </c>
      <c r="BJ54" s="91" t="str">
        <f ca="1">IFERROR(XIRR($C47:BJ47,$C$41:BJ$41),"NaN")</f>
        <v>NaN</v>
      </c>
      <c r="BK54" s="91" t="str">
        <f ca="1">IFERROR(XIRR($C47:BK47,$C$41:BK$41),"NaN")</f>
        <v>NaN</v>
      </c>
      <c r="BL54" s="91" t="str">
        <f ca="1">IFERROR(XIRR($C47:BL47,$C$41:BL$41),"NaN")</f>
        <v>NaN</v>
      </c>
      <c r="BM54" s="91" t="str">
        <f ca="1">IFERROR(XIRR($C47:BM47,$C$41:BM$41),"NaN")</f>
        <v>NaN</v>
      </c>
      <c r="BN54" s="91" t="str">
        <f ca="1">IFERROR(XIRR($C47:BN47,$C$41:BN$41),"NaN")</f>
        <v>NaN</v>
      </c>
      <c r="BO54" s="91" t="str">
        <f ca="1">IFERROR(XIRR($C47:BO47,$C$41:BO$41),"NaN")</f>
        <v>NaN</v>
      </c>
      <c r="BP54" s="91" t="str">
        <f ca="1">IFERROR(XIRR($C47:BP47,$C$41:BP$41),"NaN")</f>
        <v>NaN</v>
      </c>
      <c r="BQ54" s="91" t="str">
        <f ca="1">IFERROR(XIRR($C47:BQ47,$C$41:BQ$41),"NaN")</f>
        <v>NaN</v>
      </c>
      <c r="BR54" s="91" t="str">
        <f ca="1">IFERROR(XIRR($C47:BR47,$C$41:BR$41),"NaN")</f>
        <v>NaN</v>
      </c>
      <c r="BS54" s="91" t="str">
        <f ca="1">IFERROR(XIRR($C47:BS47,$C$41:BS$41),"NaN")</f>
        <v>NaN</v>
      </c>
      <c r="BT54" s="91" t="str">
        <f ca="1">IFERROR(XIRR($C47:BT47,$C$41:BT$41),"NaN")</f>
        <v>NaN</v>
      </c>
      <c r="BU54" s="91" t="str">
        <f ca="1">IFERROR(XIRR($C47:BU47,$C$41:BU$41),"NaN")</f>
        <v>NaN</v>
      </c>
      <c r="BV54" s="91" t="str">
        <f ca="1">IFERROR(XIRR($C47:BV47,$C$41:BV$41),"NaN")</f>
        <v>NaN</v>
      </c>
      <c r="BW54" s="91" t="str">
        <f ca="1">IFERROR(XIRR($C47:BW47,$C$41:BW$41),"NaN")</f>
        <v>NaN</v>
      </c>
      <c r="BX54" s="91" t="str">
        <f ca="1">IFERROR(XIRR($C47:BX47,$C$41:BX$41),"NaN")</f>
        <v>NaN</v>
      </c>
      <c r="BY54" s="91" t="str">
        <f ca="1">IFERROR(XIRR($C47:BY47,$C$41:BY$41),"NaN")</f>
        <v>NaN</v>
      </c>
      <c r="BZ54" s="91" t="str">
        <f ca="1">IFERROR(XIRR($C47:BZ47,$C$41:BZ$41),"NaN")</f>
        <v>NaN</v>
      </c>
      <c r="CA54" s="91" t="str">
        <f ca="1">IFERROR(XIRR($C47:CA47,$C$41:CA$41),"NaN")</f>
        <v>NaN</v>
      </c>
      <c r="CB54" s="91" t="str">
        <f ca="1">IFERROR(XIRR($C47:CB47,$C$41:CB$41),"NaN")</f>
        <v>NaN</v>
      </c>
      <c r="CC54" s="91" t="str">
        <f ca="1">IFERROR(XIRR($C47:CC47,$C$41:CC$41),"NaN")</f>
        <v>NaN</v>
      </c>
      <c r="CD54" s="91" t="str">
        <f ca="1">IFERROR(XIRR($C47:CD47,$C$41:CD$41),"NaN")</f>
        <v>NaN</v>
      </c>
      <c r="CE54" s="91" t="str">
        <f ca="1">IFERROR(XIRR($C47:CE47,$C$41:CE$41),"NaN")</f>
        <v>NaN</v>
      </c>
      <c r="CF54" s="91" t="str">
        <f ca="1">IFERROR(XIRR($C47:CF47,$C$41:CF$41),"NaN")</f>
        <v>NaN</v>
      </c>
      <c r="CG54" s="91" t="str">
        <f ca="1">IFERROR(XIRR($C47:CG47,$C$41:CG$41),"NaN")</f>
        <v>NaN</v>
      </c>
      <c r="CH54" s="91" t="str">
        <f ca="1">IFERROR(XIRR($C47:CH47,$C$41:CH$41),"NaN")</f>
        <v>NaN</v>
      </c>
      <c r="CI54" s="91" t="str">
        <f ca="1">IFERROR(XIRR($C47:CI47,$C$41:CI$41),"NaN")</f>
        <v>NaN</v>
      </c>
      <c r="CJ54" s="91" t="str">
        <f ca="1">IFERROR(XIRR($C47:CJ47,$C$41:CJ$41),"NaN")</f>
        <v>NaN</v>
      </c>
      <c r="CK54" s="91" t="str">
        <f ca="1">IFERROR(XIRR($C47:CK47,$C$41:CK$41),"NaN")</f>
        <v>NaN</v>
      </c>
      <c r="CL54" s="91" t="str">
        <f ca="1">IFERROR(XIRR($C47:CL47,$C$41:CL$41),"NaN")</f>
        <v>NaN</v>
      </c>
      <c r="CM54" s="91" t="str">
        <f ca="1">IFERROR(XIRR($C47:CM47,$C$41:CM$41),"NaN")</f>
        <v>NaN</v>
      </c>
      <c r="CN54" s="91" t="str">
        <f ca="1">IFERROR(XIRR($C47:CN47,$C$41:CN$41),"NaN")</f>
        <v>NaN</v>
      </c>
      <c r="CO54" s="91" t="str">
        <f ca="1">IFERROR(XIRR($C47:CO47,$C$41:CO$41),"NaN")</f>
        <v>NaN</v>
      </c>
      <c r="CP54" s="91" t="str">
        <f ca="1">IFERROR(XIRR($C47:CP47,$C$41:CP$41),"NaN")</f>
        <v>NaN</v>
      </c>
      <c r="CQ54" s="91" t="str">
        <f ca="1">IFERROR(XIRR($C47:CQ47,$C$41:CQ$41),"NaN")</f>
        <v>NaN</v>
      </c>
      <c r="CR54" s="91" t="str">
        <f ca="1">IFERROR(XIRR($C47:CR47,$C$41:CR$41),"NaN")</f>
        <v>NaN</v>
      </c>
      <c r="CS54" s="91" t="str">
        <f ca="1">IFERROR(XIRR($C47:CS47,$C$41:CS$41),"NaN")</f>
        <v>NaN</v>
      </c>
      <c r="CT54" s="91" t="str">
        <f ca="1">IFERROR(XIRR($C47:CT47,$C$41:CT$41),"NaN")</f>
        <v>NaN</v>
      </c>
      <c r="CU54" s="91" t="str">
        <f ca="1">IFERROR(XIRR($C47:CU47,$C$41:CU$41),"NaN")</f>
        <v>NaN</v>
      </c>
      <c r="CV54" s="91" t="str">
        <f ca="1">IFERROR(XIRR($C47:CV47,$C$41:CV$41),"NaN")</f>
        <v>NaN</v>
      </c>
      <c r="CW54" s="91" t="str">
        <f ca="1">IFERROR(XIRR($C47:CW47,$C$41:CW$41),"NaN")</f>
        <v>NaN</v>
      </c>
      <c r="CX54" s="91" t="str">
        <f ca="1">IFERROR(XIRR($C47:CX47,$C$41:CX$41),"NaN")</f>
        <v>NaN</v>
      </c>
      <c r="CY54" s="91" t="str">
        <f ca="1">IFERROR(XIRR($C47:CY47,$C$41:CY$41),"NaN")</f>
        <v>NaN</v>
      </c>
      <c r="CZ54" s="91" t="str">
        <f ca="1">IFERROR(XIRR($C47:CZ47,$C$41:CZ$41),"NaN")</f>
        <v>NaN</v>
      </c>
      <c r="DA54" s="91" t="str">
        <f ca="1">IFERROR(XIRR($C47:DA47,$C$41:DA$41),"NaN")</f>
        <v>NaN</v>
      </c>
      <c r="DB54" s="91" t="str">
        <f ca="1">IFERROR(XIRR($C47:DB47,$C$41:DB$41),"NaN")</f>
        <v>NaN</v>
      </c>
      <c r="DC54" s="91" t="str">
        <f ca="1">IFERROR(XIRR($C47:DC47,$C$41:DC$41),"NaN")</f>
        <v>NaN</v>
      </c>
      <c r="DD54" s="91" t="str">
        <f ca="1">IFERROR(XIRR($C47:DD47,$C$41:DD$41),"NaN")</f>
        <v>NaN</v>
      </c>
      <c r="DE54" s="91" t="str">
        <f ca="1">IFERROR(XIRR($C47:DE47,$C$41:DE$41),"NaN")</f>
        <v>NaN</v>
      </c>
      <c r="DF54" s="91" t="str">
        <f ca="1">IFERROR(XIRR($C47:DF47,$C$41:DF$41),"NaN")</f>
        <v>NaN</v>
      </c>
      <c r="DG54" s="91" t="str">
        <f ca="1">IFERROR(XIRR($C47:DG47,$C$41:DG$41),"NaN")</f>
        <v>NaN</v>
      </c>
      <c r="DH54" s="91" t="str">
        <f ca="1">IFERROR(XIRR($C47:DH47,$C$41:DH$41),"NaN")</f>
        <v>NaN</v>
      </c>
      <c r="DI54" s="91" t="str">
        <f ca="1">IFERROR(XIRR($C47:DI47,$C$41:DI$41),"NaN")</f>
        <v>NaN</v>
      </c>
      <c r="DJ54" s="91" t="str">
        <f ca="1">IFERROR(XIRR($C47:DJ47,$C$41:DJ$41),"NaN")</f>
        <v>NaN</v>
      </c>
      <c r="DK54" s="91" t="str">
        <f ca="1">IFERROR(XIRR($C47:DK47,$C$41:DK$41),"NaN")</f>
        <v>NaN</v>
      </c>
      <c r="DL54" s="91" t="str">
        <f ca="1">IFERROR(XIRR($C47:DL47,$C$41:DL$41),"NaN")</f>
        <v>NaN</v>
      </c>
      <c r="DM54" s="91" t="str">
        <f ca="1">IFERROR(XIRR($C47:DM47,$C$41:DM$41),"NaN")</f>
        <v>NaN</v>
      </c>
      <c r="DN54" s="91" t="str">
        <f ca="1">IFERROR(XIRR($C47:DN47,$C$41:DN$41),"NaN")</f>
        <v>NaN</v>
      </c>
      <c r="DO54" s="91" t="str">
        <f ca="1">IFERROR(XIRR($C47:DO47,$C$41:DO$41),"NaN")</f>
        <v>NaN</v>
      </c>
      <c r="DP54" s="91" t="str">
        <f ca="1">IFERROR(XIRR($C47:DP47,$C$41:DP$41),"NaN")</f>
        <v>NaN</v>
      </c>
      <c r="DQ54" s="91" t="str">
        <f ca="1">IFERROR(XIRR($C47:DQ47,$C$41:DQ$41),"NaN")</f>
        <v>NaN</v>
      </c>
      <c r="DR54" s="91" t="str">
        <f ca="1">IFERROR(XIRR($C47:DR47,$C$41:DR$41),"NaN")</f>
        <v>NaN</v>
      </c>
      <c r="DS54" s="91" t="str">
        <f ca="1">IFERROR(XIRR($C47:DS47,$C$41:DS$41),"NaN")</f>
        <v>NaN</v>
      </c>
      <c r="DT54" s="91" t="str">
        <f ca="1">IFERROR(XIRR($C47:DT47,$C$41:DT$41),"NaN")</f>
        <v>NaN</v>
      </c>
      <c r="DU54" s="91" t="str">
        <f ca="1">IFERROR(XIRR($C47:DU47,$C$41:DU$41),"NaN")</f>
        <v>NaN</v>
      </c>
      <c r="DV54" s="91" t="str">
        <f ca="1">IFERROR(XIRR($C47:DV47,$C$41:DV$41),"NaN")</f>
        <v>NaN</v>
      </c>
      <c r="DW54" s="91" t="str">
        <f ca="1">IFERROR(XIRR($C47:DW47,$C$41:DW$41),"NaN")</f>
        <v>NaN</v>
      </c>
      <c r="DX54" s="91" t="str">
        <f ca="1">IFERROR(XIRR($C47:DX47,$C$41:DX$41),"NaN")</f>
        <v>NaN</v>
      </c>
      <c r="DY54" s="91" t="str">
        <f ca="1">IFERROR(XIRR($C47:DY47,$C$41:DY$41),"NaN")</f>
        <v>NaN</v>
      </c>
      <c r="DZ54" s="91" t="str">
        <f ca="1">IFERROR(XIRR($C47:DZ47,$C$41:DZ$41),"NaN")</f>
        <v>NaN</v>
      </c>
      <c r="EA54" s="91" t="str">
        <f ca="1">IFERROR(XIRR($C47:EA47,$C$41:EA$41),"NaN")</f>
        <v>NaN</v>
      </c>
      <c r="EB54" s="91" t="str">
        <f ca="1">IFERROR(XIRR($C47:EB47,$C$41:EB$41),"NaN")</f>
        <v>NaN</v>
      </c>
      <c r="EC54" s="91" t="str">
        <f ca="1">IFERROR(XIRR($C47:EC47,$C$41:EC$41),"NaN")</f>
        <v>NaN</v>
      </c>
      <c r="ED54" s="91" t="str">
        <f ca="1">IFERROR(XIRR($C47:ED47,$C$41:ED$41),"NaN")</f>
        <v>NaN</v>
      </c>
      <c r="EE54" s="91" t="str">
        <f ca="1">IFERROR(XIRR($C47:EE47,$C$41:EE$41),"NaN")</f>
        <v>NaN</v>
      </c>
      <c r="EF54" s="91" t="str">
        <f ca="1">IFERROR(XIRR($C47:EF47,$C$41:EF$41),"NaN")</f>
        <v>NaN</v>
      </c>
      <c r="EG54" s="91" t="str">
        <f ca="1">IFERROR(XIRR($C47:EG47,$C$41:EG$41),"NaN")</f>
        <v>NaN</v>
      </c>
      <c r="EH54" s="91" t="str">
        <f ca="1">IFERROR(XIRR($C47:EH47,$C$41:EH$41),"NaN")</f>
        <v>NaN</v>
      </c>
      <c r="EI54" s="91" t="str">
        <f ca="1">IFERROR(XIRR($C47:EI47,$C$41:EI$41),"NaN")</f>
        <v>NaN</v>
      </c>
      <c r="EJ54" s="91" t="str">
        <f ca="1">IFERROR(XIRR($C47:EJ47,$C$41:EJ$41),"NaN")</f>
        <v>NaN</v>
      </c>
      <c r="EK54" s="91" t="str">
        <f ca="1">IFERROR(XIRR($C47:EK47,$C$41:EK$41),"NaN")</f>
        <v>NaN</v>
      </c>
      <c r="EL54" s="91" t="str">
        <f ca="1">IFERROR(XIRR($C47:EL47,$C$41:EL$41),"NaN")</f>
        <v>NaN</v>
      </c>
      <c r="EM54" s="91" t="str">
        <f ca="1">IFERROR(XIRR($C47:EM47,$C$41:EM$41),"NaN")</f>
        <v>NaN</v>
      </c>
      <c r="EN54" s="91" t="str">
        <f ca="1">IFERROR(XIRR($C47:EN47,$C$41:EN$41),"NaN")</f>
        <v>NaN</v>
      </c>
      <c r="EO54" s="91" t="str">
        <f ca="1">IFERROR(XIRR($C47:EO47,$C$41:EO$41),"NaN")</f>
        <v>NaN</v>
      </c>
      <c r="EP54" s="91" t="str">
        <f ca="1">IFERROR(XIRR($C47:EP47,$C$41:EP$41),"NaN")</f>
        <v>NaN</v>
      </c>
      <c r="EQ54" s="91" t="str">
        <f ca="1">IFERROR(XIRR($C47:EQ47,$C$41:EQ$41),"NaN")</f>
        <v>NaN</v>
      </c>
      <c r="ER54" s="91" t="str">
        <f ca="1">IFERROR(XIRR($C47:ER47,$C$41:ER$41),"NaN")</f>
        <v>NaN</v>
      </c>
      <c r="ES54" s="91" t="str">
        <f ca="1">IFERROR(XIRR($C47:ES47,$C$41:ES$41),"NaN")</f>
        <v>NaN</v>
      </c>
      <c r="ET54" s="91" t="str">
        <f ca="1">IFERROR(XIRR($C47:ET47,$C$41:ET$41),"NaN")</f>
        <v>NaN</v>
      </c>
      <c r="EU54" s="91" t="str">
        <f ca="1">IFERROR(XIRR($C47:EU47,$C$41:EU$41),"NaN")</f>
        <v>NaN</v>
      </c>
      <c r="EV54" s="91" t="str">
        <f ca="1">IFERROR(XIRR($C47:EV47,$C$41:EV$41),"NaN")</f>
        <v>NaN</v>
      </c>
      <c r="EW54" s="91" t="str">
        <f ca="1">IFERROR(XIRR($C47:EW47,$C$41:EW$41),"NaN")</f>
        <v>NaN</v>
      </c>
      <c r="EX54" s="91" t="str">
        <f ca="1">IFERROR(XIRR($C47:EX47,$C$41:EX$41),"NaN")</f>
        <v>NaN</v>
      </c>
      <c r="EY54" s="91" t="str">
        <f ca="1">IFERROR(XIRR($C47:EY47,$C$41:EY$41),"NaN")</f>
        <v>NaN</v>
      </c>
      <c r="EZ54" s="91" t="str">
        <f ca="1">IFERROR(XIRR($C47:EZ47,$C$41:EZ$41),"NaN")</f>
        <v>NaN</v>
      </c>
      <c r="FA54" s="91" t="str">
        <f ca="1">IFERROR(XIRR($C47:FA47,$C$41:FA$41),"NaN")</f>
        <v>NaN</v>
      </c>
      <c r="FB54" s="91" t="str">
        <f ca="1">IFERROR(XIRR($C47:FB47,$C$41:FB$41),"NaN")</f>
        <v>NaN</v>
      </c>
      <c r="FC54" s="91" t="str">
        <f ca="1">IFERROR(XIRR($C47:FC47,$C$41:FC$41),"NaN")</f>
        <v>NaN</v>
      </c>
      <c r="FD54" s="91" t="str">
        <f ca="1">IFERROR(XIRR($C47:FD47,$C$41:FD$41),"NaN")</f>
        <v>NaN</v>
      </c>
      <c r="FE54" s="91" t="str">
        <f ca="1">IFERROR(XIRR($C47:FE47,$C$41:FE$41),"NaN")</f>
        <v>NaN</v>
      </c>
      <c r="FF54" s="91" t="str">
        <f ca="1">IFERROR(XIRR($C47:FF47,$C$41:FF$41),"NaN")</f>
        <v>NaN</v>
      </c>
      <c r="FG54" s="91" t="str">
        <f ca="1">IFERROR(XIRR($C47:FG47,$C$41:FG$41),"NaN")</f>
        <v>NaN</v>
      </c>
      <c r="FH54" s="91" t="str">
        <f ca="1">IFERROR(XIRR($C47:FH47,$C$41:FH$41),"NaN")</f>
        <v>NaN</v>
      </c>
      <c r="FI54" s="91" t="str">
        <f ca="1">IFERROR(XIRR($C47:FI47,$C$41:FI$41),"NaN")</f>
        <v>NaN</v>
      </c>
      <c r="FJ54" s="91" t="str">
        <f ca="1">IFERROR(XIRR($C47:FJ47,$C$41:FJ$41),"NaN")</f>
        <v>NaN</v>
      </c>
      <c r="FK54" s="91" t="str">
        <f ca="1">IFERROR(XIRR($C47:FK47,$C$41:FK$41),"NaN")</f>
        <v>NaN</v>
      </c>
      <c r="FL54" s="91" t="str">
        <f ca="1">IFERROR(XIRR($C47:FL47,$C$41:FL$41),"NaN")</f>
        <v>NaN</v>
      </c>
      <c r="FM54" s="91" t="str">
        <f ca="1">IFERROR(XIRR($C47:FM47,$C$41:FM$41),"NaN")</f>
        <v>NaN</v>
      </c>
      <c r="FN54" s="91" t="str">
        <f ca="1">IFERROR(XIRR($C47:FN47,$C$41:FN$41),"NaN")</f>
        <v>NaN</v>
      </c>
      <c r="FO54" s="91" t="str">
        <f ca="1">IFERROR(XIRR($C47:FO47,$C$41:FO$41),"NaN")</f>
        <v>NaN</v>
      </c>
      <c r="FP54" s="91" t="str">
        <f ca="1">IFERROR(XIRR($C47:FP47,$C$41:FP$41),"NaN")</f>
        <v>NaN</v>
      </c>
      <c r="FQ54" s="91" t="str">
        <f ca="1">IFERROR(XIRR($C47:FQ47,$C$41:FQ$41),"NaN")</f>
        <v>NaN</v>
      </c>
      <c r="FR54" s="91" t="str">
        <f ca="1">IFERROR(XIRR($C47:FR47,$C$41:FR$41),"NaN")</f>
        <v>NaN</v>
      </c>
      <c r="FS54" s="91" t="str">
        <f ca="1">IFERROR(XIRR($C47:FS47,$C$41:FS$41),"NaN")</f>
        <v>NaN</v>
      </c>
      <c r="FT54" s="91" t="str">
        <f ca="1">IFERROR(XIRR($C47:FT47,$C$41:FT$41),"NaN")</f>
        <v>NaN</v>
      </c>
      <c r="FU54" s="91" t="str">
        <f ca="1">IFERROR(XIRR($C47:FU47,$C$41:FU$41),"NaN")</f>
        <v>NaN</v>
      </c>
      <c r="FV54" s="91" t="str">
        <f ca="1">IFERROR(XIRR($C47:FV47,$C$41:FV$41),"NaN")</f>
        <v>NaN</v>
      </c>
      <c r="FW54" s="91" t="str">
        <f ca="1">IFERROR(XIRR($C47:FW47,$C$41:FW$41),"NaN")</f>
        <v>NaN</v>
      </c>
      <c r="FX54" s="91" t="str">
        <f ca="1">IFERROR(XIRR($C47:FX47,$C$41:FX$41),"NaN")</f>
        <v>NaN</v>
      </c>
      <c r="FY54" s="91" t="str">
        <f ca="1">IFERROR(XIRR($C47:FY47,$C$41:FY$41),"NaN")</f>
        <v>NaN</v>
      </c>
      <c r="FZ54" s="91" t="str">
        <f ca="1">IFERROR(XIRR($C47:FZ47,$C$41:FZ$41),"NaN")</f>
        <v>NaN</v>
      </c>
      <c r="GA54" s="462" t="str">
        <f ca="1">IFERROR(XIRR($C47:GA47,$C$41:GA$41),"NaN")</f>
        <v>NaN</v>
      </c>
    </row>
    <row r="55" spans="1:183" x14ac:dyDescent="0.15">
      <c r="A55" s="325" t="s">
        <v>667</v>
      </c>
      <c r="C55" s="342"/>
      <c r="D55" s="343" t="str">
        <f ca="1">IFERROR(XIRR($C50:D50,$C$41:D$41),"NaN")</f>
        <v>NaN</v>
      </c>
      <c r="E55" s="343" t="str">
        <f ca="1">IFERROR(XIRR($C50:E50,$C$41:E$41),"NaN")</f>
        <v>NaN</v>
      </c>
      <c r="F55" s="343" t="str">
        <f ca="1">IFERROR(XIRR($C50:F50,$C$41:F$41),"NaN")</f>
        <v>NaN</v>
      </c>
      <c r="G55" s="343" t="str">
        <f ca="1">IFERROR(XIRR($C50:G50,$C$41:G$41),"NaN")</f>
        <v>NaN</v>
      </c>
      <c r="H55" s="343" t="str">
        <f ca="1">IFERROR(XIRR($C50:H50,$C$41:H$41),"NaN")</f>
        <v>NaN</v>
      </c>
      <c r="I55" s="343" t="str">
        <f ca="1">IFERROR(XIRR($C50:I50,$C$41:I$41),"NaN")</f>
        <v>NaN</v>
      </c>
      <c r="J55" s="343" t="str">
        <f ca="1">IFERROR(XIRR($C50:J50,$C$41:J$41),"NaN")</f>
        <v>NaN</v>
      </c>
      <c r="K55" s="343" t="str">
        <f ca="1">IFERROR(XIRR($C50:K50,$C$41:K$41),"NaN")</f>
        <v>NaN</v>
      </c>
      <c r="L55" s="343" t="str">
        <f ca="1">IFERROR(XIRR($C50:L50,$C$41:L$41),"NaN")</f>
        <v>NaN</v>
      </c>
      <c r="M55" s="343" t="str">
        <f ca="1">IFERROR(XIRR($C50:M50,$C$41:M$41),"NaN")</f>
        <v>NaN</v>
      </c>
      <c r="N55" s="343" t="str">
        <f ca="1">IFERROR(XIRR($C50:N50,$C$41:N$41),"NaN")</f>
        <v>NaN</v>
      </c>
      <c r="O55" s="343" t="str">
        <f ca="1">IFERROR(XIRR($C50:O50,$C$41:O$41),"NaN")</f>
        <v>NaN</v>
      </c>
      <c r="P55" s="343" t="str">
        <f ca="1">IFERROR(XIRR($C50:P50,$C$41:P$41),"NaN")</f>
        <v>NaN</v>
      </c>
      <c r="Q55" s="343" t="str">
        <f ca="1">IFERROR(XIRR($C50:Q50,$C$41:Q$41),"NaN")</f>
        <v>NaN</v>
      </c>
      <c r="R55" s="343" t="str">
        <f ca="1">IFERROR(XIRR($C50:R50,$C$41:R$41),"NaN")</f>
        <v>NaN</v>
      </c>
      <c r="S55" s="343" t="str">
        <f ca="1">IFERROR(XIRR($C50:S50,$C$41:S$41),"NaN")</f>
        <v>NaN</v>
      </c>
      <c r="T55" s="343" t="str">
        <f ca="1">IFERROR(XIRR($C50:T50,$C$41:T$41),"NaN")</f>
        <v>NaN</v>
      </c>
      <c r="U55" s="343" t="str">
        <f ca="1">IFERROR(XIRR($C50:U50,$C$41:U$41),"NaN")</f>
        <v>NaN</v>
      </c>
      <c r="V55" s="343" t="str">
        <f ca="1">IFERROR(XIRR($C50:V50,$C$41:V$41),"NaN")</f>
        <v>NaN</v>
      </c>
      <c r="W55" s="343" t="str">
        <f ca="1">IFERROR(XIRR($C50:W50,$C$41:W$41),"NaN")</f>
        <v>NaN</v>
      </c>
      <c r="X55" s="343" t="str">
        <f ca="1">IFERROR(XIRR($C50:X50,$C$41:X$41),"NaN")</f>
        <v>NaN</v>
      </c>
      <c r="Y55" s="343" t="str">
        <f ca="1">IFERROR(XIRR($C50:Y50,$C$41:Y$41),"NaN")</f>
        <v>NaN</v>
      </c>
      <c r="Z55" s="343" t="str">
        <f ca="1">IFERROR(XIRR($C50:Z50,$C$41:Z$41),"NaN")</f>
        <v>NaN</v>
      </c>
      <c r="AA55" s="343" t="str">
        <f ca="1">IFERROR(XIRR($C50:AA50,$C$41:AA$41),"NaN")</f>
        <v>NaN</v>
      </c>
      <c r="AB55" s="343" t="str">
        <f ca="1">IFERROR(XIRR($C50:AB50,$C$41:AB$41),"NaN")</f>
        <v>NaN</v>
      </c>
      <c r="AC55" s="343" t="str">
        <f ca="1">IFERROR(XIRR($C50:AC50,$C$41:AC$41),"NaN")</f>
        <v>NaN</v>
      </c>
      <c r="AD55" s="343" t="str">
        <f ca="1">IFERROR(XIRR($C50:AD50,$C$41:AD$41),"NaN")</f>
        <v>NaN</v>
      </c>
      <c r="AE55" s="343" t="str">
        <f ca="1">IFERROR(XIRR($C50:AE50,$C$41:AE$41),"NaN")</f>
        <v>NaN</v>
      </c>
      <c r="AF55" s="343" t="str">
        <f ca="1">IFERROR(XIRR($C50:AF50,$C$41:AF$41),"NaN")</f>
        <v>NaN</v>
      </c>
      <c r="AG55" s="343" t="str">
        <f ca="1">IFERROR(XIRR($C50:AG50,$C$41:AG$41),"NaN")</f>
        <v>NaN</v>
      </c>
      <c r="AH55" s="343" t="str">
        <f ca="1">IFERROR(XIRR($C50:AH50,$C$41:AH$41),"NaN")</f>
        <v>NaN</v>
      </c>
      <c r="AI55" s="343" t="str">
        <f ca="1">IFERROR(XIRR($C50:AI50,$C$41:AI$41),"NaN")</f>
        <v>NaN</v>
      </c>
      <c r="AJ55" s="343" t="str">
        <f ca="1">IFERROR(XIRR($C50:AJ50,$C$41:AJ$41),"NaN")</f>
        <v>NaN</v>
      </c>
      <c r="AK55" s="343" t="str">
        <f ca="1">IFERROR(XIRR($C50:AK50,$C$41:AK$41),"NaN")</f>
        <v>NaN</v>
      </c>
      <c r="AL55" s="343" t="str">
        <f ca="1">IFERROR(XIRR($C50:AL50,$C$41:AL$41),"NaN")</f>
        <v>NaN</v>
      </c>
      <c r="AM55" s="343" t="str">
        <f ca="1">IFERROR(XIRR($C50:AM50,$C$41:AM$41),"NaN")</f>
        <v>NaN</v>
      </c>
      <c r="AN55" s="343" t="str">
        <f ca="1">IFERROR(XIRR($C50:AN50,$C$41:AN$41),"NaN")</f>
        <v>NaN</v>
      </c>
      <c r="AO55" s="343" t="str">
        <f ca="1">IFERROR(XIRR($C50:AO50,$C$41:AO$41),"NaN")</f>
        <v>NaN</v>
      </c>
      <c r="AP55" s="343" t="str">
        <f ca="1">IFERROR(XIRR($C50:AP50,$C$41:AP$41),"NaN")</f>
        <v>NaN</v>
      </c>
      <c r="AQ55" s="343" t="str">
        <f ca="1">IFERROR(XIRR($C50:AQ50,$C$41:AQ$41),"NaN")</f>
        <v>NaN</v>
      </c>
      <c r="AR55" s="343" t="str">
        <f ca="1">IFERROR(XIRR($C50:AR50,$C$41:AR$41),"NaN")</f>
        <v>NaN</v>
      </c>
      <c r="AS55" s="343" t="str">
        <f ca="1">IFERROR(XIRR($C50:AS50,$C$41:AS$41),"NaN")</f>
        <v>NaN</v>
      </c>
      <c r="AT55" s="343" t="str">
        <f ca="1">IFERROR(XIRR($C50:AT50,$C$41:AT$41),"NaN")</f>
        <v>NaN</v>
      </c>
      <c r="AU55" s="343" t="str">
        <f ca="1">IFERROR(XIRR($C50:AU50,$C$41:AU$41),"NaN")</f>
        <v>NaN</v>
      </c>
      <c r="AV55" s="343" t="str">
        <f ca="1">IFERROR(XIRR($C50:AV50,$C$41:AV$41),"NaN")</f>
        <v>NaN</v>
      </c>
      <c r="AW55" s="343" t="str">
        <f ca="1">IFERROR(XIRR($C50:AW50,$C$41:AW$41),"NaN")</f>
        <v>NaN</v>
      </c>
      <c r="AX55" s="343" t="str">
        <f ca="1">IFERROR(XIRR($C50:AX50,$C$41:AX$41),"NaN")</f>
        <v>NaN</v>
      </c>
      <c r="AY55" s="343" t="str">
        <f ca="1">IFERROR(XIRR($C50:AY50,$C$41:AY$41),"NaN")</f>
        <v>NaN</v>
      </c>
      <c r="AZ55" s="343" t="str">
        <f ca="1">IFERROR(XIRR($C50:AZ50,$C$41:AZ$41),"NaN")</f>
        <v>NaN</v>
      </c>
      <c r="BA55" s="343" t="str">
        <f ca="1">IFERROR(XIRR($C50:BA50,$C$41:BA$41),"NaN")</f>
        <v>NaN</v>
      </c>
      <c r="BB55" s="343" t="str">
        <f ca="1">IFERROR(XIRR($C50:BB50,$C$41:BB$41),"NaN")</f>
        <v>NaN</v>
      </c>
      <c r="BC55" s="343" t="str">
        <f ca="1">IFERROR(XIRR($C50:BC50,$C$41:BC$41),"NaN")</f>
        <v>NaN</v>
      </c>
      <c r="BD55" s="343" t="str">
        <f ca="1">IFERROR(XIRR($C50:BD50,$C$41:BD$41),"NaN")</f>
        <v>NaN</v>
      </c>
      <c r="BE55" s="343" t="str">
        <f ca="1">IFERROR(XIRR($C50:BE50,$C$41:BE$41),"NaN")</f>
        <v>NaN</v>
      </c>
      <c r="BF55" s="343" t="str">
        <f ca="1">IFERROR(XIRR($C50:BF50,$C$41:BF$41),"NaN")</f>
        <v>NaN</v>
      </c>
      <c r="BG55" s="343" t="str">
        <f ca="1">IFERROR(XIRR($C50:BG50,$C$41:BG$41),"NaN")</f>
        <v>NaN</v>
      </c>
      <c r="BH55" s="343" t="str">
        <f ca="1">IFERROR(XIRR($C50:BH50,$C$41:BH$41),"NaN")</f>
        <v>NaN</v>
      </c>
      <c r="BI55" s="343" t="str">
        <f ca="1">IFERROR(XIRR($C50:BI50,$C$41:BI$41),"NaN")</f>
        <v>NaN</v>
      </c>
      <c r="BJ55" s="343" t="str">
        <f ca="1">IFERROR(XIRR($C50:BJ50,$C$41:BJ$41),"NaN")</f>
        <v>NaN</v>
      </c>
      <c r="BK55" s="343" t="str">
        <f ca="1">IFERROR(XIRR($C50:BK50,$C$41:BK$41),"NaN")</f>
        <v>NaN</v>
      </c>
      <c r="BL55" s="343" t="str">
        <f ca="1">IFERROR(XIRR($C50:BL50,$C$41:BL$41),"NaN")</f>
        <v>NaN</v>
      </c>
      <c r="BM55" s="343" t="str">
        <f ca="1">IFERROR(XIRR($C50:BM50,$C$41:BM$41),"NaN")</f>
        <v>NaN</v>
      </c>
      <c r="BN55" s="343" t="str">
        <f ca="1">IFERROR(XIRR($C50:BN50,$C$41:BN$41),"NaN")</f>
        <v>NaN</v>
      </c>
      <c r="BO55" s="343" t="str">
        <f ca="1">IFERROR(XIRR($C50:BO50,$C$41:BO$41),"NaN")</f>
        <v>NaN</v>
      </c>
      <c r="BP55" s="343" t="str">
        <f ca="1">IFERROR(XIRR($C50:BP50,$C$41:BP$41),"NaN")</f>
        <v>NaN</v>
      </c>
      <c r="BQ55" s="343" t="str">
        <f ca="1">IFERROR(XIRR($C50:BQ50,$C$41:BQ$41),"NaN")</f>
        <v>NaN</v>
      </c>
      <c r="BR55" s="343" t="str">
        <f ca="1">IFERROR(XIRR($C50:BR50,$C$41:BR$41),"NaN")</f>
        <v>NaN</v>
      </c>
      <c r="BS55" s="343" t="str">
        <f ca="1">IFERROR(XIRR($C50:BS50,$C$41:BS$41),"NaN")</f>
        <v>NaN</v>
      </c>
      <c r="BT55" s="343" t="str">
        <f ca="1">IFERROR(XIRR($C50:BT50,$C$41:BT$41),"NaN")</f>
        <v>NaN</v>
      </c>
      <c r="BU55" s="343" t="str">
        <f ca="1">IFERROR(XIRR($C50:BU50,$C$41:BU$41),"NaN")</f>
        <v>NaN</v>
      </c>
      <c r="BV55" s="343" t="str">
        <f ca="1">IFERROR(XIRR($C50:BV50,$C$41:BV$41),"NaN")</f>
        <v>NaN</v>
      </c>
      <c r="BW55" s="343" t="str">
        <f ca="1">IFERROR(XIRR($C50:BW50,$C$41:BW$41),"NaN")</f>
        <v>NaN</v>
      </c>
      <c r="BX55" s="343" t="str">
        <f ca="1">IFERROR(XIRR($C50:BX50,$C$41:BX$41),"NaN")</f>
        <v>NaN</v>
      </c>
      <c r="BY55" s="343" t="str">
        <f ca="1">IFERROR(XIRR($C50:BY50,$C$41:BY$41),"NaN")</f>
        <v>NaN</v>
      </c>
      <c r="BZ55" s="343" t="str">
        <f ca="1">IFERROR(XIRR($C50:BZ50,$C$41:BZ$41),"NaN")</f>
        <v>NaN</v>
      </c>
      <c r="CA55" s="343" t="str">
        <f ca="1">IFERROR(XIRR($C50:CA50,$C$41:CA$41),"NaN")</f>
        <v>NaN</v>
      </c>
      <c r="CB55" s="343" t="str">
        <f ca="1">IFERROR(XIRR($C50:CB50,$C$41:CB$41),"NaN")</f>
        <v>NaN</v>
      </c>
      <c r="CC55" s="343" t="str">
        <f ca="1">IFERROR(XIRR($C50:CC50,$C$41:CC$41),"NaN")</f>
        <v>NaN</v>
      </c>
      <c r="CD55" s="343" t="str">
        <f ca="1">IFERROR(XIRR($C50:CD50,$C$41:CD$41),"NaN")</f>
        <v>NaN</v>
      </c>
      <c r="CE55" s="343" t="str">
        <f ca="1">IFERROR(XIRR($C50:CE50,$C$41:CE$41),"NaN")</f>
        <v>NaN</v>
      </c>
      <c r="CF55" s="343" t="str">
        <f ca="1">IFERROR(XIRR($C50:CF50,$C$41:CF$41),"NaN")</f>
        <v>NaN</v>
      </c>
      <c r="CG55" s="343" t="str">
        <f ca="1">IFERROR(XIRR($C50:CG50,$C$41:CG$41),"NaN")</f>
        <v>NaN</v>
      </c>
      <c r="CH55" s="343" t="str">
        <f ca="1">IFERROR(XIRR($C50:CH50,$C$41:CH$41),"NaN")</f>
        <v>NaN</v>
      </c>
      <c r="CI55" s="343" t="str">
        <f ca="1">IFERROR(XIRR($C50:CI50,$C$41:CI$41),"NaN")</f>
        <v>NaN</v>
      </c>
      <c r="CJ55" s="343" t="str">
        <f ca="1">IFERROR(XIRR($C50:CJ50,$C$41:CJ$41),"NaN")</f>
        <v>NaN</v>
      </c>
      <c r="CK55" s="343" t="str">
        <f ca="1">IFERROR(XIRR($C50:CK50,$C$41:CK$41),"NaN")</f>
        <v>NaN</v>
      </c>
      <c r="CL55" s="343" t="str">
        <f ca="1">IFERROR(XIRR($C50:CL50,$C$41:CL$41),"NaN")</f>
        <v>NaN</v>
      </c>
      <c r="CM55" s="343" t="str">
        <f ca="1">IFERROR(XIRR($C50:CM50,$C$41:CM$41),"NaN")</f>
        <v>NaN</v>
      </c>
      <c r="CN55" s="343" t="str">
        <f ca="1">IFERROR(XIRR($C50:CN50,$C$41:CN$41),"NaN")</f>
        <v>NaN</v>
      </c>
      <c r="CO55" s="343" t="str">
        <f ca="1">IFERROR(XIRR($C50:CO50,$C$41:CO$41),"NaN")</f>
        <v>NaN</v>
      </c>
      <c r="CP55" s="343" t="str">
        <f ca="1">IFERROR(XIRR($C50:CP50,$C$41:CP$41),"NaN")</f>
        <v>NaN</v>
      </c>
      <c r="CQ55" s="343" t="str">
        <f ca="1">IFERROR(XIRR($C50:CQ50,$C$41:CQ$41),"NaN")</f>
        <v>NaN</v>
      </c>
      <c r="CR55" s="343" t="str">
        <f ca="1">IFERROR(XIRR($C50:CR50,$C$41:CR$41),"NaN")</f>
        <v>NaN</v>
      </c>
      <c r="CS55" s="343" t="str">
        <f ca="1">IFERROR(XIRR($C50:CS50,$C$41:CS$41),"NaN")</f>
        <v>NaN</v>
      </c>
      <c r="CT55" s="343" t="str">
        <f ca="1">IFERROR(XIRR($C50:CT50,$C$41:CT$41),"NaN")</f>
        <v>NaN</v>
      </c>
      <c r="CU55" s="343" t="str">
        <f ca="1">IFERROR(XIRR($C50:CU50,$C$41:CU$41),"NaN")</f>
        <v>NaN</v>
      </c>
      <c r="CV55" s="343" t="str">
        <f ca="1">IFERROR(XIRR($C50:CV50,$C$41:CV$41),"NaN")</f>
        <v>NaN</v>
      </c>
      <c r="CW55" s="343" t="str">
        <f ca="1">IFERROR(XIRR($C50:CW50,$C$41:CW$41),"NaN")</f>
        <v>NaN</v>
      </c>
      <c r="CX55" s="343" t="str">
        <f ca="1">IFERROR(XIRR($C50:CX50,$C$41:CX$41),"NaN")</f>
        <v>NaN</v>
      </c>
      <c r="CY55" s="343" t="str">
        <f ca="1">IFERROR(XIRR($C50:CY50,$C$41:CY$41),"NaN")</f>
        <v>NaN</v>
      </c>
      <c r="CZ55" s="343" t="str">
        <f ca="1">IFERROR(XIRR($C50:CZ50,$C$41:CZ$41),"NaN")</f>
        <v>NaN</v>
      </c>
      <c r="DA55" s="343" t="str">
        <f ca="1">IFERROR(XIRR($C50:DA50,$C$41:DA$41),"NaN")</f>
        <v>NaN</v>
      </c>
      <c r="DB55" s="343" t="str">
        <f ca="1">IFERROR(XIRR($C50:DB50,$C$41:DB$41),"NaN")</f>
        <v>NaN</v>
      </c>
      <c r="DC55" s="343" t="str">
        <f ca="1">IFERROR(XIRR($C50:DC50,$C$41:DC$41),"NaN")</f>
        <v>NaN</v>
      </c>
      <c r="DD55" s="343" t="str">
        <f ca="1">IFERROR(XIRR($C50:DD50,$C$41:DD$41),"NaN")</f>
        <v>NaN</v>
      </c>
      <c r="DE55" s="343" t="str">
        <f ca="1">IFERROR(XIRR($C50:DE50,$C$41:DE$41),"NaN")</f>
        <v>NaN</v>
      </c>
      <c r="DF55" s="343" t="str">
        <f ca="1">IFERROR(XIRR($C50:DF50,$C$41:DF$41),"NaN")</f>
        <v>NaN</v>
      </c>
      <c r="DG55" s="343" t="str">
        <f ca="1">IFERROR(XIRR($C50:DG50,$C$41:DG$41),"NaN")</f>
        <v>NaN</v>
      </c>
      <c r="DH55" s="343" t="str">
        <f ca="1">IFERROR(XIRR($C50:DH50,$C$41:DH$41),"NaN")</f>
        <v>NaN</v>
      </c>
      <c r="DI55" s="343" t="str">
        <f ca="1">IFERROR(XIRR($C50:DI50,$C$41:DI$41),"NaN")</f>
        <v>NaN</v>
      </c>
      <c r="DJ55" s="343" t="str">
        <f ca="1">IFERROR(XIRR($C50:DJ50,$C$41:DJ$41),"NaN")</f>
        <v>NaN</v>
      </c>
      <c r="DK55" s="343" t="str">
        <f ca="1">IFERROR(XIRR($C50:DK50,$C$41:DK$41),"NaN")</f>
        <v>NaN</v>
      </c>
      <c r="DL55" s="343" t="str">
        <f ca="1">IFERROR(XIRR($C50:DL50,$C$41:DL$41),"NaN")</f>
        <v>NaN</v>
      </c>
      <c r="DM55" s="343" t="str">
        <f ca="1">IFERROR(XIRR($C50:DM50,$C$41:DM$41),"NaN")</f>
        <v>NaN</v>
      </c>
      <c r="DN55" s="343" t="str">
        <f ca="1">IFERROR(XIRR($C50:DN50,$C$41:DN$41),"NaN")</f>
        <v>NaN</v>
      </c>
      <c r="DO55" s="343" t="str">
        <f ca="1">IFERROR(XIRR($C50:DO50,$C$41:DO$41),"NaN")</f>
        <v>NaN</v>
      </c>
      <c r="DP55" s="343" t="str">
        <f ca="1">IFERROR(XIRR($C50:DP50,$C$41:DP$41),"NaN")</f>
        <v>NaN</v>
      </c>
      <c r="DQ55" s="343" t="str">
        <f ca="1">IFERROR(XIRR($C50:DQ50,$C$41:DQ$41),"NaN")</f>
        <v>NaN</v>
      </c>
      <c r="DR55" s="343" t="str">
        <f ca="1">IFERROR(XIRR($C50:DR50,$C$41:DR$41),"NaN")</f>
        <v>NaN</v>
      </c>
      <c r="DS55" s="343" t="str">
        <f ca="1">IFERROR(XIRR($C50:DS50,$C$41:DS$41),"NaN")</f>
        <v>NaN</v>
      </c>
      <c r="DT55" s="343" t="str">
        <f ca="1">IFERROR(XIRR($C50:DT50,$C$41:DT$41),"NaN")</f>
        <v>NaN</v>
      </c>
      <c r="DU55" s="343" t="str">
        <f ca="1">IFERROR(XIRR($C50:DU50,$C$41:DU$41),"NaN")</f>
        <v>NaN</v>
      </c>
      <c r="DV55" s="343" t="str">
        <f ca="1">IFERROR(XIRR($C50:DV50,$C$41:DV$41),"NaN")</f>
        <v>NaN</v>
      </c>
      <c r="DW55" s="343" t="str">
        <f ca="1">IFERROR(XIRR($C50:DW50,$C$41:DW$41),"NaN")</f>
        <v>NaN</v>
      </c>
      <c r="DX55" s="343" t="str">
        <f ca="1">IFERROR(XIRR($C50:DX50,$C$41:DX$41),"NaN")</f>
        <v>NaN</v>
      </c>
      <c r="DY55" s="343" t="str">
        <f ca="1">IFERROR(XIRR($C50:DY50,$C$41:DY$41),"NaN")</f>
        <v>NaN</v>
      </c>
      <c r="DZ55" s="343" t="str">
        <f ca="1">IFERROR(XIRR($C50:DZ50,$C$41:DZ$41),"NaN")</f>
        <v>NaN</v>
      </c>
      <c r="EA55" s="343" t="str">
        <f ca="1">IFERROR(XIRR($C50:EA50,$C$41:EA$41),"NaN")</f>
        <v>NaN</v>
      </c>
      <c r="EB55" s="343" t="str">
        <f ca="1">IFERROR(XIRR($C50:EB50,$C$41:EB$41),"NaN")</f>
        <v>NaN</v>
      </c>
      <c r="EC55" s="343" t="str">
        <f ca="1">IFERROR(XIRR($C50:EC50,$C$41:EC$41),"NaN")</f>
        <v>NaN</v>
      </c>
      <c r="ED55" s="343" t="str">
        <f ca="1">IFERROR(XIRR($C50:ED50,$C$41:ED$41),"NaN")</f>
        <v>NaN</v>
      </c>
      <c r="EE55" s="343" t="str">
        <f ca="1">IFERROR(XIRR($C50:EE50,$C$41:EE$41),"NaN")</f>
        <v>NaN</v>
      </c>
      <c r="EF55" s="343" t="str">
        <f ca="1">IFERROR(XIRR($C50:EF50,$C$41:EF$41),"NaN")</f>
        <v>NaN</v>
      </c>
      <c r="EG55" s="343" t="str">
        <f ca="1">IFERROR(XIRR($C50:EG50,$C$41:EG$41),"NaN")</f>
        <v>NaN</v>
      </c>
      <c r="EH55" s="343" t="str">
        <f ca="1">IFERROR(XIRR($C50:EH50,$C$41:EH$41),"NaN")</f>
        <v>NaN</v>
      </c>
      <c r="EI55" s="343" t="str">
        <f ca="1">IFERROR(XIRR($C50:EI50,$C$41:EI$41),"NaN")</f>
        <v>NaN</v>
      </c>
      <c r="EJ55" s="343" t="str">
        <f ca="1">IFERROR(XIRR($C50:EJ50,$C$41:EJ$41),"NaN")</f>
        <v>NaN</v>
      </c>
      <c r="EK55" s="343" t="str">
        <f ca="1">IFERROR(XIRR($C50:EK50,$C$41:EK$41),"NaN")</f>
        <v>NaN</v>
      </c>
      <c r="EL55" s="343" t="str">
        <f ca="1">IFERROR(XIRR($C50:EL50,$C$41:EL$41),"NaN")</f>
        <v>NaN</v>
      </c>
      <c r="EM55" s="343" t="str">
        <f ca="1">IFERROR(XIRR($C50:EM50,$C$41:EM$41),"NaN")</f>
        <v>NaN</v>
      </c>
      <c r="EN55" s="343" t="str">
        <f ca="1">IFERROR(XIRR($C50:EN50,$C$41:EN$41),"NaN")</f>
        <v>NaN</v>
      </c>
      <c r="EO55" s="343" t="str">
        <f ca="1">IFERROR(XIRR($C50:EO50,$C$41:EO$41),"NaN")</f>
        <v>NaN</v>
      </c>
      <c r="EP55" s="343" t="str">
        <f ca="1">IFERROR(XIRR($C50:EP50,$C$41:EP$41),"NaN")</f>
        <v>NaN</v>
      </c>
      <c r="EQ55" s="343" t="str">
        <f ca="1">IFERROR(XIRR($C50:EQ50,$C$41:EQ$41),"NaN")</f>
        <v>NaN</v>
      </c>
      <c r="ER55" s="343" t="str">
        <f ca="1">IFERROR(XIRR($C50:ER50,$C$41:ER$41),"NaN")</f>
        <v>NaN</v>
      </c>
      <c r="ES55" s="343" t="str">
        <f ca="1">IFERROR(XIRR($C50:ES50,$C$41:ES$41),"NaN")</f>
        <v>NaN</v>
      </c>
      <c r="ET55" s="343" t="str">
        <f ca="1">IFERROR(XIRR($C50:ET50,$C$41:ET$41),"NaN")</f>
        <v>NaN</v>
      </c>
      <c r="EU55" s="343" t="str">
        <f ca="1">IFERROR(XIRR($C50:EU50,$C$41:EU$41),"NaN")</f>
        <v>NaN</v>
      </c>
      <c r="EV55" s="343" t="str">
        <f ca="1">IFERROR(XIRR($C50:EV50,$C$41:EV$41),"NaN")</f>
        <v>NaN</v>
      </c>
      <c r="EW55" s="343" t="str">
        <f ca="1">IFERROR(XIRR($C50:EW50,$C$41:EW$41),"NaN")</f>
        <v>NaN</v>
      </c>
      <c r="EX55" s="343" t="str">
        <f ca="1">IFERROR(XIRR($C50:EX50,$C$41:EX$41),"NaN")</f>
        <v>NaN</v>
      </c>
      <c r="EY55" s="343" t="str">
        <f ca="1">IFERROR(XIRR($C50:EY50,$C$41:EY$41),"NaN")</f>
        <v>NaN</v>
      </c>
      <c r="EZ55" s="343" t="str">
        <f ca="1">IFERROR(XIRR($C50:EZ50,$C$41:EZ$41),"NaN")</f>
        <v>NaN</v>
      </c>
      <c r="FA55" s="343" t="str">
        <f ca="1">IFERROR(XIRR($C50:FA50,$C$41:FA$41),"NaN")</f>
        <v>NaN</v>
      </c>
      <c r="FB55" s="343" t="str">
        <f ca="1">IFERROR(XIRR($C50:FB50,$C$41:FB$41),"NaN")</f>
        <v>NaN</v>
      </c>
      <c r="FC55" s="343" t="str">
        <f ca="1">IFERROR(XIRR($C50:FC50,$C$41:FC$41),"NaN")</f>
        <v>NaN</v>
      </c>
      <c r="FD55" s="343" t="str">
        <f ca="1">IFERROR(XIRR($C50:FD50,$C$41:FD$41),"NaN")</f>
        <v>NaN</v>
      </c>
      <c r="FE55" s="343" t="str">
        <f ca="1">IFERROR(XIRR($C50:FE50,$C$41:FE$41),"NaN")</f>
        <v>NaN</v>
      </c>
      <c r="FF55" s="343" t="str">
        <f ca="1">IFERROR(XIRR($C50:FF50,$C$41:FF$41),"NaN")</f>
        <v>NaN</v>
      </c>
      <c r="FG55" s="343" t="str">
        <f ca="1">IFERROR(XIRR($C50:FG50,$C$41:FG$41),"NaN")</f>
        <v>NaN</v>
      </c>
      <c r="FH55" s="343" t="str">
        <f ca="1">IFERROR(XIRR($C50:FH50,$C$41:FH$41),"NaN")</f>
        <v>NaN</v>
      </c>
      <c r="FI55" s="343" t="str">
        <f ca="1">IFERROR(XIRR($C50:FI50,$C$41:FI$41),"NaN")</f>
        <v>NaN</v>
      </c>
      <c r="FJ55" s="343" t="str">
        <f ca="1">IFERROR(XIRR($C50:FJ50,$C$41:FJ$41),"NaN")</f>
        <v>NaN</v>
      </c>
      <c r="FK55" s="343" t="str">
        <f ca="1">IFERROR(XIRR($C50:FK50,$C$41:FK$41),"NaN")</f>
        <v>NaN</v>
      </c>
      <c r="FL55" s="343" t="str">
        <f ca="1">IFERROR(XIRR($C50:FL50,$C$41:FL$41),"NaN")</f>
        <v>NaN</v>
      </c>
      <c r="FM55" s="343" t="str">
        <f ca="1">IFERROR(XIRR($C50:FM50,$C$41:FM$41),"NaN")</f>
        <v>NaN</v>
      </c>
      <c r="FN55" s="343" t="str">
        <f ca="1">IFERROR(XIRR($C50:FN50,$C$41:FN$41),"NaN")</f>
        <v>NaN</v>
      </c>
      <c r="FO55" s="343" t="str">
        <f ca="1">IFERROR(XIRR($C50:FO50,$C$41:FO$41),"NaN")</f>
        <v>NaN</v>
      </c>
      <c r="FP55" s="343" t="str">
        <f ca="1">IFERROR(XIRR($C50:FP50,$C$41:FP$41),"NaN")</f>
        <v>NaN</v>
      </c>
      <c r="FQ55" s="343" t="str">
        <f ca="1">IFERROR(XIRR($C50:FQ50,$C$41:FQ$41),"NaN")</f>
        <v>NaN</v>
      </c>
      <c r="FR55" s="343" t="str">
        <f ca="1">IFERROR(XIRR($C50:FR50,$C$41:FR$41),"NaN")</f>
        <v>NaN</v>
      </c>
      <c r="FS55" s="343" t="str">
        <f ca="1">IFERROR(XIRR($C50:FS50,$C$41:FS$41),"NaN")</f>
        <v>NaN</v>
      </c>
      <c r="FT55" s="343" t="str">
        <f ca="1">IFERROR(XIRR($C50:FT50,$C$41:FT$41),"NaN")</f>
        <v>NaN</v>
      </c>
      <c r="FU55" s="343" t="str">
        <f ca="1">IFERROR(XIRR($C50:FU50,$C$41:FU$41),"NaN")</f>
        <v>NaN</v>
      </c>
      <c r="FV55" s="343" t="str">
        <f ca="1">IFERROR(XIRR($C50:FV50,$C$41:FV$41),"NaN")</f>
        <v>NaN</v>
      </c>
      <c r="FW55" s="343" t="str">
        <f ca="1">IFERROR(XIRR($C50:FW50,$C$41:FW$41),"NaN")</f>
        <v>NaN</v>
      </c>
      <c r="FX55" s="343" t="str">
        <f ca="1">IFERROR(XIRR($C50:FX50,$C$41:FX$41),"NaN")</f>
        <v>NaN</v>
      </c>
      <c r="FY55" s="343" t="str">
        <f ca="1">IFERROR(XIRR($C50:FY50,$C$41:FY$41),"NaN")</f>
        <v>NaN</v>
      </c>
      <c r="FZ55" s="343" t="str">
        <f ca="1">IFERROR(XIRR($C50:FZ50,$C$41:FZ$41),"NaN")</f>
        <v>NaN</v>
      </c>
      <c r="GA55" s="344" t="str">
        <f ca="1">IFERROR(XIRR($C50:GA50,$C$41:GA$41),"NaN")</f>
        <v>NaN</v>
      </c>
    </row>
    <row r="58" spans="1:183" x14ac:dyDescent="0.15">
      <c r="A58" s="72" t="s">
        <v>356</v>
      </c>
      <c r="BK58" s="290">
        <f ca="1">MAX((-XNPV(EqInv_ReqIRR,$C44:BK44,$C41:BK41)*FV(EqInv_ReqIRR,(BK41-$C41)/365,0,-1))+$C19,Cust_FinalPymtAtTermEnd)</f>
        <v>100</v>
      </c>
      <c r="BL58" s="290">
        <f ca="1">MAX((-XNPV(EqInv_ReqIRR,$C44:BL44,$C41:BL41)*FV(EqInv_ReqIRR,(BL41-$C41)/365,0,-1))+$C19,Cust_FinalPymtAtTermEnd)</f>
        <v>100</v>
      </c>
      <c r="BM58" s="290">
        <f ca="1">MAX((-XNPV(EqInv_ReqIRR,$C44:BM44,$C41:BM41)*FV(EqInv_ReqIRR,(BM41-$C41)/365,0,-1))+$C19,Cust_FinalPymtAtTermEnd)</f>
        <v>100</v>
      </c>
      <c r="BN58" s="290">
        <f ca="1">MAX((-XNPV(EqInv_ReqIRR,$C44:BN44,$C41:BN41)*FV(EqInv_ReqIRR,(BN41-$C41)/365,0,-1))+$C19,Cust_FinalPymtAtTermEnd)</f>
        <v>100</v>
      </c>
      <c r="BO58" s="290">
        <f ca="1">MAX((-XNPV(EqInv_ReqIRR,$C44:BO44,$C41:BO41)*FV(EqInv_ReqIRR,(BO41-$C41)/365,0,-1))+$C19,Cust_FinalPymtAtTermEnd)</f>
        <v>100</v>
      </c>
      <c r="BP58" s="290">
        <f ca="1">MAX((-XNPV(EqInv_ReqIRR,$C44:BP44,$C41:BP41)*FV(EqInv_ReqIRR,(BP41-$C41)/365,0,-1))+$C19,Cust_FinalPymtAtTermEnd)</f>
        <v>100</v>
      </c>
      <c r="BQ58" s="290">
        <f ca="1">MAX((-XNPV(EqInv_ReqIRR,$C44:BQ44,$C41:BQ41)*FV(EqInv_ReqIRR,(BQ41-$C41)/365,0,-1))+$C19,Cust_FinalPymtAtTermEnd)</f>
        <v>100</v>
      </c>
      <c r="BR58" s="290">
        <f ca="1">MAX((-XNPV(EqInv_ReqIRR,$C44:BR44,$C41:BR41)*FV(EqInv_ReqIRR,(BR41-$C41)/365,0,-1))+$C19,Cust_FinalPymtAtTermEnd)</f>
        <v>100</v>
      </c>
      <c r="BS58" s="290">
        <f ca="1">MAX((-XNPV(EqInv_ReqIRR,$C44:BS44,$C41:BS41)*FV(EqInv_ReqIRR,(BS41-$C41)/365,0,-1))+$C19,Cust_FinalPymtAtTermEnd)</f>
        <v>100</v>
      </c>
      <c r="BT58" s="290">
        <f ca="1">MAX((-XNPV(EqInv_ReqIRR,$C44:BT44,$C41:BT41)*FV(EqInv_ReqIRR,(BT41-$C41)/365,0,-1))+$C19,Cust_FinalPymtAtTermEnd)</f>
        <v>100</v>
      </c>
      <c r="BU58" s="290">
        <f ca="1">MAX((-XNPV(EqInv_ReqIRR,$C44:BU44,$C41:BU41)*FV(EqInv_ReqIRR,(BU41-$C41)/365,0,-1))+$C19,Cust_FinalPymtAtTermEnd)</f>
        <v>100</v>
      </c>
      <c r="BV58" s="290">
        <f ca="1">MAX((-XNPV(EqInv_ReqIRR,$C44:BV44,$C41:BV41)*FV(EqInv_ReqIRR,(BV41-$C41)/365,0,-1))+$C19,Cust_FinalPymtAtTermEnd)</f>
        <v>100</v>
      </c>
      <c r="BW58" s="290">
        <f ca="1">MAX((-XNPV(EqInv_ReqIRR,$C44:BW44,$C41:BW41)*FV(EqInv_ReqIRR,(BW41-$C41)/365,0,-1))+$C19,Cust_FinalPymtAtTermEnd)</f>
        <v>100</v>
      </c>
      <c r="BX58" s="290">
        <f ca="1">MAX((-XNPV(EqInv_ReqIRR,$C44:BX44,$C41:BX41)*FV(EqInv_ReqIRR,(BX41-$C41)/365,0,-1))+$C19,Cust_FinalPymtAtTermEnd)</f>
        <v>100</v>
      </c>
      <c r="BY58" s="290">
        <f ca="1">MAX((-XNPV(EqInv_ReqIRR,$C44:BY44,$C41:BY41)*FV(EqInv_ReqIRR,(BY41-$C41)/365,0,-1))+$C19,Cust_FinalPymtAtTermEnd)</f>
        <v>100</v>
      </c>
      <c r="BZ58" s="290">
        <f ca="1">MAX((-XNPV(EqInv_ReqIRR,$C44:BZ44,$C41:BZ41)*FV(EqInv_ReqIRR,(BZ41-$C41)/365,0,-1))+$C19,Cust_FinalPymtAtTermEnd)</f>
        <v>100</v>
      </c>
      <c r="CA58" s="290">
        <f ca="1">MAX((-XNPV(EqInv_ReqIRR,$C44:CA44,$C41:CA41)*FV(EqInv_ReqIRR,(CA41-$C41)/365,0,-1))+$C19,Cust_FinalPymtAtTermEnd)</f>
        <v>100</v>
      </c>
      <c r="CB58" s="290">
        <f ca="1">MAX((-XNPV(EqInv_ReqIRR,$C44:CB44,$C41:CB41)*FV(EqInv_ReqIRR,(CB41-$C41)/365,0,-1))+$C19,Cust_FinalPymtAtTermEnd)</f>
        <v>100</v>
      </c>
      <c r="CC58" s="290">
        <f ca="1">MAX((-XNPV(EqInv_ReqIRR,$C44:CC44,$C41:CC41)*FV(EqInv_ReqIRR,(CC41-$C41)/365,0,-1))+$C19,Cust_FinalPymtAtTermEnd)</f>
        <v>100</v>
      </c>
      <c r="CD58" s="290">
        <f ca="1">MAX((-XNPV(EqInv_ReqIRR,$C44:CD44,$C41:CD41)*FV(EqInv_ReqIRR,(CD41-$C41)/365,0,-1))+$C19,Cust_FinalPymtAtTermEnd)</f>
        <v>100</v>
      </c>
      <c r="CE58" s="290">
        <f ca="1">MAX((-XNPV(EqInv_ReqIRR,$C44:CE44,$C41:CE41)*FV(EqInv_ReqIRR,(CE41-$C41)/365,0,-1))+$C19,Cust_FinalPymtAtTermEnd)</f>
        <v>100</v>
      </c>
      <c r="CF58" s="290">
        <f ca="1">MAX((-XNPV(EqInv_ReqIRR,$C44:CF44,$C41:CF41)*FV(EqInv_ReqIRR,(CF41-$C41)/365,0,-1))+$C19,Cust_FinalPymtAtTermEnd)</f>
        <v>100</v>
      </c>
      <c r="CG58" s="290">
        <f ca="1">MAX((-XNPV(EqInv_ReqIRR,$C44:CG44,$C41:CG41)*FV(EqInv_ReqIRR,(CG41-$C41)/365,0,-1))+$C19,Cust_FinalPymtAtTermEnd)</f>
        <v>100</v>
      </c>
      <c r="CH58" s="290">
        <f ca="1">MAX((-XNPV(EqInv_ReqIRR,$C44:CH44,$C41:CH41)*FV(EqInv_ReqIRR,(CH41-$C41)/365,0,-1))+$C19,Cust_FinalPymtAtTermEnd)</f>
        <v>100</v>
      </c>
      <c r="CI58" s="290">
        <f ca="1">MAX((-XNPV(EqInv_ReqIRR,$C44:CI44,$C41:CI41)*FV(EqInv_ReqIRR,(CI41-$C41)/365,0,-1))+$C19,Cust_FinalPymtAtTermEnd)</f>
        <v>100</v>
      </c>
      <c r="CJ58" s="290">
        <f ca="1">MAX((-XNPV(EqInv_ReqIRR,$C44:CJ44,$C41:CJ41)*FV(EqInv_ReqIRR,(CJ41-$C41)/365,0,-1))+$C19,Cust_FinalPymtAtTermEnd)</f>
        <v>100</v>
      </c>
      <c r="CK58" s="290">
        <f ca="1">MAX((-XNPV(EqInv_ReqIRR,$C44:CK44,$C41:CK41)*FV(EqInv_ReqIRR,(CK41-$C41)/365,0,-1))+$C19,Cust_FinalPymtAtTermEnd)</f>
        <v>100</v>
      </c>
      <c r="CL58" s="290">
        <f ca="1">MAX((-XNPV(EqInv_ReqIRR,$C44:CL44,$C41:CL41)*FV(EqInv_ReqIRR,(CL41-$C41)/365,0,-1))+$C19,Cust_FinalPymtAtTermEnd)</f>
        <v>100</v>
      </c>
      <c r="CM58" s="290">
        <f ca="1">MAX((-XNPV(EqInv_ReqIRR,$C44:CM44,$C41:CM41)*FV(EqInv_ReqIRR,(CM41-$C41)/365,0,-1))+$C19,Cust_FinalPymtAtTermEnd)</f>
        <v>100</v>
      </c>
      <c r="CN58" s="290">
        <f ca="1">MAX((-XNPV(EqInv_ReqIRR,$C44:CN44,$C41:CN41)*FV(EqInv_ReqIRR,(CN41-$C41)/365,0,-1))+$C19,Cust_FinalPymtAtTermEnd)</f>
        <v>100</v>
      </c>
      <c r="CO58" s="290">
        <f ca="1">MAX((-XNPV(EqInv_ReqIRR,$C44:CO44,$C41:CO41)*FV(EqInv_ReqIRR,(CO41-$C41)/365,0,-1))+$C19,Cust_FinalPymtAtTermEnd)</f>
        <v>100</v>
      </c>
      <c r="CP58" s="290">
        <f ca="1">MAX((-XNPV(EqInv_ReqIRR,$C44:CP44,$C41:CP41)*FV(EqInv_ReqIRR,(CP41-$C41)/365,0,-1))+$C19,Cust_FinalPymtAtTermEnd)</f>
        <v>100</v>
      </c>
      <c r="CQ58" s="290">
        <f ca="1">MAX((-XNPV(EqInv_ReqIRR,$C44:CQ44,$C41:CQ41)*FV(EqInv_ReqIRR,(CQ41-$C41)/365,0,-1))+$C19,Cust_FinalPymtAtTermEnd)</f>
        <v>100</v>
      </c>
      <c r="CR58" s="290">
        <f ca="1">MAX((-XNPV(EqInv_ReqIRR,$C44:CR44,$C41:CR41)*FV(EqInv_ReqIRR,(CR41-$C41)/365,0,-1))+$C19,Cust_FinalPymtAtTermEnd)</f>
        <v>100</v>
      </c>
      <c r="CS58" s="290">
        <f ca="1">MAX((-XNPV(EqInv_ReqIRR,$C44:CS44,$C41:CS41)*FV(EqInv_ReqIRR,(CS41-$C41)/365,0,-1))+$C19,Cust_FinalPymtAtTermEnd)</f>
        <v>100</v>
      </c>
      <c r="CT58" s="290">
        <f ca="1">MAX((-XNPV(EqInv_ReqIRR,$C44:CT44,$C41:CT41)*FV(EqInv_ReqIRR,(CT41-$C41)/365,0,-1))+$C19,Cust_FinalPymtAtTermEnd)</f>
        <v>100</v>
      </c>
      <c r="CU58" s="290">
        <f ca="1">MAX((-XNPV(EqInv_ReqIRR,$C44:CU44,$C41:CU41)*FV(EqInv_ReqIRR,(CU41-$C41)/365,0,-1))+$C19,Cust_FinalPymtAtTermEnd)</f>
        <v>100</v>
      </c>
      <c r="CV58" s="290">
        <f ca="1">MAX((-XNPV(EqInv_ReqIRR,$C44:CV44,$C41:CV41)*FV(EqInv_ReqIRR,(CV41-$C41)/365,0,-1))+$C19,Cust_FinalPymtAtTermEnd)</f>
        <v>100</v>
      </c>
      <c r="CW58" s="290">
        <f ca="1">MAX((-XNPV(EqInv_ReqIRR,$C44:CW44,$C41:CW41)*FV(EqInv_ReqIRR,(CW41-$C41)/365,0,-1))+$C19,Cust_FinalPymtAtTermEnd)</f>
        <v>100</v>
      </c>
      <c r="CX58" s="290">
        <f ca="1">MAX((-XNPV(EqInv_ReqIRR,$C44:CX44,$C41:CX41)*FV(EqInv_ReqIRR,(CX41-$C41)/365,0,-1))+$C19,Cust_FinalPymtAtTermEnd)</f>
        <v>100</v>
      </c>
      <c r="CY58" s="290">
        <f ca="1">MAX((-XNPV(EqInv_ReqIRR,$C44:CY44,$C41:CY41)*FV(EqInv_ReqIRR,(CY41-$C41)/365,0,-1))+$C19,Cust_FinalPymtAtTermEnd)</f>
        <v>100</v>
      </c>
      <c r="CZ58" s="290">
        <f ca="1">MAX((-XNPV(EqInv_ReqIRR,$C44:CZ44,$C41:CZ41)*FV(EqInv_ReqIRR,(CZ41-$C41)/365,0,-1))+$C19,Cust_FinalPymtAtTermEnd)</f>
        <v>100</v>
      </c>
      <c r="DA58" s="290">
        <f ca="1">MAX((-XNPV(EqInv_ReqIRR,$C44:DA44,$C41:DA41)*FV(EqInv_ReqIRR,(DA41-$C41)/365,0,-1))+$C19,Cust_FinalPymtAtTermEnd)</f>
        <v>100</v>
      </c>
      <c r="DB58" s="290">
        <f ca="1">MAX((-XNPV(EqInv_ReqIRR,$C44:DB44,$C41:DB41)*FV(EqInv_ReqIRR,(DB41-$C41)/365,0,-1))+$C19,Cust_FinalPymtAtTermEnd)</f>
        <v>100</v>
      </c>
      <c r="DC58" s="290">
        <f ca="1">MAX((-XNPV(EqInv_ReqIRR,$C44:DC44,$C41:DC41)*FV(EqInv_ReqIRR,(DC41-$C41)/365,0,-1))+$C19,Cust_FinalPymtAtTermEnd)</f>
        <v>100</v>
      </c>
      <c r="DD58" s="290">
        <f ca="1">MAX((-XNPV(EqInv_ReqIRR,$C44:DD44,$C41:DD41)*FV(EqInv_ReqIRR,(DD41-$C41)/365,0,-1))+$C19,Cust_FinalPymtAtTermEnd)</f>
        <v>100</v>
      </c>
      <c r="DE58" s="290">
        <f ca="1">MAX((-XNPV(EqInv_ReqIRR,$C44:DE44,$C41:DE41)*FV(EqInv_ReqIRR,(DE41-$C41)/365,0,-1))+$C19,Cust_FinalPymtAtTermEnd)</f>
        <v>100</v>
      </c>
      <c r="DF58" s="290">
        <f ca="1">MAX((-XNPV(EqInv_ReqIRR,$C44:DF44,$C41:DF41)*FV(EqInv_ReqIRR,(DF41-$C41)/365,0,-1))+$C19,Cust_FinalPymtAtTermEnd)</f>
        <v>100</v>
      </c>
      <c r="DG58" s="290">
        <f ca="1">MAX((-XNPV(EqInv_ReqIRR,$C44:DG44,$C41:DG41)*FV(EqInv_ReqIRR,(DG41-$C41)/365,0,-1))+$C19,Cust_FinalPymtAtTermEnd)</f>
        <v>100</v>
      </c>
      <c r="DH58" s="290">
        <f ca="1">MAX((-XNPV(EqInv_ReqIRR,$C44:DH44,$C41:DH41)*FV(EqInv_ReqIRR,(DH41-$C41)/365,0,-1))+$C19,Cust_FinalPymtAtTermEnd)</f>
        <v>100</v>
      </c>
      <c r="DI58" s="290">
        <f ca="1">MAX((-XNPV(EqInv_ReqIRR,$C44:DI44,$C41:DI41)*FV(EqInv_ReqIRR,(DI41-$C41)/365,0,-1))+$C19,Cust_FinalPymtAtTermEnd)</f>
        <v>100</v>
      </c>
      <c r="DJ58" s="290">
        <f ca="1">MAX((-XNPV(EqInv_ReqIRR,$C44:DJ44,$C41:DJ41)*FV(EqInv_ReqIRR,(DJ41-$C41)/365,0,-1))+$C19,Cust_FinalPymtAtTermEnd)</f>
        <v>100</v>
      </c>
      <c r="DK58" s="290">
        <f ca="1">MAX((-XNPV(EqInv_ReqIRR,$C44:DK44,$C41:DK41)*FV(EqInv_ReqIRR,(DK41-$C41)/365,0,-1))+$C19,Cust_FinalPymtAtTermEnd)</f>
        <v>100</v>
      </c>
      <c r="DL58" s="290">
        <f ca="1">MAX((-XNPV(EqInv_ReqIRR,$C44:DL44,$C41:DL41)*FV(EqInv_ReqIRR,(DL41-$C41)/365,0,-1))+$C19,Cust_FinalPymtAtTermEnd)</f>
        <v>100</v>
      </c>
      <c r="DM58" s="290">
        <f ca="1">MAX((-XNPV(EqInv_ReqIRR,$C44:DM44,$C41:DM41)*FV(EqInv_ReqIRR,(DM41-$C41)/365,0,-1))+$C19,Cust_FinalPymtAtTermEnd)</f>
        <v>100</v>
      </c>
      <c r="DN58" s="290">
        <f ca="1">MAX((-XNPV(EqInv_ReqIRR,$C44:DN44,$C41:DN41)*FV(EqInv_ReqIRR,(DN41-$C41)/365,0,-1))+$C19,Cust_FinalPymtAtTermEnd)</f>
        <v>100</v>
      </c>
      <c r="DO58" s="290">
        <f ca="1">MAX((-XNPV(EqInv_ReqIRR,$C44:DO44,$C41:DO41)*FV(EqInv_ReqIRR,(DO41-$C41)/365,0,-1))+$C19,Cust_FinalPymtAtTermEnd)</f>
        <v>100</v>
      </c>
      <c r="DP58" s="290">
        <f ca="1">MAX((-XNPV(EqInv_ReqIRR,$C44:DP44,$C41:DP41)*FV(EqInv_ReqIRR,(DP41-$C41)/365,0,-1))+$C19,Cust_FinalPymtAtTermEnd)</f>
        <v>100</v>
      </c>
      <c r="DQ58" s="290">
        <f ca="1">MAX((-XNPV(EqInv_ReqIRR,$C44:DQ44,$C41:DQ41)*FV(EqInv_ReqIRR,(DQ41-$C41)/365,0,-1))+$C19,Cust_FinalPymtAtTermEnd)</f>
        <v>100</v>
      </c>
      <c r="DR58" s="290">
        <f ca="1">MAX((-XNPV(EqInv_ReqIRR,$C44:DR44,$C41:DR41)*FV(EqInv_ReqIRR,(DR41-$C41)/365,0,-1))+$C19,Cust_FinalPymtAtTermEnd)</f>
        <v>100</v>
      </c>
      <c r="DS58" s="290">
        <f ca="1">MAX((-XNPV(EqInv_ReqIRR,$C44:DS44,$C41:DS41)*FV(EqInv_ReqIRR,(DS41-$C41)/365,0,-1))+$C19,Cust_FinalPymtAtTermEnd)</f>
        <v>100</v>
      </c>
      <c r="DT58" s="290">
        <f ca="1">MAX((-XNPV(EqInv_ReqIRR,$C44:DT44,$C41:DT41)*FV(EqInv_ReqIRR,(DT41-$C41)/365,0,-1))+$C19,Cust_FinalPymtAtTermEnd)</f>
        <v>100</v>
      </c>
      <c r="DU58" s="290">
        <f ca="1">MAX((-XNPV(EqInv_ReqIRR,$C44:DU44,$C41:DU41)*FV(EqInv_ReqIRR,(DU41-$C41)/365,0,-1))+$C19,Cust_FinalPymtAtTermEnd)</f>
        <v>100</v>
      </c>
      <c r="DV58" s="290">
        <f ca="1">MAX((-XNPV(EqInv_ReqIRR,$C44:DV44,$C41:DV41)*FV(EqInv_ReqIRR,(DV41-$C41)/365,0,-1))+$C19,Cust_FinalPymtAtTermEnd)</f>
        <v>100</v>
      </c>
      <c r="DW58" s="290">
        <f ca="1">MAX((-XNPV(EqInv_ReqIRR,$C44:DW44,$C41:DW41)*FV(EqInv_ReqIRR,(DW41-$C41)/365,0,-1))+$C19,Cust_FinalPymtAtTermEnd)</f>
        <v>100</v>
      </c>
      <c r="DX58" s="290">
        <f ca="1">MAX((-XNPV(EqInv_ReqIRR,$C44:DX44,$C41:DX41)*FV(EqInv_ReqIRR,(DX41-$C41)/365,0,-1))+$C19,Cust_FinalPymtAtTermEnd)</f>
        <v>100</v>
      </c>
      <c r="DY58" s="290">
        <f ca="1">MAX((-XNPV(EqInv_ReqIRR,$C44:DY44,$C41:DY41)*FV(EqInv_ReqIRR,(DY41-$C41)/365,0,-1))+$C19,Cust_FinalPymtAtTermEnd)</f>
        <v>100</v>
      </c>
      <c r="DZ58" s="290">
        <f ca="1">MAX((-XNPV(EqInv_ReqIRR,$C44:DZ44,$C41:DZ41)*FV(EqInv_ReqIRR,(DZ41-$C41)/365,0,-1))+$C19,Cust_FinalPymtAtTermEnd)</f>
        <v>100</v>
      </c>
      <c r="EA58" s="290">
        <f ca="1">MAX((-XNPV(EqInv_ReqIRR,$C44:EA44,$C41:EA41)*FV(EqInv_ReqIRR,(EA41-$C41)/365,0,-1))+$C19,Cust_FinalPymtAtTermEnd)</f>
        <v>100</v>
      </c>
      <c r="EB58" s="290">
        <f ca="1">MAX((-XNPV(EqInv_ReqIRR,$C44:EB44,$C41:EB41)*FV(EqInv_ReqIRR,(EB41-$C41)/365,0,-1))+$C19,Cust_FinalPymtAtTermEnd)</f>
        <v>100</v>
      </c>
      <c r="EC58" s="290">
        <f ca="1">MAX((-XNPV(EqInv_ReqIRR,$C44:EC44,$C41:EC41)*FV(EqInv_ReqIRR,(EC41-$C41)/365,0,-1))+$C19,Cust_FinalPymtAtTermEnd)</f>
        <v>100</v>
      </c>
      <c r="ED58" s="290">
        <f ca="1">MAX((-XNPV(EqInv_ReqIRR,$C44:ED44,$C41:ED41)*FV(EqInv_ReqIRR,(ED41-$C41)/365,0,-1))+$C19,Cust_FinalPymtAtTermEnd)</f>
        <v>100</v>
      </c>
      <c r="EE58" s="290">
        <f ca="1">MAX((-XNPV(EqInv_ReqIRR,$C44:EE44,$C41:EE41)*FV(EqInv_ReqIRR,(EE41-$C41)/365,0,-1))+$C19,Cust_FinalPymtAtTermEnd)</f>
        <v>100</v>
      </c>
      <c r="EF58" s="290">
        <f ca="1">MAX((-XNPV(EqInv_ReqIRR,$C44:EF44,$C41:EF41)*FV(EqInv_ReqIRR,(EF41-$C41)/365,0,-1))+$C19,Cust_FinalPymtAtTermEnd)</f>
        <v>100</v>
      </c>
      <c r="EG58" s="290">
        <f ca="1">MAX((-XNPV(EqInv_ReqIRR,$C44:EG44,$C41:EG41)*FV(EqInv_ReqIRR,(EG41-$C41)/365,0,-1))+$C19,Cust_FinalPymtAtTermEnd)</f>
        <v>100</v>
      </c>
      <c r="EH58" s="290">
        <f ca="1">MAX((-XNPV(EqInv_ReqIRR,$C44:EH44,$C41:EH41)*FV(EqInv_ReqIRR,(EH41-$C41)/365,0,-1))+$C19,Cust_FinalPymtAtTermEnd)</f>
        <v>100</v>
      </c>
      <c r="EI58" s="290">
        <f ca="1">MAX((-XNPV(EqInv_ReqIRR,$C44:EI44,$C41:EI41)*FV(EqInv_ReqIRR,(EI41-$C41)/365,0,-1))+$C19,Cust_FinalPymtAtTermEnd)</f>
        <v>100</v>
      </c>
      <c r="EJ58" s="290">
        <f ca="1">MAX((-XNPV(EqInv_ReqIRR,$C44:EJ44,$C41:EJ41)*FV(EqInv_ReqIRR,(EJ41-$C41)/365,0,-1))+$C19,Cust_FinalPymtAtTermEnd)</f>
        <v>100</v>
      </c>
      <c r="EK58" s="290">
        <f ca="1">MAX((-XNPV(EqInv_ReqIRR,$C44:EK44,$C41:EK41)*FV(EqInv_ReqIRR,(EK41-$C41)/365,0,-1))+$C19,Cust_FinalPymtAtTermEnd)</f>
        <v>100</v>
      </c>
      <c r="EL58" s="290">
        <f ca="1">MAX((-XNPV(EqInv_ReqIRR,$C44:EL44,$C41:EL41)*FV(EqInv_ReqIRR,(EL41-$C41)/365,0,-1))+$C19,Cust_FinalPymtAtTermEnd)</f>
        <v>100</v>
      </c>
      <c r="EM58" s="290">
        <f ca="1">MAX((-XNPV(EqInv_ReqIRR,$C44:EM44,$C41:EM41)*FV(EqInv_ReqIRR,(EM41-$C41)/365,0,-1))+$C19,Cust_FinalPymtAtTermEnd)</f>
        <v>100</v>
      </c>
      <c r="EN58" s="290">
        <f ca="1">MAX((-XNPV(EqInv_ReqIRR,$C44:EN44,$C41:EN41)*FV(EqInv_ReqIRR,(EN41-$C41)/365,0,-1))+$C19,Cust_FinalPymtAtTermEnd)</f>
        <v>100</v>
      </c>
      <c r="EO58" s="290">
        <f ca="1">MAX((-XNPV(EqInv_ReqIRR,$C44:EO44,$C41:EO41)*FV(EqInv_ReqIRR,(EO41-$C41)/365,0,-1))+$C19,Cust_FinalPymtAtTermEnd)</f>
        <v>100</v>
      </c>
      <c r="EP58" s="290">
        <f ca="1">MAX((-XNPV(EqInv_ReqIRR,$C44:EP44,$C41:EP41)*FV(EqInv_ReqIRR,(EP41-$C41)/365,0,-1))+$C19,Cust_FinalPymtAtTermEnd)</f>
        <v>100</v>
      </c>
      <c r="EQ58" s="290">
        <f ca="1">MAX((-XNPV(EqInv_ReqIRR,$C44:EQ44,$C41:EQ41)*FV(EqInv_ReqIRR,(EQ41-$C41)/365,0,-1))+$C19,Cust_FinalPymtAtTermEnd)</f>
        <v>100</v>
      </c>
      <c r="ER58" s="290">
        <f ca="1">MAX((-XNPV(EqInv_ReqIRR,$C44:ER44,$C41:ER41)*FV(EqInv_ReqIRR,(ER41-$C41)/365,0,-1))+$C19,Cust_FinalPymtAtTermEnd)</f>
        <v>100</v>
      </c>
      <c r="ES58" s="290">
        <f ca="1">MAX((-XNPV(EqInv_ReqIRR,$C44:ES44,$C41:ES41)*FV(EqInv_ReqIRR,(ES41-$C41)/365,0,-1))+$C19,Cust_FinalPymtAtTermEnd)</f>
        <v>100</v>
      </c>
      <c r="ET58" s="290">
        <f ca="1">MAX((-XNPV(EqInv_ReqIRR,$C44:ET44,$C41:ET41)*FV(EqInv_ReqIRR,(ET41-$C41)/365,0,-1))+$C19,Cust_FinalPymtAtTermEnd)</f>
        <v>100</v>
      </c>
      <c r="EU58" s="290">
        <f ca="1">MAX((-XNPV(EqInv_ReqIRR,$C44:EU44,$C41:EU41)*FV(EqInv_ReqIRR,(EU41-$C41)/365,0,-1))+$C19,Cust_FinalPymtAtTermEnd)</f>
        <v>100</v>
      </c>
      <c r="EV58" s="290">
        <f ca="1">MAX((-XNPV(EqInv_ReqIRR,$C44:EV44,$C41:EV41)*FV(EqInv_ReqIRR,(EV41-$C41)/365,0,-1))+$C19,Cust_FinalPymtAtTermEnd)</f>
        <v>100</v>
      </c>
      <c r="EW58" s="290">
        <f ca="1">MAX((-XNPV(EqInv_ReqIRR,$C44:EW44,$C41:EW41)*FV(EqInv_ReqIRR,(EW41-$C41)/365,0,-1))+$C19,Cust_FinalPymtAtTermEnd)</f>
        <v>100</v>
      </c>
      <c r="EX58" s="290">
        <f ca="1">MAX((-XNPV(EqInv_ReqIRR,$C44:EX44,$C41:EX41)*FV(EqInv_ReqIRR,(EX41-$C41)/365,0,-1))+$C19,Cust_FinalPymtAtTermEnd)</f>
        <v>100</v>
      </c>
      <c r="EY58" s="290">
        <f ca="1">MAX((-XNPV(EqInv_ReqIRR,$C44:EY44,$C41:EY41)*FV(EqInv_ReqIRR,(EY41-$C41)/365,0,-1))+$C19,Cust_FinalPymtAtTermEnd)</f>
        <v>100</v>
      </c>
      <c r="EZ58" s="290">
        <f ca="1">MAX((-XNPV(EqInv_ReqIRR,$C44:EZ44,$C41:EZ41)*FV(EqInv_ReqIRR,(EZ41-$C41)/365,0,-1))+$C19,Cust_FinalPymtAtTermEnd)</f>
        <v>100</v>
      </c>
      <c r="FA58" s="290">
        <f ca="1">MAX((-XNPV(EqInv_ReqIRR,$C44:FA44,$C41:FA41)*FV(EqInv_ReqIRR,(FA41-$C41)/365,0,-1))+$C19,Cust_FinalPymtAtTermEnd)</f>
        <v>100</v>
      </c>
      <c r="FB58" s="290">
        <f ca="1">MAX((-XNPV(EqInv_ReqIRR,$C44:FB44,$C41:FB41)*FV(EqInv_ReqIRR,(FB41-$C41)/365,0,-1))+$C19,Cust_FinalPymtAtTermEnd)</f>
        <v>100</v>
      </c>
      <c r="FC58" s="290">
        <f ca="1">MAX((-XNPV(EqInv_ReqIRR,$C44:FC44,$C41:FC41)*FV(EqInv_ReqIRR,(FC41-$C41)/365,0,-1))+$C19,Cust_FinalPymtAtTermEnd)</f>
        <v>100</v>
      </c>
      <c r="FD58" s="290">
        <f ca="1">MAX((-XNPV(EqInv_ReqIRR,$C44:FD44,$C41:FD41)*FV(EqInv_ReqIRR,(FD41-$C41)/365,0,-1))+$C19,Cust_FinalPymtAtTermEnd)</f>
        <v>100</v>
      </c>
      <c r="FE58" s="290">
        <f ca="1">MAX((-XNPV(EqInv_ReqIRR,$C44:FE44,$C41:FE41)*FV(EqInv_ReqIRR,(FE41-$C41)/365,0,-1))+$C19,Cust_FinalPymtAtTermEnd)</f>
        <v>100</v>
      </c>
      <c r="FF58" s="290">
        <f ca="1">MAX((-XNPV(EqInv_ReqIRR,$C44:FF44,$C41:FF41)*FV(EqInv_ReqIRR,(FF41-$C41)/365,0,-1))+$C19,Cust_FinalPymtAtTermEnd)</f>
        <v>100</v>
      </c>
      <c r="FG58" s="290">
        <f ca="1">MAX((-XNPV(EqInv_ReqIRR,$C44:FG44,$C41:FG41)*FV(EqInv_ReqIRR,(FG41-$C41)/365,0,-1))+$C19,Cust_FinalPymtAtTermEnd)</f>
        <v>100</v>
      </c>
      <c r="FH58" s="290">
        <f ca="1">MAX((-XNPV(EqInv_ReqIRR,$C44:FH44,$C41:FH41)*FV(EqInv_ReqIRR,(FH41-$C41)/365,0,-1))+$C19,Cust_FinalPymtAtTermEnd)</f>
        <v>100</v>
      </c>
      <c r="FI58" s="290">
        <f ca="1">MAX((-XNPV(EqInv_ReqIRR,$C44:FI44,$C41:FI41)*FV(EqInv_ReqIRR,(FI41-$C41)/365,0,-1))+$C19,Cust_FinalPymtAtTermEnd)</f>
        <v>100</v>
      </c>
      <c r="FJ58" s="290">
        <f ca="1">MAX((-XNPV(EqInv_ReqIRR,$C44:FJ44,$C41:FJ41)*FV(EqInv_ReqIRR,(FJ41-$C41)/365,0,-1))+$C19,Cust_FinalPymtAtTermEnd)</f>
        <v>100</v>
      </c>
      <c r="FK58" s="290">
        <f ca="1">MAX((-XNPV(EqInv_ReqIRR,$C44:FK44,$C41:FK41)*FV(EqInv_ReqIRR,(FK41-$C41)/365,0,-1))+$C19,Cust_FinalPymtAtTermEnd)</f>
        <v>100</v>
      </c>
      <c r="FL58" s="290">
        <f ca="1">MAX((-XNPV(EqInv_ReqIRR,$C44:FL44,$C41:FL41)*FV(EqInv_ReqIRR,(FL41-$C41)/365,0,-1))+$C19,Cust_FinalPymtAtTermEnd)</f>
        <v>100</v>
      </c>
      <c r="FM58" s="290">
        <f ca="1">MAX((-XNPV(EqInv_ReqIRR,$C44:FM44,$C41:FM41)*FV(EqInv_ReqIRR,(FM41-$C41)/365,0,-1))+$C19,Cust_FinalPymtAtTermEnd)</f>
        <v>100</v>
      </c>
      <c r="FN58" s="290">
        <f ca="1">MAX((-XNPV(EqInv_ReqIRR,$C44:FN44,$C41:FN41)*FV(EqInv_ReqIRR,(FN41-$C41)/365,0,-1))+$C19,Cust_FinalPymtAtTermEnd)</f>
        <v>100</v>
      </c>
      <c r="FO58" s="290">
        <f ca="1">MAX((-XNPV(EqInv_ReqIRR,$C44:FO44,$C41:FO41)*FV(EqInv_ReqIRR,(FO41-$C41)/365,0,-1))+$C19,Cust_FinalPymtAtTermEnd)</f>
        <v>100</v>
      </c>
      <c r="FP58" s="290">
        <f ca="1">MAX((-XNPV(EqInv_ReqIRR,$C44:FP44,$C41:FP41)*FV(EqInv_ReqIRR,(FP41-$C41)/365,0,-1))+$C19,Cust_FinalPymtAtTermEnd)</f>
        <v>100</v>
      </c>
      <c r="FQ58" s="290">
        <f ca="1">MAX((-XNPV(EqInv_ReqIRR,$C44:FQ44,$C41:FQ41)*FV(EqInv_ReqIRR,(FQ41-$C41)/365,0,-1))+$C19,Cust_FinalPymtAtTermEnd)</f>
        <v>100</v>
      </c>
      <c r="FR58" s="290">
        <f ca="1">MAX((-XNPV(EqInv_ReqIRR,$C44:FR44,$C41:FR41)*FV(EqInv_ReqIRR,(FR41-$C41)/365,0,-1))+$C19,Cust_FinalPymtAtTermEnd)</f>
        <v>100</v>
      </c>
      <c r="FS58" s="290">
        <f ca="1">MAX((-XNPV(EqInv_ReqIRR,$C44:FS44,$C41:FS41)*FV(EqInv_ReqIRR,(FS41-$C41)/365,0,-1))+$C19,Cust_FinalPymtAtTermEnd)</f>
        <v>100</v>
      </c>
      <c r="FT58" s="290">
        <f ca="1">MAX((-XNPV(EqInv_ReqIRR,$C44:FT44,$C41:FT41)*FV(EqInv_ReqIRR,(FT41-$C41)/365,0,-1))+$C19,Cust_FinalPymtAtTermEnd)</f>
        <v>100</v>
      </c>
      <c r="FU58" s="290">
        <f ca="1">MAX((-XNPV(EqInv_ReqIRR,$C44:FU44,$C41:FU41)*FV(EqInv_ReqIRR,(FU41-$C41)/365,0,-1))+$C19,Cust_FinalPymtAtTermEnd)</f>
        <v>100</v>
      </c>
      <c r="FV58" s="290">
        <f ca="1">MAX((-XNPV(EqInv_ReqIRR,$C44:FV44,$C41:FV41)*FV(EqInv_ReqIRR,(FV41-$C41)/365,0,-1))+$C19,Cust_FinalPymtAtTermEnd)</f>
        <v>100</v>
      </c>
      <c r="FW58" s="290">
        <f ca="1">MAX((-XNPV(EqInv_ReqIRR,$C44:FW44,$C41:FW41)*FV(EqInv_ReqIRR,(FW41-$C41)/365,0,-1))+$C19,Cust_FinalPymtAtTermEnd)</f>
        <v>100</v>
      </c>
      <c r="FX58" s="290">
        <f ca="1">MAX((-XNPV(EqInv_ReqIRR,$C44:FX44,$C41:FX41)*FV(EqInv_ReqIRR,(FX41-$C41)/365,0,-1))+$C19,Cust_FinalPymtAtTermEnd)</f>
        <v>100</v>
      </c>
      <c r="FY58" s="290">
        <f ca="1">MAX((-XNPV(EqInv_ReqIRR,$C44:FY44,$C41:FY41)*FV(EqInv_ReqIRR,(FY41-$C41)/365,0,-1))+$C19,Cust_FinalPymtAtTermEnd)</f>
        <v>100</v>
      </c>
      <c r="FZ58" s="290">
        <f ca="1">MAX((-XNPV(EqInv_ReqIRR,$C44:FZ44,$C41:FZ41)*FV(EqInv_ReqIRR,(FZ41-$C41)/365,0,-1))+$C19,Cust_FinalPymtAtTermEnd)</f>
        <v>100</v>
      </c>
      <c r="GA58" s="290">
        <f ca="1">MAX((-XNPV(EqInv_ReqIRR,$C44:GA44,$C41:GA41)*FV(EqInv_ReqIRR,(GA41-$C41)/365,0,-1))+$C19,Cust_FinalPymtAtTermEnd)</f>
        <v>100</v>
      </c>
    </row>
    <row r="59" spans="1:183" x14ac:dyDescent="0.15">
      <c r="A59" s="72" t="s">
        <v>357</v>
      </c>
      <c r="BK59" s="345" t="e">
        <f t="shared" ref="BK59:DW59" ca="1" si="26">BK58/$C$2</f>
        <v>#DIV/0!</v>
      </c>
      <c r="BL59" s="345" t="e">
        <f t="shared" ca="1" si="26"/>
        <v>#DIV/0!</v>
      </c>
      <c r="BM59" s="345" t="e">
        <f t="shared" ca="1" si="26"/>
        <v>#DIV/0!</v>
      </c>
      <c r="BN59" s="345" t="e">
        <f t="shared" ca="1" si="26"/>
        <v>#DIV/0!</v>
      </c>
      <c r="BO59" s="345" t="e">
        <f t="shared" ca="1" si="26"/>
        <v>#DIV/0!</v>
      </c>
      <c r="BP59" s="345" t="e">
        <f t="shared" ca="1" si="26"/>
        <v>#DIV/0!</v>
      </c>
      <c r="BQ59" s="345" t="e">
        <f t="shared" ca="1" si="26"/>
        <v>#DIV/0!</v>
      </c>
      <c r="BR59" s="345" t="e">
        <f t="shared" ca="1" si="26"/>
        <v>#DIV/0!</v>
      </c>
      <c r="BS59" s="345" t="e">
        <f t="shared" ca="1" si="26"/>
        <v>#DIV/0!</v>
      </c>
      <c r="BT59" s="345" t="e">
        <f t="shared" ca="1" si="26"/>
        <v>#DIV/0!</v>
      </c>
      <c r="BU59" s="345" t="e">
        <f t="shared" ca="1" si="26"/>
        <v>#DIV/0!</v>
      </c>
      <c r="BV59" s="345" t="e">
        <f t="shared" ca="1" si="26"/>
        <v>#DIV/0!</v>
      </c>
      <c r="BW59" s="345" t="e">
        <f t="shared" ca="1" si="26"/>
        <v>#DIV/0!</v>
      </c>
      <c r="BX59" s="345" t="e">
        <f t="shared" ca="1" si="26"/>
        <v>#DIV/0!</v>
      </c>
      <c r="BY59" s="345" t="e">
        <f t="shared" ca="1" si="26"/>
        <v>#DIV/0!</v>
      </c>
      <c r="BZ59" s="345" t="e">
        <f t="shared" ca="1" si="26"/>
        <v>#DIV/0!</v>
      </c>
      <c r="CA59" s="345" t="e">
        <f t="shared" ca="1" si="26"/>
        <v>#DIV/0!</v>
      </c>
      <c r="CB59" s="345" t="e">
        <f t="shared" ca="1" si="26"/>
        <v>#DIV/0!</v>
      </c>
      <c r="CC59" s="345" t="e">
        <f t="shared" ca="1" si="26"/>
        <v>#DIV/0!</v>
      </c>
      <c r="CD59" s="345" t="e">
        <f t="shared" ca="1" si="26"/>
        <v>#DIV/0!</v>
      </c>
      <c r="CE59" s="345" t="e">
        <f t="shared" ca="1" si="26"/>
        <v>#DIV/0!</v>
      </c>
      <c r="CF59" s="345" t="e">
        <f t="shared" ca="1" si="26"/>
        <v>#DIV/0!</v>
      </c>
      <c r="CG59" s="345" t="e">
        <f t="shared" ca="1" si="26"/>
        <v>#DIV/0!</v>
      </c>
      <c r="CH59" s="345" t="e">
        <f t="shared" ca="1" si="26"/>
        <v>#DIV/0!</v>
      </c>
      <c r="CI59" s="345" t="e">
        <f t="shared" ca="1" si="26"/>
        <v>#DIV/0!</v>
      </c>
      <c r="CJ59" s="345" t="e">
        <f t="shared" ca="1" si="26"/>
        <v>#DIV/0!</v>
      </c>
      <c r="CK59" s="345" t="e">
        <f t="shared" ca="1" si="26"/>
        <v>#DIV/0!</v>
      </c>
      <c r="CL59" s="345" t="e">
        <f t="shared" ca="1" si="26"/>
        <v>#DIV/0!</v>
      </c>
      <c r="CM59" s="345" t="e">
        <f t="shared" ca="1" si="26"/>
        <v>#DIV/0!</v>
      </c>
      <c r="CN59" s="345" t="e">
        <f t="shared" ca="1" si="26"/>
        <v>#DIV/0!</v>
      </c>
      <c r="CO59" s="345" t="e">
        <f t="shared" ca="1" si="26"/>
        <v>#DIV/0!</v>
      </c>
      <c r="CP59" s="345" t="e">
        <f t="shared" ca="1" si="26"/>
        <v>#DIV/0!</v>
      </c>
      <c r="CQ59" s="345" t="e">
        <f t="shared" ca="1" si="26"/>
        <v>#DIV/0!</v>
      </c>
      <c r="CR59" s="345" t="e">
        <f t="shared" ca="1" si="26"/>
        <v>#DIV/0!</v>
      </c>
      <c r="CS59" s="345" t="e">
        <f t="shared" ca="1" si="26"/>
        <v>#DIV/0!</v>
      </c>
      <c r="CT59" s="345" t="e">
        <f t="shared" ca="1" si="26"/>
        <v>#DIV/0!</v>
      </c>
      <c r="CU59" s="345" t="e">
        <f t="shared" ca="1" si="26"/>
        <v>#DIV/0!</v>
      </c>
      <c r="CV59" s="345" t="e">
        <f t="shared" ca="1" si="26"/>
        <v>#DIV/0!</v>
      </c>
      <c r="CW59" s="345" t="e">
        <f t="shared" ca="1" si="26"/>
        <v>#DIV/0!</v>
      </c>
      <c r="CX59" s="345" t="e">
        <f t="shared" ca="1" si="26"/>
        <v>#DIV/0!</v>
      </c>
      <c r="CY59" s="345" t="e">
        <f t="shared" ca="1" si="26"/>
        <v>#DIV/0!</v>
      </c>
      <c r="CZ59" s="345" t="e">
        <f t="shared" ca="1" si="26"/>
        <v>#DIV/0!</v>
      </c>
      <c r="DA59" s="345" t="e">
        <f t="shared" ca="1" si="26"/>
        <v>#DIV/0!</v>
      </c>
      <c r="DB59" s="345" t="e">
        <f t="shared" ca="1" si="26"/>
        <v>#DIV/0!</v>
      </c>
      <c r="DC59" s="345" t="e">
        <f t="shared" ca="1" si="26"/>
        <v>#DIV/0!</v>
      </c>
      <c r="DD59" s="345" t="e">
        <f t="shared" ca="1" si="26"/>
        <v>#DIV/0!</v>
      </c>
      <c r="DE59" s="345" t="e">
        <f t="shared" ca="1" si="26"/>
        <v>#DIV/0!</v>
      </c>
      <c r="DF59" s="345" t="e">
        <f t="shared" ca="1" si="26"/>
        <v>#DIV/0!</v>
      </c>
      <c r="DG59" s="345" t="e">
        <f t="shared" ca="1" si="26"/>
        <v>#DIV/0!</v>
      </c>
      <c r="DH59" s="345" t="e">
        <f t="shared" ca="1" si="26"/>
        <v>#DIV/0!</v>
      </c>
      <c r="DI59" s="345" t="e">
        <f t="shared" ca="1" si="26"/>
        <v>#DIV/0!</v>
      </c>
      <c r="DJ59" s="345" t="e">
        <f t="shared" ca="1" si="26"/>
        <v>#DIV/0!</v>
      </c>
      <c r="DK59" s="345" t="e">
        <f t="shared" ca="1" si="26"/>
        <v>#DIV/0!</v>
      </c>
      <c r="DL59" s="345" t="e">
        <f t="shared" ca="1" si="26"/>
        <v>#DIV/0!</v>
      </c>
      <c r="DM59" s="345" t="e">
        <f t="shared" ca="1" si="26"/>
        <v>#DIV/0!</v>
      </c>
      <c r="DN59" s="345" t="e">
        <f t="shared" ca="1" si="26"/>
        <v>#DIV/0!</v>
      </c>
      <c r="DO59" s="345" t="e">
        <f t="shared" ca="1" si="26"/>
        <v>#DIV/0!</v>
      </c>
      <c r="DP59" s="345" t="e">
        <f t="shared" ca="1" si="26"/>
        <v>#DIV/0!</v>
      </c>
      <c r="DQ59" s="345" t="e">
        <f t="shared" ca="1" si="26"/>
        <v>#DIV/0!</v>
      </c>
      <c r="DR59" s="345" t="e">
        <f t="shared" ca="1" si="26"/>
        <v>#DIV/0!</v>
      </c>
      <c r="DS59" s="345" t="e">
        <f t="shared" ca="1" si="26"/>
        <v>#DIV/0!</v>
      </c>
      <c r="DT59" s="345" t="e">
        <f t="shared" ca="1" si="26"/>
        <v>#DIV/0!</v>
      </c>
      <c r="DU59" s="345" t="e">
        <f t="shared" ca="1" si="26"/>
        <v>#DIV/0!</v>
      </c>
      <c r="DV59" s="345" t="e">
        <f t="shared" ca="1" si="26"/>
        <v>#DIV/0!</v>
      </c>
      <c r="DW59" s="345" t="e">
        <f t="shared" ca="1" si="26"/>
        <v>#DIV/0!</v>
      </c>
      <c r="DX59" s="345" t="e">
        <f t="shared" ref="DX59:GA59" ca="1" si="27">DX58/$C$2</f>
        <v>#DIV/0!</v>
      </c>
      <c r="DY59" s="345" t="e">
        <f t="shared" ca="1" si="27"/>
        <v>#DIV/0!</v>
      </c>
      <c r="DZ59" s="345" t="e">
        <f t="shared" ca="1" si="27"/>
        <v>#DIV/0!</v>
      </c>
      <c r="EA59" s="345" t="e">
        <f t="shared" ca="1" si="27"/>
        <v>#DIV/0!</v>
      </c>
      <c r="EB59" s="345" t="e">
        <f t="shared" ca="1" si="27"/>
        <v>#DIV/0!</v>
      </c>
      <c r="EC59" s="345" t="e">
        <f t="shared" ca="1" si="27"/>
        <v>#DIV/0!</v>
      </c>
      <c r="ED59" s="345" t="e">
        <f t="shared" ca="1" si="27"/>
        <v>#DIV/0!</v>
      </c>
      <c r="EE59" s="345" t="e">
        <f t="shared" ca="1" si="27"/>
        <v>#DIV/0!</v>
      </c>
      <c r="EF59" s="345" t="e">
        <f t="shared" ca="1" si="27"/>
        <v>#DIV/0!</v>
      </c>
      <c r="EG59" s="345" t="e">
        <f t="shared" ca="1" si="27"/>
        <v>#DIV/0!</v>
      </c>
      <c r="EH59" s="345" t="e">
        <f t="shared" ca="1" si="27"/>
        <v>#DIV/0!</v>
      </c>
      <c r="EI59" s="345" t="e">
        <f t="shared" ca="1" si="27"/>
        <v>#DIV/0!</v>
      </c>
      <c r="EJ59" s="345" t="e">
        <f t="shared" ca="1" si="27"/>
        <v>#DIV/0!</v>
      </c>
      <c r="EK59" s="345" t="e">
        <f t="shared" ca="1" si="27"/>
        <v>#DIV/0!</v>
      </c>
      <c r="EL59" s="345" t="e">
        <f t="shared" ca="1" si="27"/>
        <v>#DIV/0!</v>
      </c>
      <c r="EM59" s="345" t="e">
        <f t="shared" ca="1" si="27"/>
        <v>#DIV/0!</v>
      </c>
      <c r="EN59" s="345" t="e">
        <f t="shared" ca="1" si="27"/>
        <v>#DIV/0!</v>
      </c>
      <c r="EO59" s="345" t="e">
        <f t="shared" ca="1" si="27"/>
        <v>#DIV/0!</v>
      </c>
      <c r="EP59" s="345" t="e">
        <f t="shared" ca="1" si="27"/>
        <v>#DIV/0!</v>
      </c>
      <c r="EQ59" s="345" t="e">
        <f t="shared" ca="1" si="27"/>
        <v>#DIV/0!</v>
      </c>
      <c r="ER59" s="345" t="e">
        <f t="shared" ca="1" si="27"/>
        <v>#DIV/0!</v>
      </c>
      <c r="ES59" s="345" t="e">
        <f t="shared" ca="1" si="27"/>
        <v>#DIV/0!</v>
      </c>
      <c r="ET59" s="345" t="e">
        <f t="shared" ca="1" si="27"/>
        <v>#DIV/0!</v>
      </c>
      <c r="EU59" s="345" t="e">
        <f t="shared" ca="1" si="27"/>
        <v>#DIV/0!</v>
      </c>
      <c r="EV59" s="345" t="e">
        <f t="shared" ca="1" si="27"/>
        <v>#DIV/0!</v>
      </c>
      <c r="EW59" s="345" t="e">
        <f t="shared" ca="1" si="27"/>
        <v>#DIV/0!</v>
      </c>
      <c r="EX59" s="345" t="e">
        <f t="shared" ca="1" si="27"/>
        <v>#DIV/0!</v>
      </c>
      <c r="EY59" s="345" t="e">
        <f t="shared" ca="1" si="27"/>
        <v>#DIV/0!</v>
      </c>
      <c r="EZ59" s="345" t="e">
        <f t="shared" ca="1" si="27"/>
        <v>#DIV/0!</v>
      </c>
      <c r="FA59" s="345" t="e">
        <f t="shared" ca="1" si="27"/>
        <v>#DIV/0!</v>
      </c>
      <c r="FB59" s="345" t="e">
        <f t="shared" ca="1" si="27"/>
        <v>#DIV/0!</v>
      </c>
      <c r="FC59" s="345" t="e">
        <f t="shared" ca="1" si="27"/>
        <v>#DIV/0!</v>
      </c>
      <c r="FD59" s="345" t="e">
        <f t="shared" ca="1" si="27"/>
        <v>#DIV/0!</v>
      </c>
      <c r="FE59" s="345" t="e">
        <f t="shared" ca="1" si="27"/>
        <v>#DIV/0!</v>
      </c>
      <c r="FF59" s="345" t="e">
        <f t="shared" ca="1" si="27"/>
        <v>#DIV/0!</v>
      </c>
      <c r="FG59" s="345" t="e">
        <f t="shared" ca="1" si="27"/>
        <v>#DIV/0!</v>
      </c>
      <c r="FH59" s="345" t="e">
        <f t="shared" ca="1" si="27"/>
        <v>#DIV/0!</v>
      </c>
      <c r="FI59" s="345" t="e">
        <f t="shared" ca="1" si="27"/>
        <v>#DIV/0!</v>
      </c>
      <c r="FJ59" s="345" t="e">
        <f t="shared" ca="1" si="27"/>
        <v>#DIV/0!</v>
      </c>
      <c r="FK59" s="345" t="e">
        <f t="shared" ca="1" si="27"/>
        <v>#DIV/0!</v>
      </c>
      <c r="FL59" s="345" t="e">
        <f t="shared" ca="1" si="27"/>
        <v>#DIV/0!</v>
      </c>
      <c r="FM59" s="345" t="e">
        <f t="shared" ca="1" si="27"/>
        <v>#DIV/0!</v>
      </c>
      <c r="FN59" s="345" t="e">
        <f t="shared" ca="1" si="27"/>
        <v>#DIV/0!</v>
      </c>
      <c r="FO59" s="345" t="e">
        <f t="shared" ca="1" si="27"/>
        <v>#DIV/0!</v>
      </c>
      <c r="FP59" s="345" t="e">
        <f t="shared" ca="1" si="27"/>
        <v>#DIV/0!</v>
      </c>
      <c r="FQ59" s="345" t="e">
        <f t="shared" ca="1" si="27"/>
        <v>#DIV/0!</v>
      </c>
      <c r="FR59" s="345" t="e">
        <f t="shared" ca="1" si="27"/>
        <v>#DIV/0!</v>
      </c>
      <c r="FS59" s="345" t="e">
        <f t="shared" ca="1" si="27"/>
        <v>#DIV/0!</v>
      </c>
      <c r="FT59" s="345" t="e">
        <f t="shared" ca="1" si="27"/>
        <v>#DIV/0!</v>
      </c>
      <c r="FU59" s="345" t="e">
        <f t="shared" ca="1" si="27"/>
        <v>#DIV/0!</v>
      </c>
      <c r="FV59" s="345" t="e">
        <f t="shared" ca="1" si="27"/>
        <v>#DIV/0!</v>
      </c>
      <c r="FW59" s="345" t="e">
        <f t="shared" ca="1" si="27"/>
        <v>#DIV/0!</v>
      </c>
      <c r="FX59" s="345" t="e">
        <f t="shared" ca="1" si="27"/>
        <v>#DIV/0!</v>
      </c>
      <c r="FY59" s="345" t="e">
        <f t="shared" ca="1" si="27"/>
        <v>#DIV/0!</v>
      </c>
      <c r="FZ59" s="345" t="e">
        <f t="shared" ca="1" si="27"/>
        <v>#DIV/0!</v>
      </c>
      <c r="GA59" s="345" t="e">
        <f t="shared" ca="1" si="27"/>
        <v>#DIV/0!</v>
      </c>
    </row>
    <row r="61" spans="1:183" x14ac:dyDescent="0.15">
      <c r="A61" s="72" t="s">
        <v>681</v>
      </c>
      <c r="P61" s="465">
        <f>$C$16/12</f>
        <v>696</v>
      </c>
      <c r="Q61" s="465">
        <f t="shared" ref="Q61:AA61" si="28">$C$16/12</f>
        <v>696</v>
      </c>
      <c r="R61" s="465">
        <f t="shared" si="28"/>
        <v>696</v>
      </c>
      <c r="S61" s="465">
        <f t="shared" si="28"/>
        <v>696</v>
      </c>
      <c r="T61" s="465">
        <f t="shared" si="28"/>
        <v>696</v>
      </c>
      <c r="U61" s="465">
        <f t="shared" si="28"/>
        <v>696</v>
      </c>
      <c r="V61" s="465">
        <f t="shared" si="28"/>
        <v>696</v>
      </c>
      <c r="W61" s="465">
        <f t="shared" si="28"/>
        <v>696</v>
      </c>
      <c r="X61" s="465">
        <f t="shared" si="28"/>
        <v>696</v>
      </c>
      <c r="Y61" s="465">
        <f t="shared" si="28"/>
        <v>696</v>
      </c>
      <c r="Z61" s="465">
        <f t="shared" si="28"/>
        <v>696</v>
      </c>
      <c r="AA61" s="465">
        <f t="shared" si="28"/>
        <v>696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landscape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35"/>
  <sheetViews>
    <sheetView zoomScaleNormal="100" zoomScalePageLayoutView="15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ColWidth="11.42578125" defaultRowHeight="10.5" x14ac:dyDescent="0.15"/>
  <cols>
    <col min="1" max="1" width="8.42578125" style="36" bestFit="1" customWidth="1"/>
    <col min="2" max="2" width="5.28515625" style="36" bestFit="1" customWidth="1"/>
    <col min="3" max="3" width="9.85546875" style="37" bestFit="1" customWidth="1"/>
    <col min="4" max="4" width="10.42578125" style="37" bestFit="1" customWidth="1"/>
    <col min="5" max="7" width="10.42578125" style="73" customWidth="1"/>
    <col min="8" max="9" width="9" style="73" bestFit="1" customWidth="1"/>
    <col min="10" max="10" width="10" style="36" bestFit="1" customWidth="1"/>
    <col min="11" max="11" width="2.7109375" style="36" customWidth="1"/>
    <col min="12" max="12" width="11.7109375" style="39" customWidth="1"/>
    <col min="13" max="13" width="8" style="39" customWidth="1"/>
    <col min="14" max="14" width="9.85546875" style="39" bestFit="1" customWidth="1"/>
    <col min="15" max="15" width="9.85546875" style="75" bestFit="1" customWidth="1"/>
    <col min="16" max="16" width="2.7109375" style="39" customWidth="1"/>
    <col min="17" max="17" width="9.140625" style="222" customWidth="1"/>
    <col min="18" max="18" width="10.42578125" style="75" bestFit="1" customWidth="1"/>
    <col min="19" max="21" width="10.42578125" style="75" customWidth="1"/>
    <col min="22" max="22" width="8.42578125" style="75" customWidth="1"/>
    <col min="23" max="23" width="9" style="75" bestFit="1" customWidth="1"/>
    <col min="24" max="24" width="9.28515625" style="39" bestFit="1" customWidth="1"/>
    <col min="25" max="25" width="2.7109375" style="75" customWidth="1"/>
    <col min="26" max="26" width="10.7109375" style="36" customWidth="1"/>
    <col min="27" max="27" width="7.5703125" style="72" bestFit="1" customWidth="1"/>
    <col min="28" max="28" width="9.85546875" style="72" bestFit="1" customWidth="1"/>
    <col min="29" max="29" width="2.7109375" style="36" customWidth="1"/>
    <col min="30" max="30" width="12.5703125" style="72" customWidth="1"/>
    <col min="31" max="32" width="9.140625" style="36" bestFit="1" customWidth="1"/>
    <col min="33" max="33" width="2.7109375" style="72" customWidth="1"/>
    <col min="34" max="34" width="10.140625" style="72" bestFit="1" customWidth="1"/>
    <col min="35" max="35" width="13.42578125" style="72" bestFit="1" customWidth="1"/>
    <col min="36" max="36" width="4.7109375" style="38" customWidth="1"/>
    <col min="37" max="39" width="11.42578125" style="74"/>
    <col min="40" max="40" width="2.7109375" style="74" customWidth="1"/>
    <col min="41" max="41" width="9.85546875" style="74" bestFit="1" customWidth="1"/>
    <col min="42" max="42" width="12" style="74" customWidth="1"/>
    <col min="43" max="43" width="10.7109375" style="38" bestFit="1" customWidth="1"/>
    <col min="44" max="44" width="11.28515625" style="38" bestFit="1" customWidth="1"/>
    <col min="45" max="45" width="11" style="74" bestFit="1" customWidth="1"/>
    <col min="46" max="46" width="10.85546875" style="38" customWidth="1"/>
    <col min="47" max="47" width="10.85546875" style="74" customWidth="1"/>
    <col min="48" max="48" width="10.7109375" style="38" bestFit="1" customWidth="1"/>
    <col min="49" max="49" width="11.28515625" style="38" bestFit="1" customWidth="1"/>
    <col min="50" max="50" width="11" style="74" bestFit="1" customWidth="1"/>
    <col min="51" max="51" width="10.85546875" style="38" customWidth="1"/>
    <col min="52" max="52" width="3" style="38" bestFit="1" customWidth="1"/>
    <col min="53" max="53" width="2.7109375" style="74" customWidth="1"/>
    <col min="54" max="54" width="9" style="38" bestFit="1" customWidth="1"/>
    <col min="55" max="16384" width="11.42578125" style="38"/>
  </cols>
  <sheetData>
    <row r="1" spans="1:57" s="74" customFormat="1" ht="13.5" customHeight="1" thickBot="1" x14ac:dyDescent="0.25">
      <c r="A1" s="72"/>
      <c r="B1" s="72"/>
      <c r="C1" s="73"/>
      <c r="D1" s="625" t="s">
        <v>39</v>
      </c>
      <c r="E1" s="626"/>
      <c r="F1" s="626"/>
      <c r="G1" s="626"/>
      <c r="H1" s="626"/>
      <c r="I1" s="626"/>
      <c r="J1" s="627"/>
      <c r="K1" s="72"/>
      <c r="L1" s="628" t="s">
        <v>233</v>
      </c>
      <c r="M1" s="629"/>
      <c r="N1" s="629"/>
      <c r="O1" s="630"/>
      <c r="P1" s="75"/>
      <c r="Q1" s="625" t="s">
        <v>40</v>
      </c>
      <c r="R1" s="633"/>
      <c r="S1" s="633"/>
      <c r="T1" s="633"/>
      <c r="U1" s="633"/>
      <c r="V1" s="633"/>
      <c r="W1" s="633"/>
      <c r="X1" s="634"/>
      <c r="Y1" s="75"/>
      <c r="Z1" s="628" t="s">
        <v>526</v>
      </c>
      <c r="AA1" s="629"/>
      <c r="AB1" s="630"/>
      <c r="AC1" s="72"/>
      <c r="AD1" s="628" t="s">
        <v>525</v>
      </c>
      <c r="AE1" s="629"/>
      <c r="AF1" s="630"/>
      <c r="AG1" s="44"/>
      <c r="AH1" s="631" t="s">
        <v>557</v>
      </c>
      <c r="AI1" s="632"/>
      <c r="AK1" s="259" t="str">
        <f>"Tarifa "&amp;CFE_Limite</f>
        <v>Tarifa 1</v>
      </c>
      <c r="AL1" s="259" t="s">
        <v>126</v>
      </c>
      <c r="AM1" s="259" t="s">
        <v>68</v>
      </c>
      <c r="AN1" s="215"/>
      <c r="AO1" s="259" t="s">
        <v>644</v>
      </c>
      <c r="AP1" s="494" t="str">
        <f>"Tarifa "&amp;CFE_Limite&amp;" - TEMPORADA DE VERANO"</f>
        <v>Tarifa 1 - TEMPORADA DE VERANO</v>
      </c>
      <c r="AQ1" s="496"/>
      <c r="AR1" s="496"/>
      <c r="AS1" s="496"/>
      <c r="AT1" s="495"/>
      <c r="AU1" s="494" t="str">
        <f>"Tarifa "&amp;CFE_Limite&amp;" - TEMPORADA FUERA DE VERANO"</f>
        <v>Tarifa 1 - TEMPORADA FUERA DE VERANO</v>
      </c>
      <c r="AV1" s="496"/>
      <c r="AW1" s="496"/>
      <c r="AX1" s="496"/>
      <c r="AY1" s="495"/>
      <c r="AZ1" s="74">
        <f>MATCH(AP1,CFE_History_Tarifa1!$B$1:$B$98,0)</f>
        <v>2</v>
      </c>
      <c r="BB1" s="494" t="s">
        <v>68</v>
      </c>
      <c r="BC1" s="496"/>
      <c r="BD1" s="496"/>
      <c r="BE1" s="495"/>
    </row>
    <row r="2" spans="1:57" s="34" customFormat="1" ht="31.5" customHeight="1" thickTop="1" x14ac:dyDescent="0.15">
      <c r="A2" s="219"/>
      <c r="B2" s="219"/>
      <c r="C2" s="209" t="s">
        <v>163</v>
      </c>
      <c r="D2" s="208" t="s">
        <v>226</v>
      </c>
      <c r="E2" s="207" t="s">
        <v>227</v>
      </c>
      <c r="F2" s="207" t="s">
        <v>228</v>
      </c>
      <c r="G2" s="207" t="s">
        <v>232</v>
      </c>
      <c r="H2" s="207" t="s">
        <v>229</v>
      </c>
      <c r="I2" s="207" t="s">
        <v>230</v>
      </c>
      <c r="J2" s="206" t="s">
        <v>18</v>
      </c>
      <c r="K2" s="219"/>
      <c r="L2" s="156" t="s">
        <v>234</v>
      </c>
      <c r="M2" s="157" t="s">
        <v>231</v>
      </c>
      <c r="N2" s="157" t="s">
        <v>164</v>
      </c>
      <c r="O2" s="158" t="s">
        <v>208</v>
      </c>
      <c r="P2" s="219"/>
      <c r="Q2" s="208" t="s">
        <v>183</v>
      </c>
      <c r="R2" s="207" t="s">
        <v>226</v>
      </c>
      <c r="S2" s="207" t="s">
        <v>227</v>
      </c>
      <c r="T2" s="207" t="s">
        <v>228</v>
      </c>
      <c r="U2" s="207" t="s">
        <v>232</v>
      </c>
      <c r="V2" s="207" t="s">
        <v>229</v>
      </c>
      <c r="W2" s="207" t="s">
        <v>230</v>
      </c>
      <c r="X2" s="206" t="s">
        <v>18</v>
      </c>
      <c r="Y2" s="219"/>
      <c r="Z2" s="156" t="s">
        <v>522</v>
      </c>
      <c r="AA2" s="157" t="s">
        <v>523</v>
      </c>
      <c r="AB2" s="158" t="s">
        <v>521</v>
      </c>
      <c r="AC2" s="219"/>
      <c r="AD2" s="156" t="s">
        <v>524</v>
      </c>
      <c r="AE2" s="157" t="s">
        <v>235</v>
      </c>
      <c r="AF2" s="158" t="s">
        <v>236</v>
      </c>
      <c r="AG2" s="174"/>
      <c r="AH2" s="174" t="str">
        <f>X2&amp;" (Year 1)"</f>
        <v>CFE Bill (Year 1)</v>
      </c>
      <c r="AI2" s="175" t="str">
        <f>AD2&amp;" (Year 1)"</f>
        <v>CFE + MySOL Bill (Year 1)</v>
      </c>
      <c r="AJ2" s="74"/>
      <c r="AK2" s="619" t="s">
        <v>332</v>
      </c>
      <c r="AL2" s="620"/>
      <c r="AM2" s="621"/>
      <c r="AN2" s="215"/>
      <c r="AO2" s="617" t="s">
        <v>331</v>
      </c>
      <c r="AP2" s="245" t="s">
        <v>330</v>
      </c>
      <c r="AQ2" s="245" t="s">
        <v>313</v>
      </c>
      <c r="AR2" s="246" t="s">
        <v>314</v>
      </c>
      <c r="AS2" s="246" t="s">
        <v>315</v>
      </c>
      <c r="AT2" s="247" t="s">
        <v>291</v>
      </c>
      <c r="AU2" s="274" t="s">
        <v>330</v>
      </c>
      <c r="AV2" s="275" t="s">
        <v>313</v>
      </c>
      <c r="AW2" s="246" t="s">
        <v>314</v>
      </c>
      <c r="AX2" s="246" t="s">
        <v>315</v>
      </c>
      <c r="AY2" s="247" t="s">
        <v>291</v>
      </c>
      <c r="AZ2" s="74">
        <f>MATCH(AU1,CFE_History_Tarifa1!$B$1:$B$98,0)</f>
        <v>9</v>
      </c>
      <c r="BA2" s="74"/>
      <c r="BB2" s="274" t="s">
        <v>330</v>
      </c>
      <c r="BC2" s="275" t="s">
        <v>313</v>
      </c>
      <c r="BD2" s="246" t="s">
        <v>314</v>
      </c>
      <c r="BE2" s="247" t="s">
        <v>291</v>
      </c>
    </row>
    <row r="3" spans="1:57" s="218" customFormat="1" ht="21" x14ac:dyDescent="0.15">
      <c r="A3" s="219"/>
      <c r="B3" s="179"/>
      <c r="C3" s="178"/>
      <c r="D3" s="177"/>
      <c r="E3" s="176"/>
      <c r="F3" s="176"/>
      <c r="G3" s="176"/>
      <c r="H3" s="176"/>
      <c r="I3" s="176"/>
      <c r="J3" s="175" t="s">
        <v>141</v>
      </c>
      <c r="K3" s="179"/>
      <c r="L3" s="174"/>
      <c r="M3" s="173"/>
      <c r="N3" s="173"/>
      <c r="O3" s="175"/>
      <c r="P3" s="179"/>
      <c r="Q3" s="177"/>
      <c r="R3" s="176"/>
      <c r="S3" s="176"/>
      <c r="T3" s="176"/>
      <c r="U3" s="176"/>
      <c r="V3" s="176"/>
      <c r="W3" s="176"/>
      <c r="X3" s="175" t="s">
        <v>141</v>
      </c>
      <c r="Y3" s="179"/>
      <c r="Z3" s="174"/>
      <c r="AA3" s="173"/>
      <c r="AB3" s="175"/>
      <c r="AC3" s="179"/>
      <c r="AD3" s="174" t="s">
        <v>527</v>
      </c>
      <c r="AE3" s="173" t="s">
        <v>176</v>
      </c>
      <c r="AF3" s="175" t="s">
        <v>192</v>
      </c>
      <c r="AG3" s="174"/>
      <c r="AH3" s="402" t="str">
        <f>X3&amp;" (Año 1)"</f>
        <v>Recibo CFE (Año 1)</v>
      </c>
      <c r="AI3" s="403" t="str">
        <f>AD3&amp;" (Año 1)"</f>
        <v>Recibo CFE + MySOL (Año 1)</v>
      </c>
      <c r="AK3" s="622"/>
      <c r="AL3" s="623"/>
      <c r="AM3" s="624"/>
      <c r="AN3" s="215"/>
      <c r="AO3" s="618"/>
      <c r="AP3" s="269" t="s">
        <v>328</v>
      </c>
      <c r="AQ3" s="248">
        <f>INDEX(CFE_History_Tarifa1!$A$1:$DR$98,$AZ$1+2,1)</f>
        <v>75</v>
      </c>
      <c r="AR3" s="249">
        <f>INDEX(CFE_History_Tarifa1!$A$1:$DR$98,$AZ$1+3,1)</f>
        <v>65</v>
      </c>
      <c r="AS3" s="249">
        <f>INDEX(CFE_History_Tarifa1!$A$1:$DR$98,$AZ$1+4,1)</f>
        <v>0</v>
      </c>
      <c r="AT3" s="250">
        <f>INDEX(CFE_History_Tarifa1!$A$1:$DR$98,$AZ$1+5,1)</f>
        <v>0</v>
      </c>
      <c r="AU3" s="276"/>
      <c r="AV3" s="277">
        <f>INDEX(CFE_History_Tarifa1!$A$1:$DR$98,$AZ$2+2,1)</f>
        <v>75</v>
      </c>
      <c r="AW3" s="249">
        <f>INDEX(CFE_History_Tarifa1!$A$1:$DR$98,$AZ$2+3,1)</f>
        <v>65</v>
      </c>
      <c r="AX3" s="249">
        <f>INDEX(CFE_History_Tarifa1!$A$1:$DR$98,$AZ$2+4,1)</f>
        <v>0</v>
      </c>
      <c r="AY3" s="250">
        <f>INDEX(CFE_History_Tarifa1!$A$1:$DR$98,$AZ$2+5,1)</f>
        <v>0</v>
      </c>
      <c r="AZ3" s="74">
        <f>MATCH(CFE_RatePeriod,CFE_History_Tarifa1!$A$1:$DR$1,0)</f>
        <v>8</v>
      </c>
      <c r="BA3" s="74"/>
      <c r="BB3" s="276" t="s">
        <v>328</v>
      </c>
      <c r="BC3" s="277">
        <f>INDEX(CFE_History_Tarifa2!$A$1:$DR$9,5,1)</f>
        <v>50</v>
      </c>
      <c r="BD3" s="249">
        <f>INDEX(CFE_History_Tarifa2!$A$1:$DR$9,6,1)</f>
        <v>50</v>
      </c>
      <c r="BE3" s="250">
        <f>INDEX(CFE_History_Tarifa2!$A$1:$DR$9,7,1)</f>
        <v>0</v>
      </c>
    </row>
    <row r="4" spans="1:57" s="35" customFormat="1" x14ac:dyDescent="0.15">
      <c r="A4" s="220"/>
      <c r="B4" s="220" t="s">
        <v>20</v>
      </c>
      <c r="C4" s="205" t="s">
        <v>166</v>
      </c>
      <c r="D4" s="204" t="s">
        <v>167</v>
      </c>
      <c r="E4" s="203" t="s">
        <v>146</v>
      </c>
      <c r="F4" s="203" t="s">
        <v>146</v>
      </c>
      <c r="G4" s="203" t="s">
        <v>146</v>
      </c>
      <c r="H4" s="203" t="s">
        <v>146</v>
      </c>
      <c r="I4" s="203" t="s">
        <v>146</v>
      </c>
      <c r="J4" s="161" t="s">
        <v>146</v>
      </c>
      <c r="K4" s="220"/>
      <c r="L4" s="159" t="s">
        <v>166</v>
      </c>
      <c r="M4" s="160" t="s">
        <v>19</v>
      </c>
      <c r="N4" s="160" t="s">
        <v>19</v>
      </c>
      <c r="O4" s="161" t="s">
        <v>166</v>
      </c>
      <c r="P4" s="220"/>
      <c r="Q4" s="204"/>
      <c r="R4" s="203" t="s">
        <v>167</v>
      </c>
      <c r="S4" s="203" t="s">
        <v>146</v>
      </c>
      <c r="T4" s="203" t="s">
        <v>146</v>
      </c>
      <c r="U4" s="203" t="s">
        <v>146</v>
      </c>
      <c r="V4" s="203" t="s">
        <v>146</v>
      </c>
      <c r="W4" s="203" t="s">
        <v>146</v>
      </c>
      <c r="X4" s="161" t="s">
        <v>146</v>
      </c>
      <c r="Y4" s="220"/>
      <c r="Z4" s="159" t="s">
        <v>146</v>
      </c>
      <c r="AA4" s="160" t="s">
        <v>146</v>
      </c>
      <c r="AB4" s="161" t="s">
        <v>146</v>
      </c>
      <c r="AC4" s="220"/>
      <c r="AD4" s="159" t="s">
        <v>146</v>
      </c>
      <c r="AE4" s="160"/>
      <c r="AF4" s="161"/>
      <c r="AG4" s="400"/>
      <c r="AH4" s="399"/>
      <c r="AI4" s="401"/>
      <c r="AN4" s="215"/>
      <c r="AP4" s="270" t="s">
        <v>329</v>
      </c>
      <c r="AQ4" s="251">
        <f>INDEX(CFE_History_Tarifa1!$A$1:$DR$98,$AZ$1+2,$AZ$3)</f>
        <v>0.79300000000000004</v>
      </c>
      <c r="AR4" s="252">
        <f>INDEX(CFE_History_Tarifa1!$A$1:$DR$98,$AZ$1+3,$AZ$3)</f>
        <v>0.95599999999999996</v>
      </c>
      <c r="AS4" s="252">
        <f>INDEX(CFE_History_Tarifa1!$A$1:$DR$98,$AZ$1+4,$AZ$3)</f>
        <v>0</v>
      </c>
      <c r="AT4" s="253">
        <f>INDEX(CFE_History_Tarifa1!$A$1:$DR$98,$AZ$1+5,$AZ$3)</f>
        <v>2.802</v>
      </c>
      <c r="AU4" s="278"/>
      <c r="AV4" s="279">
        <f>INDEX(CFE_History_Tarifa1!$A$1:$DR$98,$AZ$2+2,$AZ$3)</f>
        <v>0.79300000000000004</v>
      </c>
      <c r="AW4" s="252">
        <f>INDEX(CFE_History_Tarifa1!$A$1:$DR$98,$AZ$2+3,$AZ$3)</f>
        <v>0.95599999999999996</v>
      </c>
      <c r="AX4" s="252">
        <f>INDEX(CFE_History_Tarifa1!$A$1:$DR$98,$AZ$2+4,$AZ$3)</f>
        <v>0</v>
      </c>
      <c r="AY4" s="253">
        <f>INDEX(CFE_History_Tarifa1!$A$1:$DR$98,$AZ$2+5,$AZ$3)</f>
        <v>2.802</v>
      </c>
      <c r="AZ4" s="74">
        <f>MATCH(CFE_RatePeriod,CFE_History_Tarifa2!$A$3:$DR$3,0)</f>
        <v>8</v>
      </c>
      <c r="BA4" s="74"/>
      <c r="BB4" s="278" t="s">
        <v>329</v>
      </c>
      <c r="BC4" s="279">
        <f>INDEX(CFE_History_Tarifa2!$A$1:$DR$9,5,$AZ$4)</f>
        <v>2.61</v>
      </c>
      <c r="BD4" s="252">
        <f>INDEX(CFE_History_Tarifa2!$A$1:$DR$9,6,$AZ$4)</f>
        <v>3.1469999999999998</v>
      </c>
      <c r="BE4" s="253">
        <f>INDEX(CFE_History_Tarifa2!$A$1:$DR$9,7,$AZ$4)</f>
        <v>3.4689999999999999</v>
      </c>
    </row>
    <row r="5" spans="1:57" x14ac:dyDescent="0.15">
      <c r="A5" s="225">
        <f>DATE(2016,1,1)</f>
        <v>42370</v>
      </c>
      <c r="B5" s="226">
        <v>0</v>
      </c>
      <c r="C5" s="152"/>
      <c r="D5" s="153"/>
      <c r="E5" s="153"/>
      <c r="F5" s="153"/>
      <c r="G5" s="153"/>
      <c r="H5" s="153"/>
      <c r="I5" s="153"/>
      <c r="J5" s="168"/>
      <c r="K5" s="155"/>
      <c r="L5" s="220"/>
      <c r="M5" s="222"/>
      <c r="N5" s="227"/>
      <c r="O5" s="227"/>
      <c r="P5" s="220"/>
      <c r="Q5" s="220"/>
      <c r="R5" s="153"/>
      <c r="S5" s="153"/>
      <c r="T5" s="153"/>
      <c r="U5" s="153"/>
      <c r="V5" s="153"/>
      <c r="W5" s="153"/>
      <c r="X5" s="154"/>
      <c r="Y5" s="220"/>
      <c r="Z5" s="223"/>
      <c r="AA5" s="223"/>
      <c r="AB5" s="223"/>
      <c r="AC5" s="220"/>
      <c r="AD5" s="223"/>
      <c r="AE5" s="152"/>
      <c r="AF5" s="152"/>
      <c r="AG5" s="152"/>
      <c r="AH5" s="152"/>
      <c r="AI5" s="152"/>
      <c r="AN5" s="215"/>
      <c r="AV5" s="74"/>
      <c r="AW5" s="74"/>
      <c r="AY5" s="74"/>
      <c r="BC5" s="74"/>
      <c r="BD5" s="74"/>
      <c r="BE5" s="74"/>
    </row>
    <row r="6" spans="1:57" x14ac:dyDescent="0.15">
      <c r="A6" s="225">
        <f>DATE(YEAR(A5)+1,1,1)</f>
        <v>42736</v>
      </c>
      <c r="B6" s="226">
        <v>1</v>
      </c>
      <c r="C6" s="221">
        <f t="shared" ref="C6:C20" si="0">CustUsage_kWhPerYear</f>
        <v>10000</v>
      </c>
      <c r="D6" s="151">
        <f>CFE_RatePreTaxes</f>
        <v>4.37</v>
      </c>
      <c r="E6" s="202">
        <f>C6*D6</f>
        <v>43700</v>
      </c>
      <c r="F6" s="202">
        <f t="shared" ref="F6:F20" si="1">((CFE_CargoFijo)*((1+CFE_YrIncreasePct)^($B6-1))*12)</f>
        <v>1198.08</v>
      </c>
      <c r="G6" s="202">
        <f>E6+F6</f>
        <v>44898.080000000002</v>
      </c>
      <c r="H6" s="202">
        <f t="shared" ref="H6:H20" si="2">G6*DAP</f>
        <v>4489.808</v>
      </c>
      <c r="I6" s="202">
        <f t="shared" ref="I6:I20" si="3">G6*IVA</f>
        <v>7183.6928000000007</v>
      </c>
      <c r="J6" s="201">
        <f t="shared" ref="J6:J20" si="4">SUM(G6:I6)</f>
        <v>56571.580799999996</v>
      </c>
      <c r="K6" s="223"/>
      <c r="L6" s="162">
        <f t="shared" ref="L6:L20" si="5">Sys_kWhPerYear*M6</f>
        <v>0</v>
      </c>
      <c r="M6" s="200">
        <v>1</v>
      </c>
      <c r="N6" s="200">
        <f t="shared" ref="N6:N20" si="6">L6/C6</f>
        <v>0</v>
      </c>
      <c r="O6" s="163">
        <f>MAX(0,C6-L6)</f>
        <v>10000</v>
      </c>
      <c r="P6" s="220"/>
      <c r="Q6" s="456" t="str">
        <f>CFE_RateCategory</f>
        <v>DAC</v>
      </c>
      <c r="R6" s="453">
        <f>IF(O6=0,"NaN",IF(OR(Q6="DAC",Q6="Tarifa 1"),D6,BB6))</f>
        <v>4.37</v>
      </c>
      <c r="S6" s="202">
        <f>IF(O6=0,0,O6*R6)</f>
        <v>43700</v>
      </c>
      <c r="T6" s="202">
        <f>F6</f>
        <v>1198.08</v>
      </c>
      <c r="U6" s="202">
        <f>S6+T6</f>
        <v>44898.080000000002</v>
      </c>
      <c r="V6" s="202">
        <f t="shared" ref="V6:V20" si="7">U6*DAP</f>
        <v>4489.808</v>
      </c>
      <c r="W6" s="202">
        <f t="shared" ref="W6:W20" si="8">U6*IVA</f>
        <v>7183.6928000000007</v>
      </c>
      <c r="X6" s="201">
        <f t="shared" ref="X6:X20" si="9">SUM(U6:W6)</f>
        <v>56571.580799999996</v>
      </c>
      <c r="Y6" s="220"/>
      <c r="Z6" s="199">
        <f>Sys_kWhPerYear*MySol_TotalRate</f>
        <v>0</v>
      </c>
      <c r="AA6" s="198">
        <f t="shared" ref="AA6:AA20" si="10">Z6*IVA</f>
        <v>0</v>
      </c>
      <c r="AB6" s="197">
        <f>SUM(Z6:AA6)</f>
        <v>0</v>
      </c>
      <c r="AC6" s="220"/>
      <c r="AD6" s="199">
        <f>AB6+X6</f>
        <v>56571.580799999996</v>
      </c>
      <c r="AE6" s="198">
        <f t="shared" ref="AE6:AE20" si="11">J6-AD6</f>
        <v>0</v>
      </c>
      <c r="AF6" s="196">
        <f t="shared" ref="AF6:AF20" si="12">AE6/J6</f>
        <v>0</v>
      </c>
      <c r="AG6" s="300"/>
      <c r="AH6" s="300"/>
      <c r="AI6" s="300"/>
      <c r="AL6" s="450">
        <f>INDEX(CFE_History_DAC!$A$4:$DR$27,MATCH(VLOOKUP(Inputs!$B$18,ListData!$B$2:$C$12,2,FALSE),CFE_History_DAC!$A$4:$A$27,0)+2,MATCH(CFE_RatePeriod,CFE_History_DAC!$A$3:$DR$3,0))</f>
        <v>4.37</v>
      </c>
      <c r="AN6" s="215"/>
      <c r="AV6" s="74"/>
      <c r="AW6" s="74"/>
      <c r="AY6" s="74"/>
      <c r="BB6" s="280">
        <f>SUM(BC6:BE6)/$O6</f>
        <v>3.3981399999999993</v>
      </c>
      <c r="BC6" s="286">
        <f>MIN($O6,BC$3*12)*BC$4</f>
        <v>1566</v>
      </c>
      <c r="BD6" s="254">
        <f>MAX(0,MIN($O6-SUM($BC$3:BC$3)*12,BD$3*12))*BD$4</f>
        <v>1888.1999999999998</v>
      </c>
      <c r="BE6" s="255">
        <f>MAX(0,$O6-SUM($BC$3:BD$3)*12)*BE$4</f>
        <v>30527.199999999997</v>
      </c>
    </row>
    <row r="7" spans="1:57" x14ac:dyDescent="0.15">
      <c r="A7" s="225">
        <f t="shared" ref="A7:A20" si="13">DATE(YEAR(A6)+1,1,1)</f>
        <v>43101</v>
      </c>
      <c r="B7" s="226">
        <v>2</v>
      </c>
      <c r="C7" s="221">
        <f t="shared" si="0"/>
        <v>10000</v>
      </c>
      <c r="D7" s="195">
        <f t="shared" ref="D7:D20" si="14">D6*(1+CFE_YrIncreasePct)</f>
        <v>4.7196000000000007</v>
      </c>
      <c r="E7" s="194">
        <f t="shared" ref="E7:E20" si="15">C7*D7</f>
        <v>47196.000000000007</v>
      </c>
      <c r="F7" s="194">
        <f t="shared" si="1"/>
        <v>1293.9264000000001</v>
      </c>
      <c r="G7" s="194">
        <f t="shared" ref="G7:G20" si="16">E7+F7</f>
        <v>48489.926400000004</v>
      </c>
      <c r="H7" s="194">
        <f t="shared" si="2"/>
        <v>4848.9926400000004</v>
      </c>
      <c r="I7" s="194">
        <f t="shared" si="3"/>
        <v>7758.3882240000012</v>
      </c>
      <c r="J7" s="193">
        <f t="shared" si="4"/>
        <v>61097.30726400001</v>
      </c>
      <c r="K7" s="226"/>
      <c r="L7" s="164">
        <f t="shared" si="5"/>
        <v>0</v>
      </c>
      <c r="M7" s="192">
        <f t="shared" ref="M7:M20" si="17">M6+Sys_YrDegradationRate</f>
        <v>0.995</v>
      </c>
      <c r="N7" s="192">
        <f t="shared" si="6"/>
        <v>0</v>
      </c>
      <c r="O7" s="165">
        <f t="shared" ref="O7:O20" si="18">MAX(0,C7-L7)</f>
        <v>10000</v>
      </c>
      <c r="P7" s="220"/>
      <c r="Q7" s="457" t="str">
        <f>IF(OR(CFE_RateCategory="DAC",CFE_RateCategory="Tarifa 1"),IF(O6&lt;VLOOKUP(CFE_Limite,ListData!$B$49:$D$55,3,FALSE),"Tarifa "&amp;CFE_Limite,"DAC"),"Tarifa 2")</f>
        <v>DAC</v>
      </c>
      <c r="R7" s="454">
        <f>IF(O7=0,"NaN",HLOOKUP($Q7,$AK$1:$AM$20,ROW(R7),FALSE))</f>
        <v>4.7196000000000007</v>
      </c>
      <c r="S7" s="194">
        <f t="shared" ref="S7:S20" si="19">IF(O7=0,0,O7*R7)</f>
        <v>47196.000000000007</v>
      </c>
      <c r="T7" s="194">
        <f t="shared" ref="T7:T20" si="20">F7</f>
        <v>1293.9264000000001</v>
      </c>
      <c r="U7" s="194">
        <f t="shared" ref="U7:U20" si="21">S7+T7</f>
        <v>48489.926400000004</v>
      </c>
      <c r="V7" s="194">
        <f t="shared" si="7"/>
        <v>4848.9926400000004</v>
      </c>
      <c r="W7" s="194">
        <f t="shared" si="8"/>
        <v>7758.3882240000012</v>
      </c>
      <c r="X7" s="193">
        <f t="shared" si="9"/>
        <v>61097.30726400001</v>
      </c>
      <c r="Y7" s="220"/>
      <c r="Z7" s="191">
        <f t="shared" ref="Z7:Z20" si="22">IF(B7&gt;Cust_LeaseTermYears,0,Z6*(1+FinYrIncr))</f>
        <v>0</v>
      </c>
      <c r="AA7" s="190">
        <f t="shared" si="10"/>
        <v>0</v>
      </c>
      <c r="AB7" s="189">
        <f t="shared" ref="AB7:AB20" si="23">SUM(Z7:AA7)</f>
        <v>0</v>
      </c>
      <c r="AC7" s="220"/>
      <c r="AD7" s="191">
        <f t="shared" ref="AD7:AD20" si="24">AB7+X7</f>
        <v>61097.30726400001</v>
      </c>
      <c r="AE7" s="190">
        <f t="shared" si="11"/>
        <v>0</v>
      </c>
      <c r="AF7" s="188">
        <f t="shared" si="12"/>
        <v>0</v>
      </c>
      <c r="AG7" s="300"/>
      <c r="AH7" s="300"/>
      <c r="AI7" s="446"/>
      <c r="AK7" s="447">
        <f>AO7</f>
        <v>2.5515180599999998</v>
      </c>
      <c r="AL7" s="447">
        <f t="shared" ref="AL7:AL20" si="25">AL6*(1+CFE_YrIncreasePct)</f>
        <v>4.7196000000000007</v>
      </c>
      <c r="AM7" s="447">
        <f t="shared" ref="AM7:AM20" si="26">BB7*((1+CFE_YrIncreasePct)^(B7-1))</f>
        <v>3.6699911999999997</v>
      </c>
      <c r="AN7" s="215"/>
      <c r="AO7" s="258">
        <f>AVERAGE(AP7,AU7)</f>
        <v>2.5515180599999998</v>
      </c>
      <c r="AP7" s="271">
        <f>SUM(AQ7:AT7)/$O7</f>
        <v>2.5515180599999998</v>
      </c>
      <c r="AQ7" s="260">
        <f t="shared" ref="AQ7:AQ20" si="27">MIN($O7,AQ$3*12)*(AQ$4*((1+InflationRate)^($B7-1)))</f>
        <v>735.11099999999999</v>
      </c>
      <c r="AR7" s="261">
        <f>MAX(0,MIN($O7-SUM($AQ$3:AQ$3)*12,AR$3*12))*(AR$4*((1+InflationRate)^($B7-1)))</f>
        <v>768.05039999999997</v>
      </c>
      <c r="AS7" s="261">
        <f>MAX(0,MIN($O7-SUM($AQ$3:AR$3)*12,AS$3*12))*(AS$4*((1+InflationRate)^($B7-1)))</f>
        <v>0</v>
      </c>
      <c r="AT7" s="262">
        <f>MAX(0,$O7-SUM($AQ$3:AS$3)*12)*(AT$4*((1+InflationRate)^($B7-1)))</f>
        <v>24012.019199999999</v>
      </c>
      <c r="AU7" s="280">
        <f>SUM(AV7:AY7)/$O7</f>
        <v>2.5515180599999998</v>
      </c>
      <c r="AV7" s="281">
        <f t="shared" ref="AV7:AV20" si="28">MIN($O7,AV$3*12)*(AV$4*((1+InflationRate)^($B7-1)))</f>
        <v>735.11099999999999</v>
      </c>
      <c r="AW7" s="261">
        <f>MAX(0,MIN($O7-SUM($AV$3:AV$3)*12,AW$3*12))*(AW$4*((1+InflationRate)^($B7-1)))</f>
        <v>768.05039999999997</v>
      </c>
      <c r="AX7" s="261">
        <f>MAX(0,MIN($O7-SUM($AV$3:AW$3)*12,AX$3*12))*(AX$4*((1+InflationRate)^($B7-1)))</f>
        <v>0</v>
      </c>
      <c r="AY7" s="262">
        <f>MAX(0,$O7-SUM($AV$3:AX$3)*12)*(AY$4*((1+InflationRate)^($B7-1)))</f>
        <v>24012.019199999999</v>
      </c>
      <c r="BB7" s="282">
        <f>SUM(BC7:BE7)/$O7</f>
        <v>3.3981399999999993</v>
      </c>
      <c r="BC7" s="287">
        <f>MIN($O7,BC$3*12)*BC$4</f>
        <v>1566</v>
      </c>
      <c r="BD7" s="45">
        <f>MAX(0,MIN($O7-SUM($BC$3:BC$3)*12,BD$3*12))*BD$4</f>
        <v>1888.1999999999998</v>
      </c>
      <c r="BE7" s="256">
        <f>MAX(0,$O7-SUM($BC$3:BD$3)*12)*BE$4</f>
        <v>30527.199999999997</v>
      </c>
    </row>
    <row r="8" spans="1:57" x14ac:dyDescent="0.15">
      <c r="A8" s="225">
        <f t="shared" si="13"/>
        <v>43466</v>
      </c>
      <c r="B8" s="226">
        <v>3</v>
      </c>
      <c r="C8" s="221">
        <f t="shared" si="0"/>
        <v>10000</v>
      </c>
      <c r="D8" s="195">
        <f t="shared" si="14"/>
        <v>5.0971680000000008</v>
      </c>
      <c r="E8" s="194">
        <f t="shared" si="15"/>
        <v>50971.680000000008</v>
      </c>
      <c r="F8" s="194">
        <f t="shared" si="1"/>
        <v>1397.4405120000001</v>
      </c>
      <c r="G8" s="194">
        <f t="shared" si="16"/>
        <v>52369.120512000009</v>
      </c>
      <c r="H8" s="194">
        <f t="shared" si="2"/>
        <v>5236.9120512000009</v>
      </c>
      <c r="I8" s="194">
        <f t="shared" si="3"/>
        <v>8379.059281920001</v>
      </c>
      <c r="J8" s="193">
        <f t="shared" si="4"/>
        <v>65985.091845120012</v>
      </c>
      <c r="K8" s="226"/>
      <c r="L8" s="164">
        <f t="shared" si="5"/>
        <v>0</v>
      </c>
      <c r="M8" s="192">
        <f t="shared" si="17"/>
        <v>0.99</v>
      </c>
      <c r="N8" s="192">
        <f t="shared" si="6"/>
        <v>0</v>
      </c>
      <c r="O8" s="165">
        <f t="shared" si="18"/>
        <v>10000</v>
      </c>
      <c r="P8" s="220"/>
      <c r="Q8" s="457" t="str">
        <f>IF(OR(CFE_RateCategory="DAC",CFE_RateCategory="Tarifa 1"),IF(O7&lt;VLOOKUP(CFE_Limite,ListData!$B$49:$D$55,3,FALSE),"Tarifa "&amp;CFE_Limite,"DAC"),"Tarifa 2")</f>
        <v>DAC</v>
      </c>
      <c r="R8" s="454">
        <f t="shared" ref="R8:R20" si="29">IF(O8=0,"NaN",HLOOKUP($Q8,$AK$1:$AM$20,ROW(R8),FALSE))</f>
        <v>5.0971680000000008</v>
      </c>
      <c r="S8" s="194">
        <f t="shared" si="19"/>
        <v>50971.680000000008</v>
      </c>
      <c r="T8" s="194">
        <f t="shared" si="20"/>
        <v>1397.4405120000001</v>
      </c>
      <c r="U8" s="194">
        <f t="shared" si="21"/>
        <v>52369.120512000009</v>
      </c>
      <c r="V8" s="194">
        <f t="shared" si="7"/>
        <v>5236.9120512000009</v>
      </c>
      <c r="W8" s="194">
        <f t="shared" si="8"/>
        <v>8379.059281920001</v>
      </c>
      <c r="X8" s="193">
        <f t="shared" si="9"/>
        <v>65985.091845120012</v>
      </c>
      <c r="Y8" s="220"/>
      <c r="Z8" s="191">
        <f t="shared" si="22"/>
        <v>0</v>
      </c>
      <c r="AA8" s="190">
        <f t="shared" si="10"/>
        <v>0</v>
      </c>
      <c r="AB8" s="189">
        <f t="shared" si="23"/>
        <v>0</v>
      </c>
      <c r="AC8" s="220"/>
      <c r="AD8" s="191">
        <f t="shared" si="24"/>
        <v>65985.091845120012</v>
      </c>
      <c r="AE8" s="190">
        <f t="shared" si="11"/>
        <v>0</v>
      </c>
      <c r="AF8" s="188">
        <f t="shared" si="12"/>
        <v>0</v>
      </c>
      <c r="AG8" s="300"/>
      <c r="AH8" s="300"/>
      <c r="AI8" s="446"/>
      <c r="AK8" s="448">
        <f t="shared" ref="AK8:AK20" si="30">AO8</f>
        <v>2.6280636017999996</v>
      </c>
      <c r="AL8" s="448">
        <f t="shared" si="25"/>
        <v>5.0971680000000008</v>
      </c>
      <c r="AM8" s="448">
        <f t="shared" si="26"/>
        <v>3.9635904959999997</v>
      </c>
      <c r="AN8" s="215"/>
      <c r="AO8" s="258">
        <f t="shared" ref="AO8:AO20" si="31">AVERAGE(AP8,AU8)</f>
        <v>2.6280636017999996</v>
      </c>
      <c r="AP8" s="272">
        <f t="shared" ref="AP8:AP20" si="32">SUM(AQ8:AT8)/$O8</f>
        <v>2.6280636017999996</v>
      </c>
      <c r="AQ8" s="263">
        <f t="shared" si="27"/>
        <v>757.16433000000006</v>
      </c>
      <c r="AR8" s="264">
        <f>MAX(0,MIN($O8-SUM($AQ$3:AQ$3)*12,AR$3*12))*(AR$4*((1+InflationRate)^($B8-1)))</f>
        <v>791.09191199999998</v>
      </c>
      <c r="AS8" s="264">
        <f>MAX(0,MIN($O8-SUM($AQ$3:AR$3)*12,AS$3*12))*(AS$4*((1+InflationRate)^($B8-1)))</f>
        <v>0</v>
      </c>
      <c r="AT8" s="265">
        <f>MAX(0,$O8-SUM($AQ$3:AS$3)*12)*(AT$4*((1+InflationRate)^($B8-1)))</f>
        <v>24732.379775999998</v>
      </c>
      <c r="AU8" s="282">
        <f t="shared" ref="AU8:AU20" si="33">SUM(AV8:AY8)/$O8</f>
        <v>2.6280636017999996</v>
      </c>
      <c r="AV8" s="283">
        <f t="shared" si="28"/>
        <v>757.16433000000006</v>
      </c>
      <c r="AW8" s="264">
        <f>MAX(0,MIN($O8-SUM($AV$3:AV$3)*12,AW$3*12))*(AW$4*((1+InflationRate)^($B8-1)))</f>
        <v>791.09191199999998</v>
      </c>
      <c r="AX8" s="264">
        <f>MAX(0,MIN($O8-SUM($AV$3:AW$3)*12,AX$3*12))*(AX$4*((1+InflationRate)^($B8-1)))</f>
        <v>0</v>
      </c>
      <c r="AY8" s="265">
        <f>MAX(0,$O8-SUM($AV$3:AX$3)*12)*(AY$4*((1+InflationRate)^($B8-1)))</f>
        <v>24732.379775999998</v>
      </c>
      <c r="BB8" s="282">
        <f t="shared" ref="BB8:BB20" si="34">SUM(BC8:BE8)/$O8</f>
        <v>3.3981399999999993</v>
      </c>
      <c r="BC8" s="287">
        <f t="shared" ref="BC8:BC20" si="35">MIN($O8,BC$3*12)*BC$4</f>
        <v>1566</v>
      </c>
      <c r="BD8" s="45">
        <f>MAX(0,MIN($O8-SUM($BC$3:BC$3)*12,BD$3*12))*BD$4</f>
        <v>1888.1999999999998</v>
      </c>
      <c r="BE8" s="256">
        <f>MAX(0,$O8-SUM($BC$3:BD$3)*12)*BE$4</f>
        <v>30527.199999999997</v>
      </c>
    </row>
    <row r="9" spans="1:57" x14ac:dyDescent="0.15">
      <c r="A9" s="225">
        <f t="shared" si="13"/>
        <v>43831</v>
      </c>
      <c r="B9" s="226">
        <v>4</v>
      </c>
      <c r="C9" s="221">
        <f t="shared" si="0"/>
        <v>10000</v>
      </c>
      <c r="D9" s="195">
        <f t="shared" si="14"/>
        <v>5.5049414400000014</v>
      </c>
      <c r="E9" s="194">
        <f t="shared" si="15"/>
        <v>55049.414400000016</v>
      </c>
      <c r="F9" s="194">
        <f t="shared" si="1"/>
        <v>1509.2357529600001</v>
      </c>
      <c r="G9" s="194">
        <f t="shared" si="16"/>
        <v>56558.650152960014</v>
      </c>
      <c r="H9" s="194">
        <f t="shared" si="2"/>
        <v>5655.8650152960017</v>
      </c>
      <c r="I9" s="194">
        <f t="shared" si="3"/>
        <v>9049.384024473602</v>
      </c>
      <c r="J9" s="193">
        <f t="shared" si="4"/>
        <v>71263.899192729616</v>
      </c>
      <c r="K9" s="223"/>
      <c r="L9" s="164">
        <f t="shared" si="5"/>
        <v>0</v>
      </c>
      <c r="M9" s="192">
        <f t="shared" si="17"/>
        <v>0.98499999999999999</v>
      </c>
      <c r="N9" s="192">
        <f t="shared" si="6"/>
        <v>0</v>
      </c>
      <c r="O9" s="165">
        <f t="shared" si="18"/>
        <v>10000</v>
      </c>
      <c r="P9" s="220"/>
      <c r="Q9" s="457" t="str">
        <f>IF(OR(CFE_RateCategory="DAC",CFE_RateCategory="Tarifa 1"),IF(O8&lt;VLOOKUP(CFE_Limite,ListData!$B$49:$D$55,3,FALSE),"Tarifa "&amp;CFE_Limite,"DAC"),"Tarifa 2")</f>
        <v>DAC</v>
      </c>
      <c r="R9" s="454">
        <f t="shared" si="29"/>
        <v>5.5049414400000014</v>
      </c>
      <c r="S9" s="194">
        <f t="shared" si="19"/>
        <v>55049.414400000016</v>
      </c>
      <c r="T9" s="194">
        <f t="shared" si="20"/>
        <v>1509.2357529600001</v>
      </c>
      <c r="U9" s="194">
        <f t="shared" si="21"/>
        <v>56558.650152960014</v>
      </c>
      <c r="V9" s="194">
        <f t="shared" si="7"/>
        <v>5655.8650152960017</v>
      </c>
      <c r="W9" s="194">
        <f t="shared" si="8"/>
        <v>9049.384024473602</v>
      </c>
      <c r="X9" s="193">
        <f t="shared" si="9"/>
        <v>71263.899192729616</v>
      </c>
      <c r="Y9" s="220"/>
      <c r="Z9" s="191">
        <f t="shared" si="22"/>
        <v>0</v>
      </c>
      <c r="AA9" s="190">
        <f t="shared" si="10"/>
        <v>0</v>
      </c>
      <c r="AB9" s="189">
        <f t="shared" si="23"/>
        <v>0</v>
      </c>
      <c r="AC9" s="220"/>
      <c r="AD9" s="191">
        <f t="shared" si="24"/>
        <v>71263.899192729616</v>
      </c>
      <c r="AE9" s="190">
        <f t="shared" si="11"/>
        <v>0</v>
      </c>
      <c r="AF9" s="188">
        <f t="shared" si="12"/>
        <v>0</v>
      </c>
      <c r="AG9" s="300"/>
      <c r="AH9" s="300"/>
      <c r="AI9" s="446"/>
      <c r="AK9" s="448">
        <f t="shared" si="30"/>
        <v>2.7069055098540002</v>
      </c>
      <c r="AL9" s="448">
        <f t="shared" si="25"/>
        <v>5.5049414400000014</v>
      </c>
      <c r="AM9" s="448">
        <f t="shared" si="26"/>
        <v>4.2806777356799994</v>
      </c>
      <c r="AN9" s="215"/>
      <c r="AO9" s="258">
        <f t="shared" si="31"/>
        <v>2.7069055098540002</v>
      </c>
      <c r="AP9" s="272">
        <f t="shared" si="32"/>
        <v>2.7069055098540002</v>
      </c>
      <c r="AQ9" s="263">
        <f t="shared" si="27"/>
        <v>779.87925990000008</v>
      </c>
      <c r="AR9" s="264">
        <f>MAX(0,MIN($O9-SUM($AQ$3:AQ$3)*12,AR$3*12))*(AR$4*((1+InflationRate)^($B9-1)))</f>
        <v>814.82466936000003</v>
      </c>
      <c r="AS9" s="264">
        <f>MAX(0,MIN($O9-SUM($AQ$3:AR$3)*12,AS$3*12))*(AS$4*((1+InflationRate)^($B9-1)))</f>
        <v>0</v>
      </c>
      <c r="AT9" s="265">
        <f>MAX(0,$O9-SUM($AQ$3:AS$3)*12)*(AT$4*((1+InflationRate)^($B9-1)))</f>
        <v>25474.351169280002</v>
      </c>
      <c r="AU9" s="282">
        <f t="shared" si="33"/>
        <v>2.7069055098540002</v>
      </c>
      <c r="AV9" s="283">
        <f t="shared" si="28"/>
        <v>779.87925990000008</v>
      </c>
      <c r="AW9" s="264">
        <f>MAX(0,MIN($O9-SUM($AV$3:AV$3)*12,AW$3*12))*(AW$4*((1+InflationRate)^($B9-1)))</f>
        <v>814.82466936000003</v>
      </c>
      <c r="AX9" s="264">
        <f>MAX(0,MIN($O9-SUM($AV$3:AW$3)*12,AX$3*12))*(AX$4*((1+InflationRate)^($B9-1)))</f>
        <v>0</v>
      </c>
      <c r="AY9" s="265">
        <f>MAX(0,$O9-SUM($AV$3:AX$3)*12)*(AY$4*((1+InflationRate)^($B9-1)))</f>
        <v>25474.351169280002</v>
      </c>
      <c r="BB9" s="282">
        <f t="shared" si="34"/>
        <v>3.3981399999999993</v>
      </c>
      <c r="BC9" s="287">
        <f t="shared" si="35"/>
        <v>1566</v>
      </c>
      <c r="BD9" s="45">
        <f>MAX(0,MIN($O9-SUM($BC$3:BC$3)*12,BD$3*12))*BD$4</f>
        <v>1888.1999999999998</v>
      </c>
      <c r="BE9" s="256">
        <f>MAX(0,$O9-SUM($BC$3:BD$3)*12)*BE$4</f>
        <v>30527.199999999997</v>
      </c>
    </row>
    <row r="10" spans="1:57" x14ac:dyDescent="0.15">
      <c r="A10" s="225">
        <f t="shared" si="13"/>
        <v>44197</v>
      </c>
      <c r="B10" s="226">
        <v>5</v>
      </c>
      <c r="C10" s="221">
        <f t="shared" si="0"/>
        <v>10000</v>
      </c>
      <c r="D10" s="195">
        <f t="shared" si="14"/>
        <v>5.9453367552000023</v>
      </c>
      <c r="E10" s="194">
        <f t="shared" si="15"/>
        <v>59453.367552000025</v>
      </c>
      <c r="F10" s="194">
        <f t="shared" si="1"/>
        <v>1629.9746131968004</v>
      </c>
      <c r="G10" s="194">
        <f t="shared" si="16"/>
        <v>61083.342165196824</v>
      </c>
      <c r="H10" s="194">
        <f t="shared" si="2"/>
        <v>6108.3342165196827</v>
      </c>
      <c r="I10" s="194">
        <f t="shared" si="3"/>
        <v>9773.334746431492</v>
      </c>
      <c r="J10" s="193">
        <f t="shared" si="4"/>
        <v>76965.011128147991</v>
      </c>
      <c r="K10" s="223"/>
      <c r="L10" s="164">
        <f t="shared" si="5"/>
        <v>0</v>
      </c>
      <c r="M10" s="192">
        <f t="shared" si="17"/>
        <v>0.98</v>
      </c>
      <c r="N10" s="192">
        <f t="shared" si="6"/>
        <v>0</v>
      </c>
      <c r="O10" s="165">
        <f t="shared" si="18"/>
        <v>10000</v>
      </c>
      <c r="P10" s="220"/>
      <c r="Q10" s="457" t="str">
        <f>IF(OR(CFE_RateCategory="DAC",CFE_RateCategory="Tarifa 1"),IF(O9&lt;VLOOKUP(CFE_Limite,ListData!$B$49:$D$55,3,FALSE),"Tarifa "&amp;CFE_Limite,"DAC"),"Tarifa 2")</f>
        <v>DAC</v>
      </c>
      <c r="R10" s="454">
        <f t="shared" si="29"/>
        <v>5.9453367552000023</v>
      </c>
      <c r="S10" s="194">
        <f t="shared" si="19"/>
        <v>59453.367552000025</v>
      </c>
      <c r="T10" s="194">
        <f t="shared" si="20"/>
        <v>1629.9746131968004</v>
      </c>
      <c r="U10" s="194">
        <f t="shared" si="21"/>
        <v>61083.342165196824</v>
      </c>
      <c r="V10" s="194">
        <f t="shared" si="7"/>
        <v>6108.3342165196827</v>
      </c>
      <c r="W10" s="194">
        <f t="shared" si="8"/>
        <v>9773.334746431492</v>
      </c>
      <c r="X10" s="193">
        <f t="shared" si="9"/>
        <v>76965.011128147991</v>
      </c>
      <c r="Y10" s="220"/>
      <c r="Z10" s="191">
        <f t="shared" si="22"/>
        <v>0</v>
      </c>
      <c r="AA10" s="190">
        <f t="shared" si="10"/>
        <v>0</v>
      </c>
      <c r="AB10" s="189">
        <f t="shared" si="23"/>
        <v>0</v>
      </c>
      <c r="AC10" s="220"/>
      <c r="AD10" s="191">
        <f t="shared" si="24"/>
        <v>76965.011128147991</v>
      </c>
      <c r="AE10" s="190">
        <f t="shared" si="11"/>
        <v>0</v>
      </c>
      <c r="AF10" s="188">
        <f t="shared" si="12"/>
        <v>0</v>
      </c>
      <c r="AG10" s="300"/>
      <c r="AH10" s="300"/>
      <c r="AI10" s="446"/>
      <c r="AK10" s="448">
        <f t="shared" si="30"/>
        <v>2.7881126751496192</v>
      </c>
      <c r="AL10" s="448">
        <f t="shared" si="25"/>
        <v>5.9453367552000023</v>
      </c>
      <c r="AM10" s="448">
        <f t="shared" si="26"/>
        <v>4.6231319545343998</v>
      </c>
      <c r="AN10" s="215"/>
      <c r="AO10" s="258">
        <f t="shared" si="31"/>
        <v>2.7881126751496192</v>
      </c>
      <c r="AP10" s="272">
        <f t="shared" si="32"/>
        <v>2.7881126751496192</v>
      </c>
      <c r="AQ10" s="263">
        <f t="shared" si="27"/>
        <v>803.27563769699998</v>
      </c>
      <c r="AR10" s="264">
        <f>MAX(0,MIN($O10-SUM($AQ$3:AQ$3)*12,AR$3*12))*(AR$4*((1+InflationRate)^($B10-1)))</f>
        <v>839.26940944080002</v>
      </c>
      <c r="AS10" s="264">
        <f>MAX(0,MIN($O10-SUM($AQ$3:AR$3)*12,AS$3*12))*(AS$4*((1+InflationRate)^($B10-1)))</f>
        <v>0</v>
      </c>
      <c r="AT10" s="265">
        <f>MAX(0,$O10-SUM($AQ$3:AS$3)*12)*(AT$4*((1+InflationRate)^($B10-1)))</f>
        <v>26238.581704358396</v>
      </c>
      <c r="AU10" s="282">
        <f t="shared" si="33"/>
        <v>2.7881126751496192</v>
      </c>
      <c r="AV10" s="283">
        <f t="shared" si="28"/>
        <v>803.27563769699998</v>
      </c>
      <c r="AW10" s="264">
        <f>MAX(0,MIN($O10-SUM($AV$3:AV$3)*12,AW$3*12))*(AW$4*((1+InflationRate)^($B10-1)))</f>
        <v>839.26940944080002</v>
      </c>
      <c r="AX10" s="264">
        <f>MAX(0,MIN($O10-SUM($AV$3:AW$3)*12,AX$3*12))*(AX$4*((1+InflationRate)^($B10-1)))</f>
        <v>0</v>
      </c>
      <c r="AY10" s="265">
        <f>MAX(0,$O10-SUM($AV$3:AX$3)*12)*(AY$4*((1+InflationRate)^($B10-1)))</f>
        <v>26238.581704358396</v>
      </c>
      <c r="BB10" s="282">
        <f t="shared" si="34"/>
        <v>3.3981399999999993</v>
      </c>
      <c r="BC10" s="287">
        <f t="shared" si="35"/>
        <v>1566</v>
      </c>
      <c r="BD10" s="45">
        <f>MAX(0,MIN($O10-SUM($BC$3:BC$3)*12,BD$3*12))*BD$4</f>
        <v>1888.1999999999998</v>
      </c>
      <c r="BE10" s="256">
        <f>MAX(0,$O10-SUM($BC$3:BD$3)*12)*BE$4</f>
        <v>30527.199999999997</v>
      </c>
    </row>
    <row r="11" spans="1:57" x14ac:dyDescent="0.15">
      <c r="A11" s="225">
        <f t="shared" si="13"/>
        <v>44562</v>
      </c>
      <c r="B11" s="226">
        <v>6</v>
      </c>
      <c r="C11" s="221">
        <f t="shared" si="0"/>
        <v>10000</v>
      </c>
      <c r="D11" s="195">
        <f t="shared" si="14"/>
        <v>6.4209636956160026</v>
      </c>
      <c r="E11" s="194">
        <f t="shared" si="15"/>
        <v>64209.636956160022</v>
      </c>
      <c r="F11" s="194">
        <f t="shared" si="1"/>
        <v>1760.3725822525446</v>
      </c>
      <c r="G11" s="194">
        <f t="shared" si="16"/>
        <v>65970.00953841256</v>
      </c>
      <c r="H11" s="194">
        <f t="shared" si="2"/>
        <v>6597.000953841256</v>
      </c>
      <c r="I11" s="194">
        <f t="shared" si="3"/>
        <v>10555.201526146009</v>
      </c>
      <c r="J11" s="193">
        <f t="shared" si="4"/>
        <v>83122.212018399819</v>
      </c>
      <c r="K11" s="223"/>
      <c r="L11" s="164">
        <f t="shared" si="5"/>
        <v>0</v>
      </c>
      <c r="M11" s="192">
        <f t="shared" si="17"/>
        <v>0.97499999999999998</v>
      </c>
      <c r="N11" s="192">
        <f t="shared" si="6"/>
        <v>0</v>
      </c>
      <c r="O11" s="165">
        <f t="shared" si="18"/>
        <v>10000</v>
      </c>
      <c r="P11" s="220"/>
      <c r="Q11" s="457" t="str">
        <f>IF(OR(CFE_RateCategory="DAC",CFE_RateCategory="Tarifa 1"),IF(O10&lt;VLOOKUP(CFE_Limite,ListData!$B$49:$D$55,3,FALSE),"Tarifa "&amp;CFE_Limite,"DAC"),"Tarifa 2")</f>
        <v>DAC</v>
      </c>
      <c r="R11" s="454">
        <f t="shared" si="29"/>
        <v>6.4209636956160026</v>
      </c>
      <c r="S11" s="194">
        <f t="shared" si="19"/>
        <v>64209.636956160022</v>
      </c>
      <c r="T11" s="194">
        <f t="shared" si="20"/>
        <v>1760.3725822525446</v>
      </c>
      <c r="U11" s="194">
        <f t="shared" si="21"/>
        <v>65970.00953841256</v>
      </c>
      <c r="V11" s="194">
        <f t="shared" si="7"/>
        <v>6597.000953841256</v>
      </c>
      <c r="W11" s="194">
        <f t="shared" si="8"/>
        <v>10555.201526146009</v>
      </c>
      <c r="X11" s="193">
        <f t="shared" si="9"/>
        <v>83122.212018399819</v>
      </c>
      <c r="Y11" s="220"/>
      <c r="Z11" s="191">
        <f t="shared" si="22"/>
        <v>0</v>
      </c>
      <c r="AA11" s="190">
        <f t="shared" si="10"/>
        <v>0</v>
      </c>
      <c r="AB11" s="189">
        <f t="shared" si="23"/>
        <v>0</v>
      </c>
      <c r="AC11" s="220"/>
      <c r="AD11" s="191">
        <f t="shared" si="24"/>
        <v>83122.212018399819</v>
      </c>
      <c r="AE11" s="190">
        <f t="shared" si="11"/>
        <v>0</v>
      </c>
      <c r="AF11" s="188">
        <f t="shared" si="12"/>
        <v>0</v>
      </c>
      <c r="AG11" s="300"/>
      <c r="AH11" s="300"/>
      <c r="AI11" s="446"/>
      <c r="AK11" s="448">
        <f t="shared" si="30"/>
        <v>2.8717560554041079</v>
      </c>
      <c r="AL11" s="448">
        <f t="shared" si="25"/>
        <v>6.4209636956160026</v>
      </c>
      <c r="AM11" s="448">
        <f t="shared" si="26"/>
        <v>4.9929825108971517</v>
      </c>
      <c r="AN11" s="215"/>
      <c r="AO11" s="258">
        <f t="shared" si="31"/>
        <v>2.8717560554041079</v>
      </c>
      <c r="AP11" s="272">
        <f t="shared" si="32"/>
        <v>2.8717560554041079</v>
      </c>
      <c r="AQ11" s="263">
        <f t="shared" si="27"/>
        <v>827.37390682790988</v>
      </c>
      <c r="AR11" s="264">
        <f>MAX(0,MIN($O11-SUM($AQ$3:AQ$3)*12,AR$3*12))*(AR$4*((1+InflationRate)^($B11-1)))</f>
        <v>864.44749172402396</v>
      </c>
      <c r="AS11" s="264">
        <f>MAX(0,MIN($O11-SUM($AQ$3:AR$3)*12,AS$3*12))*(AS$4*((1+InflationRate)^($B11-1)))</f>
        <v>0</v>
      </c>
      <c r="AT11" s="265">
        <f>MAX(0,$O11-SUM($AQ$3:AS$3)*12)*(AT$4*((1+InflationRate)^($B11-1)))</f>
        <v>27025.739155489147</v>
      </c>
      <c r="AU11" s="282">
        <f t="shared" si="33"/>
        <v>2.8717560554041079</v>
      </c>
      <c r="AV11" s="283">
        <f t="shared" si="28"/>
        <v>827.37390682790988</v>
      </c>
      <c r="AW11" s="264">
        <f>MAX(0,MIN($O11-SUM($AV$3:AV$3)*12,AW$3*12))*(AW$4*((1+InflationRate)^($B11-1)))</f>
        <v>864.44749172402396</v>
      </c>
      <c r="AX11" s="264">
        <f>MAX(0,MIN($O11-SUM($AV$3:AW$3)*12,AX$3*12))*(AX$4*((1+InflationRate)^($B11-1)))</f>
        <v>0</v>
      </c>
      <c r="AY11" s="265">
        <f>MAX(0,$O11-SUM($AV$3:AX$3)*12)*(AY$4*((1+InflationRate)^($B11-1)))</f>
        <v>27025.739155489147</v>
      </c>
      <c r="BB11" s="282">
        <f t="shared" si="34"/>
        <v>3.3981399999999993</v>
      </c>
      <c r="BC11" s="287">
        <f t="shared" si="35"/>
        <v>1566</v>
      </c>
      <c r="BD11" s="45">
        <f>MAX(0,MIN($O11-SUM($BC$3:BC$3)*12,BD$3*12))*BD$4</f>
        <v>1888.1999999999998</v>
      </c>
      <c r="BE11" s="256">
        <f>MAX(0,$O11-SUM($BC$3:BD$3)*12)*BE$4</f>
        <v>30527.199999999997</v>
      </c>
    </row>
    <row r="12" spans="1:57" x14ac:dyDescent="0.15">
      <c r="A12" s="225">
        <f t="shared" si="13"/>
        <v>44927</v>
      </c>
      <c r="B12" s="226">
        <v>7</v>
      </c>
      <c r="C12" s="221">
        <f t="shared" si="0"/>
        <v>10000</v>
      </c>
      <c r="D12" s="195">
        <f t="shared" si="14"/>
        <v>6.9346407912652834</v>
      </c>
      <c r="E12" s="194">
        <f t="shared" si="15"/>
        <v>69346.407912652838</v>
      </c>
      <c r="F12" s="194">
        <f t="shared" si="1"/>
        <v>1901.2023888327481</v>
      </c>
      <c r="G12" s="194">
        <f t="shared" si="16"/>
        <v>71247.610301485591</v>
      </c>
      <c r="H12" s="194">
        <f t="shared" si="2"/>
        <v>7124.7610301485593</v>
      </c>
      <c r="I12" s="194">
        <f t="shared" si="3"/>
        <v>11399.617648237694</v>
      </c>
      <c r="J12" s="193">
        <f t="shared" si="4"/>
        <v>89771.988979871836</v>
      </c>
      <c r="K12" s="223"/>
      <c r="L12" s="164">
        <f t="shared" si="5"/>
        <v>0</v>
      </c>
      <c r="M12" s="192">
        <f t="shared" si="17"/>
        <v>0.97</v>
      </c>
      <c r="N12" s="192">
        <f t="shared" si="6"/>
        <v>0</v>
      </c>
      <c r="O12" s="165">
        <f t="shared" si="18"/>
        <v>10000</v>
      </c>
      <c r="P12" s="220"/>
      <c r="Q12" s="457" t="str">
        <f>IF(OR(CFE_RateCategory="DAC",CFE_RateCategory="Tarifa 1"),IF(O11&lt;VLOOKUP(CFE_Limite,ListData!$B$49:$D$55,3,FALSE),"Tarifa "&amp;CFE_Limite,"DAC"),"Tarifa 2")</f>
        <v>DAC</v>
      </c>
      <c r="R12" s="454">
        <f t="shared" si="29"/>
        <v>6.9346407912652834</v>
      </c>
      <c r="S12" s="194">
        <f t="shared" si="19"/>
        <v>69346.407912652838</v>
      </c>
      <c r="T12" s="194">
        <f t="shared" si="20"/>
        <v>1901.2023888327481</v>
      </c>
      <c r="U12" s="194">
        <f t="shared" si="21"/>
        <v>71247.610301485591</v>
      </c>
      <c r="V12" s="194">
        <f t="shared" si="7"/>
        <v>7124.7610301485593</v>
      </c>
      <c r="W12" s="194">
        <f t="shared" si="8"/>
        <v>11399.617648237694</v>
      </c>
      <c r="X12" s="193">
        <f t="shared" si="9"/>
        <v>89771.988979871836</v>
      </c>
      <c r="Y12" s="220"/>
      <c r="Z12" s="191">
        <f t="shared" si="22"/>
        <v>0</v>
      </c>
      <c r="AA12" s="190">
        <f t="shared" si="10"/>
        <v>0</v>
      </c>
      <c r="AB12" s="189">
        <f t="shared" si="23"/>
        <v>0</v>
      </c>
      <c r="AC12" s="220"/>
      <c r="AD12" s="191">
        <f t="shared" si="24"/>
        <v>89771.988979871836</v>
      </c>
      <c r="AE12" s="190">
        <f t="shared" si="11"/>
        <v>0</v>
      </c>
      <c r="AF12" s="188">
        <f t="shared" si="12"/>
        <v>0</v>
      </c>
      <c r="AG12" s="300"/>
      <c r="AH12" s="300"/>
      <c r="AI12" s="446"/>
      <c r="AK12" s="448">
        <f t="shared" si="30"/>
        <v>2.9579087370662318</v>
      </c>
      <c r="AL12" s="448">
        <f t="shared" si="25"/>
        <v>6.9346407912652834</v>
      </c>
      <c r="AM12" s="448">
        <f t="shared" si="26"/>
        <v>5.3924211117689245</v>
      </c>
      <c r="AN12" s="215"/>
      <c r="AO12" s="258">
        <f t="shared" si="31"/>
        <v>2.9579087370662318</v>
      </c>
      <c r="AP12" s="272">
        <f t="shared" si="32"/>
        <v>2.9579087370662318</v>
      </c>
      <c r="AQ12" s="263">
        <f t="shared" si="27"/>
        <v>852.19512403274723</v>
      </c>
      <c r="AR12" s="264">
        <f>MAX(0,MIN($O12-SUM($AQ$3:AQ$3)*12,AR$3*12))*(AR$4*((1+InflationRate)^($B12-1)))</f>
        <v>890.3809164757447</v>
      </c>
      <c r="AS12" s="264">
        <f>MAX(0,MIN($O12-SUM($AQ$3:AR$3)*12,AS$3*12))*(AS$4*((1+InflationRate)^($B12-1)))</f>
        <v>0</v>
      </c>
      <c r="AT12" s="265">
        <f>MAX(0,$O12-SUM($AQ$3:AS$3)*12)*(AT$4*((1+InflationRate)^($B12-1)))</f>
        <v>27836.511330153826</v>
      </c>
      <c r="AU12" s="282">
        <f t="shared" si="33"/>
        <v>2.9579087370662318</v>
      </c>
      <c r="AV12" s="283">
        <f t="shared" si="28"/>
        <v>852.19512403274723</v>
      </c>
      <c r="AW12" s="264">
        <f>MAX(0,MIN($O12-SUM($AV$3:AV$3)*12,AW$3*12))*(AW$4*((1+InflationRate)^($B12-1)))</f>
        <v>890.3809164757447</v>
      </c>
      <c r="AX12" s="264">
        <f>MAX(0,MIN($O12-SUM($AV$3:AW$3)*12,AX$3*12))*(AX$4*((1+InflationRate)^($B12-1)))</f>
        <v>0</v>
      </c>
      <c r="AY12" s="265">
        <f>MAX(0,$O12-SUM($AV$3:AX$3)*12)*(AY$4*((1+InflationRate)^($B12-1)))</f>
        <v>27836.511330153826</v>
      </c>
      <c r="BB12" s="282">
        <f t="shared" si="34"/>
        <v>3.3981399999999993</v>
      </c>
      <c r="BC12" s="287">
        <f t="shared" si="35"/>
        <v>1566</v>
      </c>
      <c r="BD12" s="45">
        <f>MAX(0,MIN($O12-SUM($BC$3:BC$3)*12,BD$3*12))*BD$4</f>
        <v>1888.1999999999998</v>
      </c>
      <c r="BE12" s="256">
        <f>MAX(0,$O12-SUM($BC$3:BD$3)*12)*BE$4</f>
        <v>30527.199999999997</v>
      </c>
    </row>
    <row r="13" spans="1:57" x14ac:dyDescent="0.15">
      <c r="A13" s="225">
        <f t="shared" si="13"/>
        <v>45292</v>
      </c>
      <c r="B13" s="226">
        <v>8</v>
      </c>
      <c r="C13" s="221">
        <f t="shared" si="0"/>
        <v>10000</v>
      </c>
      <c r="D13" s="195">
        <f t="shared" si="14"/>
        <v>7.4894120545665066</v>
      </c>
      <c r="E13" s="194">
        <f t="shared" si="15"/>
        <v>74894.120545665064</v>
      </c>
      <c r="F13" s="194">
        <f t="shared" si="1"/>
        <v>2053.2985799393682</v>
      </c>
      <c r="G13" s="194">
        <f t="shared" si="16"/>
        <v>76947.419125604429</v>
      </c>
      <c r="H13" s="194">
        <f t="shared" si="2"/>
        <v>7694.7419125604429</v>
      </c>
      <c r="I13" s="194">
        <f t="shared" si="3"/>
        <v>12311.587060096708</v>
      </c>
      <c r="J13" s="193">
        <f t="shared" si="4"/>
        <v>96953.748098261567</v>
      </c>
      <c r="K13" s="223"/>
      <c r="L13" s="164">
        <f t="shared" si="5"/>
        <v>0</v>
      </c>
      <c r="M13" s="192">
        <f t="shared" si="17"/>
        <v>0.96499999999999997</v>
      </c>
      <c r="N13" s="192">
        <f t="shared" si="6"/>
        <v>0</v>
      </c>
      <c r="O13" s="165">
        <f t="shared" si="18"/>
        <v>10000</v>
      </c>
      <c r="P13" s="220"/>
      <c r="Q13" s="457" t="str">
        <f>IF(OR(CFE_RateCategory="DAC",CFE_RateCategory="Tarifa 1"),IF(O12&lt;VLOOKUP(CFE_Limite,ListData!$B$49:$D$55,3,FALSE),"Tarifa "&amp;CFE_Limite,"DAC"),"Tarifa 2")</f>
        <v>DAC</v>
      </c>
      <c r="R13" s="454">
        <f t="shared" si="29"/>
        <v>7.4894120545665066</v>
      </c>
      <c r="S13" s="194">
        <f t="shared" si="19"/>
        <v>74894.120545665064</v>
      </c>
      <c r="T13" s="194">
        <f t="shared" si="20"/>
        <v>2053.2985799393682</v>
      </c>
      <c r="U13" s="194">
        <f t="shared" si="21"/>
        <v>76947.419125604429</v>
      </c>
      <c r="V13" s="194">
        <f t="shared" si="7"/>
        <v>7694.7419125604429</v>
      </c>
      <c r="W13" s="194">
        <f t="shared" si="8"/>
        <v>12311.587060096708</v>
      </c>
      <c r="X13" s="193">
        <f t="shared" si="9"/>
        <v>96953.748098261567</v>
      </c>
      <c r="Y13" s="220"/>
      <c r="Z13" s="191">
        <f t="shared" si="22"/>
        <v>0</v>
      </c>
      <c r="AA13" s="190">
        <f t="shared" si="10"/>
        <v>0</v>
      </c>
      <c r="AB13" s="189">
        <f t="shared" si="23"/>
        <v>0</v>
      </c>
      <c r="AC13" s="220"/>
      <c r="AD13" s="191">
        <f t="shared" si="24"/>
        <v>96953.748098261567</v>
      </c>
      <c r="AE13" s="190">
        <f t="shared" si="11"/>
        <v>0</v>
      </c>
      <c r="AF13" s="188">
        <f t="shared" si="12"/>
        <v>0</v>
      </c>
      <c r="AG13" s="300"/>
      <c r="AH13" s="300"/>
      <c r="AI13" s="446"/>
      <c r="AK13" s="448">
        <f t="shared" si="30"/>
        <v>3.0466459991782187</v>
      </c>
      <c r="AL13" s="448">
        <f t="shared" si="25"/>
        <v>7.4894120545665066</v>
      </c>
      <c r="AM13" s="448">
        <f t="shared" si="26"/>
        <v>5.8238148007104389</v>
      </c>
      <c r="AN13" s="215"/>
      <c r="AO13" s="258">
        <f t="shared" si="31"/>
        <v>3.0466459991782187</v>
      </c>
      <c r="AP13" s="272">
        <f t="shared" si="32"/>
        <v>3.0466459991782187</v>
      </c>
      <c r="AQ13" s="263">
        <f t="shared" si="27"/>
        <v>877.76097775372978</v>
      </c>
      <c r="AR13" s="264">
        <f>MAX(0,MIN($O13-SUM($AQ$3:AQ$3)*12,AR$3*12))*(AR$4*((1+InflationRate)^($B13-1)))</f>
        <v>917.09234397001705</v>
      </c>
      <c r="AS13" s="264">
        <f>MAX(0,MIN($O13-SUM($AQ$3:AR$3)*12,AS$3*12))*(AS$4*((1+InflationRate)^($B13-1)))</f>
        <v>0</v>
      </c>
      <c r="AT13" s="265">
        <f>MAX(0,$O13-SUM($AQ$3:AS$3)*12)*(AT$4*((1+InflationRate)^($B13-1)))</f>
        <v>28671.606670058442</v>
      </c>
      <c r="AU13" s="282">
        <f t="shared" si="33"/>
        <v>3.0466459991782187</v>
      </c>
      <c r="AV13" s="283">
        <f t="shared" si="28"/>
        <v>877.76097775372978</v>
      </c>
      <c r="AW13" s="264">
        <f>MAX(0,MIN($O13-SUM($AV$3:AV$3)*12,AW$3*12))*(AW$4*((1+InflationRate)^($B13-1)))</f>
        <v>917.09234397001705</v>
      </c>
      <c r="AX13" s="264">
        <f>MAX(0,MIN($O13-SUM($AV$3:AW$3)*12,AX$3*12))*(AX$4*((1+InflationRate)^($B13-1)))</f>
        <v>0</v>
      </c>
      <c r="AY13" s="265">
        <f>MAX(0,$O13-SUM($AV$3:AX$3)*12)*(AY$4*((1+InflationRate)^($B13-1)))</f>
        <v>28671.606670058442</v>
      </c>
      <c r="BB13" s="282">
        <f t="shared" si="34"/>
        <v>3.3981399999999993</v>
      </c>
      <c r="BC13" s="287">
        <f t="shared" si="35"/>
        <v>1566</v>
      </c>
      <c r="BD13" s="45">
        <f>MAX(0,MIN($O13-SUM($BC$3:BC$3)*12,BD$3*12))*BD$4</f>
        <v>1888.1999999999998</v>
      </c>
      <c r="BE13" s="256">
        <f>MAX(0,$O13-SUM($BC$3:BD$3)*12)*BE$4</f>
        <v>30527.199999999997</v>
      </c>
    </row>
    <row r="14" spans="1:57" x14ac:dyDescent="0.15">
      <c r="A14" s="225">
        <f t="shared" si="13"/>
        <v>45658</v>
      </c>
      <c r="B14" s="226">
        <v>9</v>
      </c>
      <c r="C14" s="221">
        <f t="shared" si="0"/>
        <v>10000</v>
      </c>
      <c r="D14" s="195">
        <f t="shared" si="14"/>
        <v>8.0885650189318277</v>
      </c>
      <c r="E14" s="194">
        <f t="shared" si="15"/>
        <v>80885.650189318272</v>
      </c>
      <c r="F14" s="194">
        <f t="shared" si="1"/>
        <v>2217.5624663345179</v>
      </c>
      <c r="G14" s="194">
        <f t="shared" si="16"/>
        <v>83103.212655652795</v>
      </c>
      <c r="H14" s="194">
        <f t="shared" si="2"/>
        <v>8310.3212655652806</v>
      </c>
      <c r="I14" s="194">
        <f t="shared" si="3"/>
        <v>13296.514024904447</v>
      </c>
      <c r="J14" s="193">
        <f t="shared" si="4"/>
        <v>104710.04794612252</v>
      </c>
      <c r="K14" s="223"/>
      <c r="L14" s="164">
        <f t="shared" si="5"/>
        <v>0</v>
      </c>
      <c r="M14" s="192">
        <f t="shared" si="17"/>
        <v>0.96</v>
      </c>
      <c r="N14" s="192">
        <f t="shared" si="6"/>
        <v>0</v>
      </c>
      <c r="O14" s="165">
        <f t="shared" si="18"/>
        <v>10000</v>
      </c>
      <c r="P14" s="220"/>
      <c r="Q14" s="457" t="str">
        <f>IF(OR(CFE_RateCategory="DAC",CFE_RateCategory="Tarifa 1"),IF(O13&lt;VLOOKUP(CFE_Limite,ListData!$B$49:$D$55,3,FALSE),"Tarifa "&amp;CFE_Limite,"DAC"),"Tarifa 2")</f>
        <v>DAC</v>
      </c>
      <c r="R14" s="454">
        <f t="shared" si="29"/>
        <v>8.0885650189318277</v>
      </c>
      <c r="S14" s="194">
        <f t="shared" si="19"/>
        <v>80885.650189318272</v>
      </c>
      <c r="T14" s="194">
        <f t="shared" si="20"/>
        <v>2217.5624663345179</v>
      </c>
      <c r="U14" s="194">
        <f t="shared" si="21"/>
        <v>83103.212655652795</v>
      </c>
      <c r="V14" s="194">
        <f t="shared" si="7"/>
        <v>8310.3212655652806</v>
      </c>
      <c r="W14" s="194">
        <f t="shared" si="8"/>
        <v>13296.514024904447</v>
      </c>
      <c r="X14" s="193">
        <f t="shared" si="9"/>
        <v>104710.04794612252</v>
      </c>
      <c r="Y14" s="220"/>
      <c r="Z14" s="191">
        <f t="shared" si="22"/>
        <v>0</v>
      </c>
      <c r="AA14" s="190">
        <f t="shared" si="10"/>
        <v>0</v>
      </c>
      <c r="AB14" s="189">
        <f t="shared" si="23"/>
        <v>0</v>
      </c>
      <c r="AC14" s="220"/>
      <c r="AD14" s="191">
        <f t="shared" si="24"/>
        <v>104710.04794612252</v>
      </c>
      <c r="AE14" s="190">
        <f t="shared" si="11"/>
        <v>0</v>
      </c>
      <c r="AF14" s="188">
        <f t="shared" si="12"/>
        <v>0</v>
      </c>
      <c r="AG14" s="300"/>
      <c r="AH14" s="300"/>
      <c r="AI14" s="446"/>
      <c r="AK14" s="448">
        <f t="shared" si="30"/>
        <v>3.138045379153565</v>
      </c>
      <c r="AL14" s="448">
        <f t="shared" si="25"/>
        <v>8.0885650189318277</v>
      </c>
      <c r="AM14" s="448">
        <f t="shared" si="26"/>
        <v>6.2897199847672738</v>
      </c>
      <c r="AN14" s="215"/>
      <c r="AO14" s="258">
        <f t="shared" si="31"/>
        <v>3.138045379153565</v>
      </c>
      <c r="AP14" s="272">
        <f t="shared" si="32"/>
        <v>3.138045379153565</v>
      </c>
      <c r="AQ14" s="263">
        <f t="shared" si="27"/>
        <v>904.0938070863416</v>
      </c>
      <c r="AR14" s="264">
        <f>MAX(0,MIN($O14-SUM($AQ$3:AQ$3)*12,AR$3*12))*(AR$4*((1+InflationRate)^($B14-1)))</f>
        <v>944.60511428911741</v>
      </c>
      <c r="AS14" s="264">
        <f>MAX(0,MIN($O14-SUM($AQ$3:AR$3)*12,AS$3*12))*(AS$4*((1+InflationRate)^($B14-1)))</f>
        <v>0</v>
      </c>
      <c r="AT14" s="265">
        <f>MAX(0,$O14-SUM($AQ$3:AS$3)*12)*(AT$4*((1+InflationRate)^($B14-1)))</f>
        <v>29531.754870160188</v>
      </c>
      <c r="AU14" s="282">
        <f t="shared" si="33"/>
        <v>3.138045379153565</v>
      </c>
      <c r="AV14" s="283">
        <f t="shared" si="28"/>
        <v>904.0938070863416</v>
      </c>
      <c r="AW14" s="264">
        <f>MAX(0,MIN($O14-SUM($AV$3:AV$3)*12,AW$3*12))*(AW$4*((1+InflationRate)^($B14-1)))</f>
        <v>944.60511428911741</v>
      </c>
      <c r="AX14" s="264">
        <f>MAX(0,MIN($O14-SUM($AV$3:AW$3)*12,AX$3*12))*(AX$4*((1+InflationRate)^($B14-1)))</f>
        <v>0</v>
      </c>
      <c r="AY14" s="265">
        <f>MAX(0,$O14-SUM($AV$3:AX$3)*12)*(AY$4*((1+InflationRate)^($B14-1)))</f>
        <v>29531.754870160188</v>
      </c>
      <c r="BB14" s="282">
        <f t="shared" si="34"/>
        <v>3.3981399999999993</v>
      </c>
      <c r="BC14" s="287">
        <f t="shared" si="35"/>
        <v>1566</v>
      </c>
      <c r="BD14" s="45">
        <f>MAX(0,MIN($O14-SUM($BC$3:BC$3)*12,BD$3*12))*BD$4</f>
        <v>1888.1999999999998</v>
      </c>
      <c r="BE14" s="256">
        <f>MAX(0,$O14-SUM($BC$3:BD$3)*12)*BE$4</f>
        <v>30527.199999999997</v>
      </c>
    </row>
    <row r="15" spans="1:57" x14ac:dyDescent="0.15">
      <c r="A15" s="225">
        <f t="shared" si="13"/>
        <v>46023</v>
      </c>
      <c r="B15" s="226">
        <v>10</v>
      </c>
      <c r="C15" s="221">
        <f t="shared" si="0"/>
        <v>10000</v>
      </c>
      <c r="D15" s="195">
        <f t="shared" si="14"/>
        <v>8.7356502204463737</v>
      </c>
      <c r="E15" s="194">
        <f t="shared" si="15"/>
        <v>87356.502204463744</v>
      </c>
      <c r="F15" s="194">
        <f t="shared" si="1"/>
        <v>2394.9674636412792</v>
      </c>
      <c r="G15" s="194">
        <f t="shared" si="16"/>
        <v>89751.469668105026</v>
      </c>
      <c r="H15" s="194">
        <f t="shared" si="2"/>
        <v>8975.1469668105037</v>
      </c>
      <c r="I15" s="194">
        <f t="shared" si="3"/>
        <v>14360.235146896805</v>
      </c>
      <c r="J15" s="193">
        <f t="shared" si="4"/>
        <v>113086.85178181232</v>
      </c>
      <c r="K15" s="223"/>
      <c r="L15" s="164">
        <f t="shared" si="5"/>
        <v>0</v>
      </c>
      <c r="M15" s="192">
        <f t="shared" si="17"/>
        <v>0.95499999999999996</v>
      </c>
      <c r="N15" s="192">
        <f t="shared" si="6"/>
        <v>0</v>
      </c>
      <c r="O15" s="165">
        <f t="shared" si="18"/>
        <v>10000</v>
      </c>
      <c r="P15" s="220"/>
      <c r="Q15" s="457" t="str">
        <f>IF(OR(CFE_RateCategory="DAC",CFE_RateCategory="Tarifa 1"),IF(O14&lt;VLOOKUP(CFE_Limite,ListData!$B$49:$D$55,3,FALSE),"Tarifa "&amp;CFE_Limite,"DAC"),"Tarifa 2")</f>
        <v>DAC</v>
      </c>
      <c r="R15" s="454">
        <f t="shared" si="29"/>
        <v>8.7356502204463737</v>
      </c>
      <c r="S15" s="194">
        <f t="shared" si="19"/>
        <v>87356.502204463744</v>
      </c>
      <c r="T15" s="194">
        <f t="shared" si="20"/>
        <v>2394.9674636412792</v>
      </c>
      <c r="U15" s="194">
        <f t="shared" si="21"/>
        <v>89751.469668105026</v>
      </c>
      <c r="V15" s="194">
        <f t="shared" si="7"/>
        <v>8975.1469668105037</v>
      </c>
      <c r="W15" s="194">
        <f t="shared" si="8"/>
        <v>14360.235146896805</v>
      </c>
      <c r="X15" s="193">
        <f t="shared" si="9"/>
        <v>113086.85178181232</v>
      </c>
      <c r="Y15" s="220"/>
      <c r="Z15" s="191">
        <f t="shared" si="22"/>
        <v>0</v>
      </c>
      <c r="AA15" s="190">
        <f t="shared" si="10"/>
        <v>0</v>
      </c>
      <c r="AB15" s="189">
        <f t="shared" si="23"/>
        <v>0</v>
      </c>
      <c r="AC15" s="220"/>
      <c r="AD15" s="191">
        <f t="shared" si="24"/>
        <v>113086.85178181232</v>
      </c>
      <c r="AE15" s="190">
        <f t="shared" si="11"/>
        <v>0</v>
      </c>
      <c r="AF15" s="188">
        <f t="shared" si="12"/>
        <v>0</v>
      </c>
      <c r="AG15" s="300"/>
      <c r="AH15" s="300"/>
      <c r="AI15" s="446"/>
      <c r="AK15" s="448">
        <f t="shared" si="30"/>
        <v>3.2321867405281721</v>
      </c>
      <c r="AL15" s="448">
        <f t="shared" si="25"/>
        <v>8.7356502204463737</v>
      </c>
      <c r="AM15" s="448">
        <f t="shared" si="26"/>
        <v>6.7928975835486565</v>
      </c>
      <c r="AN15" s="215"/>
      <c r="AO15" s="258">
        <f t="shared" si="31"/>
        <v>3.2321867405281721</v>
      </c>
      <c r="AP15" s="272">
        <f t="shared" si="32"/>
        <v>3.2321867405281721</v>
      </c>
      <c r="AQ15" s="263">
        <f t="shared" si="27"/>
        <v>931.21662129893173</v>
      </c>
      <c r="AR15" s="264">
        <f>MAX(0,MIN($O15-SUM($AQ$3:AQ$3)*12,AR$3*12))*(AR$4*((1+InflationRate)^($B15-1)))</f>
        <v>972.94326771779095</v>
      </c>
      <c r="AS15" s="264">
        <f>MAX(0,MIN($O15-SUM($AQ$3:AR$3)*12,AS$3*12))*(AS$4*((1+InflationRate)^($B15-1)))</f>
        <v>0</v>
      </c>
      <c r="AT15" s="265">
        <f>MAX(0,$O15-SUM($AQ$3:AS$3)*12)*(AT$4*((1+InflationRate)^($B15-1)))</f>
        <v>30417.707516265</v>
      </c>
      <c r="AU15" s="282">
        <f t="shared" si="33"/>
        <v>3.2321867405281721</v>
      </c>
      <c r="AV15" s="283">
        <f t="shared" si="28"/>
        <v>931.21662129893173</v>
      </c>
      <c r="AW15" s="264">
        <f>MAX(0,MIN($O15-SUM($AV$3:AV$3)*12,AW$3*12))*(AW$4*((1+InflationRate)^($B15-1)))</f>
        <v>972.94326771779095</v>
      </c>
      <c r="AX15" s="264">
        <f>MAX(0,MIN($O15-SUM($AV$3:AW$3)*12,AX$3*12))*(AX$4*((1+InflationRate)^($B15-1)))</f>
        <v>0</v>
      </c>
      <c r="AY15" s="265">
        <f>MAX(0,$O15-SUM($AV$3:AX$3)*12)*(AY$4*((1+InflationRate)^($B15-1)))</f>
        <v>30417.707516265</v>
      </c>
      <c r="BB15" s="282">
        <f t="shared" si="34"/>
        <v>3.3981399999999993</v>
      </c>
      <c r="BC15" s="287">
        <f t="shared" si="35"/>
        <v>1566</v>
      </c>
      <c r="BD15" s="45">
        <f>MAX(0,MIN($O15-SUM($BC$3:BC$3)*12,BD$3*12))*BD$4</f>
        <v>1888.1999999999998</v>
      </c>
      <c r="BE15" s="256">
        <f>MAX(0,$O15-SUM($BC$3:BD$3)*12)*BE$4</f>
        <v>30527.199999999997</v>
      </c>
    </row>
    <row r="16" spans="1:57" x14ac:dyDescent="0.15">
      <c r="A16" s="225">
        <f t="shared" si="13"/>
        <v>46388</v>
      </c>
      <c r="B16" s="226">
        <v>11</v>
      </c>
      <c r="C16" s="221">
        <f t="shared" si="0"/>
        <v>10000</v>
      </c>
      <c r="D16" s="195">
        <f t="shared" si="14"/>
        <v>9.434502238082084</v>
      </c>
      <c r="E16" s="194">
        <f t="shared" si="15"/>
        <v>94345.022380820839</v>
      </c>
      <c r="F16" s="194">
        <f t="shared" si="1"/>
        <v>2586.564860732582</v>
      </c>
      <c r="G16" s="194">
        <f t="shared" si="16"/>
        <v>96931.587241553425</v>
      </c>
      <c r="H16" s="194">
        <f t="shared" si="2"/>
        <v>9693.1587241553425</v>
      </c>
      <c r="I16" s="194">
        <f t="shared" si="3"/>
        <v>15509.053958648548</v>
      </c>
      <c r="J16" s="193">
        <f t="shared" si="4"/>
        <v>122133.79992435733</v>
      </c>
      <c r="K16" s="223"/>
      <c r="L16" s="164">
        <f t="shared" si="5"/>
        <v>0</v>
      </c>
      <c r="M16" s="192">
        <f t="shared" si="17"/>
        <v>0.95</v>
      </c>
      <c r="N16" s="192">
        <f t="shared" si="6"/>
        <v>0</v>
      </c>
      <c r="O16" s="165">
        <f t="shared" si="18"/>
        <v>10000</v>
      </c>
      <c r="P16" s="220"/>
      <c r="Q16" s="457" t="str">
        <f>IF(OR(CFE_RateCategory="DAC",CFE_RateCategory="Tarifa 1"),IF(O15&lt;VLOOKUP(CFE_Limite,ListData!$B$49:$D$55,3,FALSE),"Tarifa "&amp;CFE_Limite,"DAC"),"Tarifa 2")</f>
        <v>DAC</v>
      </c>
      <c r="R16" s="454">
        <f t="shared" si="29"/>
        <v>9.434502238082084</v>
      </c>
      <c r="S16" s="194">
        <f t="shared" si="19"/>
        <v>94345.022380820839</v>
      </c>
      <c r="T16" s="194">
        <f t="shared" si="20"/>
        <v>2586.564860732582</v>
      </c>
      <c r="U16" s="194">
        <f t="shared" si="21"/>
        <v>96931.587241553425</v>
      </c>
      <c r="V16" s="194">
        <f t="shared" si="7"/>
        <v>9693.1587241553425</v>
      </c>
      <c r="W16" s="194">
        <f t="shared" si="8"/>
        <v>15509.053958648548</v>
      </c>
      <c r="X16" s="193">
        <f t="shared" si="9"/>
        <v>122133.79992435733</v>
      </c>
      <c r="Y16" s="220"/>
      <c r="Z16" s="191">
        <f t="shared" si="22"/>
        <v>0</v>
      </c>
      <c r="AA16" s="190">
        <f t="shared" si="10"/>
        <v>0</v>
      </c>
      <c r="AB16" s="189">
        <f t="shared" si="23"/>
        <v>0</v>
      </c>
      <c r="AC16" s="220"/>
      <c r="AD16" s="191">
        <f t="shared" si="24"/>
        <v>122133.79992435733</v>
      </c>
      <c r="AE16" s="190">
        <f t="shared" si="11"/>
        <v>0</v>
      </c>
      <c r="AF16" s="188">
        <f t="shared" si="12"/>
        <v>0</v>
      </c>
      <c r="AG16" s="300"/>
      <c r="AH16" s="300"/>
      <c r="AI16" s="446"/>
      <c r="AK16" s="448">
        <f t="shared" si="30"/>
        <v>3.3291523427440173</v>
      </c>
      <c r="AL16" s="448">
        <f t="shared" si="25"/>
        <v>9.434502238082084</v>
      </c>
      <c r="AM16" s="448">
        <f t="shared" si="26"/>
        <v>7.3363293902325495</v>
      </c>
      <c r="AN16" s="215"/>
      <c r="AO16" s="258">
        <f t="shared" si="31"/>
        <v>3.3291523427440173</v>
      </c>
      <c r="AP16" s="272">
        <f t="shared" si="32"/>
        <v>3.3291523427440173</v>
      </c>
      <c r="AQ16" s="263">
        <f t="shared" si="27"/>
        <v>959.15311993789987</v>
      </c>
      <c r="AR16" s="264">
        <f>MAX(0,MIN($O16-SUM($AQ$3:AQ$3)*12,AR$3*12))*(AR$4*((1+InflationRate)^($B16-1)))</f>
        <v>1002.1315657493247</v>
      </c>
      <c r="AS16" s="264">
        <f>MAX(0,MIN($O16-SUM($AQ$3:AR$3)*12,AS$3*12))*(AS$4*((1+InflationRate)^($B16-1)))</f>
        <v>0</v>
      </c>
      <c r="AT16" s="265">
        <f>MAX(0,$O16-SUM($AQ$3:AS$3)*12)*(AT$4*((1+InflationRate)^($B16-1)))</f>
        <v>31330.23874175295</v>
      </c>
      <c r="AU16" s="282">
        <f t="shared" si="33"/>
        <v>3.3291523427440173</v>
      </c>
      <c r="AV16" s="283">
        <f t="shared" si="28"/>
        <v>959.15311993789987</v>
      </c>
      <c r="AW16" s="264">
        <f>MAX(0,MIN($O16-SUM($AV$3:AV$3)*12,AW$3*12))*(AW$4*((1+InflationRate)^($B16-1)))</f>
        <v>1002.1315657493247</v>
      </c>
      <c r="AX16" s="264">
        <f>MAX(0,MIN($O16-SUM($AV$3:AW$3)*12,AX$3*12))*(AX$4*((1+InflationRate)^($B16-1)))</f>
        <v>0</v>
      </c>
      <c r="AY16" s="265">
        <f>MAX(0,$O16-SUM($AV$3:AX$3)*12)*(AY$4*((1+InflationRate)^($B16-1)))</f>
        <v>31330.23874175295</v>
      </c>
      <c r="BB16" s="282">
        <f t="shared" si="34"/>
        <v>3.3981399999999993</v>
      </c>
      <c r="BC16" s="287">
        <f t="shared" si="35"/>
        <v>1566</v>
      </c>
      <c r="BD16" s="45">
        <f>MAX(0,MIN($O16-SUM($BC$3:BC$3)*12,BD$3*12))*BD$4</f>
        <v>1888.1999999999998</v>
      </c>
      <c r="BE16" s="256">
        <f>MAX(0,$O16-SUM($BC$3:BD$3)*12)*BE$4</f>
        <v>30527.199999999997</v>
      </c>
    </row>
    <row r="17" spans="1:57" x14ac:dyDescent="0.15">
      <c r="A17" s="225">
        <f t="shared" si="13"/>
        <v>46753</v>
      </c>
      <c r="B17" s="226">
        <v>12</v>
      </c>
      <c r="C17" s="221">
        <f t="shared" si="0"/>
        <v>10000</v>
      </c>
      <c r="D17" s="195">
        <f t="shared" si="14"/>
        <v>10.189262417128651</v>
      </c>
      <c r="E17" s="194">
        <f t="shared" si="15"/>
        <v>101892.62417128652</v>
      </c>
      <c r="F17" s="194">
        <f t="shared" si="1"/>
        <v>2793.4900495911884</v>
      </c>
      <c r="G17" s="194">
        <f t="shared" si="16"/>
        <v>104686.1142208777</v>
      </c>
      <c r="H17" s="194">
        <f t="shared" si="2"/>
        <v>10468.611422087772</v>
      </c>
      <c r="I17" s="194">
        <f t="shared" si="3"/>
        <v>16749.778275340432</v>
      </c>
      <c r="J17" s="193">
        <f t="shared" si="4"/>
        <v>131904.50391830591</v>
      </c>
      <c r="K17" s="223"/>
      <c r="L17" s="164">
        <f t="shared" si="5"/>
        <v>0</v>
      </c>
      <c r="M17" s="192">
        <f t="shared" si="17"/>
        <v>0.94499999999999995</v>
      </c>
      <c r="N17" s="192">
        <f t="shared" si="6"/>
        <v>0</v>
      </c>
      <c r="O17" s="165">
        <f t="shared" si="18"/>
        <v>10000</v>
      </c>
      <c r="P17" s="220"/>
      <c r="Q17" s="457" t="str">
        <f>IF(OR(CFE_RateCategory="DAC",CFE_RateCategory="Tarifa 1"),IF(O16&lt;VLOOKUP(CFE_Limite,ListData!$B$49:$D$55,3,FALSE),"Tarifa "&amp;CFE_Limite,"DAC"),"Tarifa 2")</f>
        <v>DAC</v>
      </c>
      <c r="R17" s="454">
        <f t="shared" si="29"/>
        <v>10.189262417128651</v>
      </c>
      <c r="S17" s="194">
        <f t="shared" si="19"/>
        <v>101892.62417128652</v>
      </c>
      <c r="T17" s="194">
        <f t="shared" si="20"/>
        <v>2793.4900495911884</v>
      </c>
      <c r="U17" s="194">
        <f t="shared" si="21"/>
        <v>104686.1142208777</v>
      </c>
      <c r="V17" s="194">
        <f t="shared" si="7"/>
        <v>10468.611422087772</v>
      </c>
      <c r="W17" s="194">
        <f t="shared" si="8"/>
        <v>16749.778275340432</v>
      </c>
      <c r="X17" s="193">
        <f t="shared" si="9"/>
        <v>131904.50391830591</v>
      </c>
      <c r="Y17" s="220"/>
      <c r="Z17" s="191">
        <f t="shared" si="22"/>
        <v>0</v>
      </c>
      <c r="AA17" s="190">
        <f t="shared" si="10"/>
        <v>0</v>
      </c>
      <c r="AB17" s="189">
        <f t="shared" si="23"/>
        <v>0</v>
      </c>
      <c r="AC17" s="220"/>
      <c r="AD17" s="191">
        <f t="shared" si="24"/>
        <v>131904.50391830591</v>
      </c>
      <c r="AE17" s="190">
        <f t="shared" si="11"/>
        <v>0</v>
      </c>
      <c r="AF17" s="188">
        <f t="shared" si="12"/>
        <v>0</v>
      </c>
      <c r="AG17" s="300"/>
      <c r="AH17" s="300"/>
      <c r="AI17" s="446"/>
      <c r="AK17" s="448">
        <f t="shared" si="30"/>
        <v>3.4290269130263376</v>
      </c>
      <c r="AL17" s="448">
        <f t="shared" si="25"/>
        <v>10.189262417128651</v>
      </c>
      <c r="AM17" s="448">
        <f t="shared" si="26"/>
        <v>7.9232357414511529</v>
      </c>
      <c r="AN17" s="215"/>
      <c r="AO17" s="258">
        <f t="shared" si="31"/>
        <v>3.4290269130263376</v>
      </c>
      <c r="AP17" s="272">
        <f t="shared" si="32"/>
        <v>3.4290269130263376</v>
      </c>
      <c r="AQ17" s="263">
        <f t="shared" si="27"/>
        <v>987.92771353603678</v>
      </c>
      <c r="AR17" s="264">
        <f>MAX(0,MIN($O17-SUM($AQ$3:AQ$3)*12,AR$3*12))*(AR$4*((1+InflationRate)^($B17-1)))</f>
        <v>1032.1955127218046</v>
      </c>
      <c r="AS17" s="264">
        <f>MAX(0,MIN($O17-SUM($AQ$3:AR$3)*12,AS$3*12))*(AS$4*((1+InflationRate)^($B17-1)))</f>
        <v>0</v>
      </c>
      <c r="AT17" s="265">
        <f>MAX(0,$O17-SUM($AQ$3:AS$3)*12)*(AT$4*((1+InflationRate)^($B17-1)))</f>
        <v>32270.145904005538</v>
      </c>
      <c r="AU17" s="282">
        <f t="shared" si="33"/>
        <v>3.4290269130263376</v>
      </c>
      <c r="AV17" s="283">
        <f t="shared" si="28"/>
        <v>987.92771353603678</v>
      </c>
      <c r="AW17" s="264">
        <f>MAX(0,MIN($O17-SUM($AV$3:AV$3)*12,AW$3*12))*(AW$4*((1+InflationRate)^($B17-1)))</f>
        <v>1032.1955127218046</v>
      </c>
      <c r="AX17" s="264">
        <f>MAX(0,MIN($O17-SUM($AV$3:AW$3)*12,AX$3*12))*(AX$4*((1+InflationRate)^($B17-1)))</f>
        <v>0</v>
      </c>
      <c r="AY17" s="265">
        <f>MAX(0,$O17-SUM($AV$3:AX$3)*12)*(AY$4*((1+InflationRate)^($B17-1)))</f>
        <v>32270.145904005538</v>
      </c>
      <c r="BB17" s="282">
        <f t="shared" si="34"/>
        <v>3.3981399999999993</v>
      </c>
      <c r="BC17" s="287">
        <f t="shared" si="35"/>
        <v>1566</v>
      </c>
      <c r="BD17" s="45">
        <f>MAX(0,MIN($O17-SUM($BC$3:BC$3)*12,BD$3*12))*BD$4</f>
        <v>1888.1999999999998</v>
      </c>
      <c r="BE17" s="256">
        <f>MAX(0,$O17-SUM($BC$3:BD$3)*12)*BE$4</f>
        <v>30527.199999999997</v>
      </c>
    </row>
    <row r="18" spans="1:57" x14ac:dyDescent="0.15">
      <c r="A18" s="225">
        <f t="shared" si="13"/>
        <v>47119</v>
      </c>
      <c r="B18" s="226">
        <v>13</v>
      </c>
      <c r="C18" s="221">
        <f t="shared" si="0"/>
        <v>10000</v>
      </c>
      <c r="D18" s="195">
        <f t="shared" si="14"/>
        <v>11.004403410498943</v>
      </c>
      <c r="E18" s="194">
        <f t="shared" si="15"/>
        <v>110044.03410498943</v>
      </c>
      <c r="F18" s="194">
        <f t="shared" si="1"/>
        <v>3016.9692535584836</v>
      </c>
      <c r="G18" s="194">
        <f t="shared" si="16"/>
        <v>113061.00335854793</v>
      </c>
      <c r="H18" s="194">
        <f t="shared" si="2"/>
        <v>11306.100335854793</v>
      </c>
      <c r="I18" s="194">
        <f t="shared" si="3"/>
        <v>18089.760537367667</v>
      </c>
      <c r="J18" s="193">
        <f t="shared" si="4"/>
        <v>142456.86423177039</v>
      </c>
      <c r="K18" s="223"/>
      <c r="L18" s="164">
        <f t="shared" si="5"/>
        <v>0</v>
      </c>
      <c r="M18" s="192">
        <f t="shared" si="17"/>
        <v>0.94</v>
      </c>
      <c r="N18" s="192">
        <f t="shared" si="6"/>
        <v>0</v>
      </c>
      <c r="O18" s="165">
        <f t="shared" si="18"/>
        <v>10000</v>
      </c>
      <c r="P18" s="220"/>
      <c r="Q18" s="457" t="str">
        <f>IF(OR(CFE_RateCategory="DAC",CFE_RateCategory="Tarifa 1"),IF(O17&lt;VLOOKUP(CFE_Limite,ListData!$B$49:$D$55,3,FALSE),"Tarifa "&amp;CFE_Limite,"DAC"),"Tarifa 2")</f>
        <v>DAC</v>
      </c>
      <c r="R18" s="454">
        <f t="shared" si="29"/>
        <v>11.004403410498943</v>
      </c>
      <c r="S18" s="194">
        <f t="shared" si="19"/>
        <v>110044.03410498943</v>
      </c>
      <c r="T18" s="194">
        <f t="shared" si="20"/>
        <v>3016.9692535584836</v>
      </c>
      <c r="U18" s="194">
        <f t="shared" si="21"/>
        <v>113061.00335854793</v>
      </c>
      <c r="V18" s="194">
        <f t="shared" si="7"/>
        <v>11306.100335854793</v>
      </c>
      <c r="W18" s="194">
        <f t="shared" si="8"/>
        <v>18089.760537367667</v>
      </c>
      <c r="X18" s="193">
        <f t="shared" si="9"/>
        <v>142456.86423177039</v>
      </c>
      <c r="Y18" s="220"/>
      <c r="Z18" s="191">
        <f t="shared" si="22"/>
        <v>0</v>
      </c>
      <c r="AA18" s="190">
        <f t="shared" si="10"/>
        <v>0</v>
      </c>
      <c r="AB18" s="189">
        <f t="shared" si="23"/>
        <v>0</v>
      </c>
      <c r="AC18" s="220"/>
      <c r="AD18" s="191">
        <f t="shared" si="24"/>
        <v>142456.86423177039</v>
      </c>
      <c r="AE18" s="190">
        <f t="shared" si="11"/>
        <v>0</v>
      </c>
      <c r="AF18" s="188">
        <f t="shared" si="12"/>
        <v>0</v>
      </c>
      <c r="AG18" s="300"/>
      <c r="AH18" s="300"/>
      <c r="AI18" s="446"/>
      <c r="AK18" s="448">
        <f t="shared" si="30"/>
        <v>3.531897720417128</v>
      </c>
      <c r="AL18" s="448">
        <f t="shared" si="25"/>
        <v>11.004403410498943</v>
      </c>
      <c r="AM18" s="448">
        <f t="shared" si="26"/>
        <v>8.5570946007672468</v>
      </c>
      <c r="AN18" s="215"/>
      <c r="AO18" s="258">
        <f t="shared" si="31"/>
        <v>3.531897720417128</v>
      </c>
      <c r="AP18" s="272">
        <f t="shared" si="32"/>
        <v>3.531897720417128</v>
      </c>
      <c r="AQ18" s="263">
        <f t="shared" si="27"/>
        <v>1017.5655449421176</v>
      </c>
      <c r="AR18" s="264">
        <f>MAX(0,MIN($O18-SUM($AQ$3:AQ$3)*12,AR$3*12))*(AR$4*((1+InflationRate)^($B18-1)))</f>
        <v>1063.1613781034584</v>
      </c>
      <c r="AS18" s="264">
        <f>MAX(0,MIN($O18-SUM($AQ$3:AR$3)*12,AS$3*12))*(AS$4*((1+InflationRate)^($B18-1)))</f>
        <v>0</v>
      </c>
      <c r="AT18" s="265">
        <f>MAX(0,$O18-SUM($AQ$3:AS$3)*12)*(AT$4*((1+InflationRate)^($B18-1)))</f>
        <v>33238.2502811257</v>
      </c>
      <c r="AU18" s="282">
        <f t="shared" si="33"/>
        <v>3.531897720417128</v>
      </c>
      <c r="AV18" s="283">
        <f t="shared" si="28"/>
        <v>1017.5655449421176</v>
      </c>
      <c r="AW18" s="264">
        <f>MAX(0,MIN($O18-SUM($AV$3:AV$3)*12,AW$3*12))*(AW$4*((1+InflationRate)^($B18-1)))</f>
        <v>1063.1613781034584</v>
      </c>
      <c r="AX18" s="264">
        <f>MAX(0,MIN($O18-SUM($AV$3:AW$3)*12,AX$3*12))*(AX$4*((1+InflationRate)^($B18-1)))</f>
        <v>0</v>
      </c>
      <c r="AY18" s="265">
        <f>MAX(0,$O18-SUM($AV$3:AX$3)*12)*(AY$4*((1+InflationRate)^($B18-1)))</f>
        <v>33238.2502811257</v>
      </c>
      <c r="BB18" s="282">
        <f t="shared" si="34"/>
        <v>3.3981399999999993</v>
      </c>
      <c r="BC18" s="287">
        <f t="shared" si="35"/>
        <v>1566</v>
      </c>
      <c r="BD18" s="45">
        <f>MAX(0,MIN($O18-SUM($BC$3:BC$3)*12,BD$3*12))*BD$4</f>
        <v>1888.1999999999998</v>
      </c>
      <c r="BE18" s="256">
        <f>MAX(0,$O18-SUM($BC$3:BD$3)*12)*BE$4</f>
        <v>30527.199999999997</v>
      </c>
    </row>
    <row r="19" spans="1:57" x14ac:dyDescent="0.15">
      <c r="A19" s="225">
        <f t="shared" si="13"/>
        <v>47484</v>
      </c>
      <c r="B19" s="226">
        <v>14</v>
      </c>
      <c r="C19" s="221">
        <f t="shared" si="0"/>
        <v>10000</v>
      </c>
      <c r="D19" s="195">
        <f t="shared" si="14"/>
        <v>11.884755683338859</v>
      </c>
      <c r="E19" s="194">
        <f t="shared" si="15"/>
        <v>118847.55683338859</v>
      </c>
      <c r="F19" s="194">
        <f t="shared" si="1"/>
        <v>3258.3267938431622</v>
      </c>
      <c r="G19" s="194">
        <f t="shared" si="16"/>
        <v>122105.88362723176</v>
      </c>
      <c r="H19" s="194">
        <f t="shared" si="2"/>
        <v>12210.588362723176</v>
      </c>
      <c r="I19" s="194">
        <f t="shared" si="3"/>
        <v>19536.941380357082</v>
      </c>
      <c r="J19" s="193">
        <f t="shared" si="4"/>
        <v>153853.41337031202</v>
      </c>
      <c r="K19" s="223"/>
      <c r="L19" s="164">
        <f t="shared" si="5"/>
        <v>0</v>
      </c>
      <c r="M19" s="192">
        <f t="shared" si="17"/>
        <v>0.93499999999999994</v>
      </c>
      <c r="N19" s="192">
        <f t="shared" si="6"/>
        <v>0</v>
      </c>
      <c r="O19" s="165">
        <f t="shared" si="18"/>
        <v>10000</v>
      </c>
      <c r="P19" s="220"/>
      <c r="Q19" s="457" t="str">
        <f>IF(OR(CFE_RateCategory="DAC",CFE_RateCategory="Tarifa 1"),IF(O18&lt;VLOOKUP(CFE_Limite,ListData!$B$49:$D$55,3,FALSE),"Tarifa "&amp;CFE_Limite,"DAC"),"Tarifa 2")</f>
        <v>DAC</v>
      </c>
      <c r="R19" s="454">
        <f t="shared" si="29"/>
        <v>11.884755683338859</v>
      </c>
      <c r="S19" s="194">
        <f t="shared" si="19"/>
        <v>118847.55683338859</v>
      </c>
      <c r="T19" s="194">
        <f t="shared" si="20"/>
        <v>3258.3267938431622</v>
      </c>
      <c r="U19" s="194">
        <f t="shared" si="21"/>
        <v>122105.88362723176</v>
      </c>
      <c r="V19" s="194">
        <f t="shared" si="7"/>
        <v>12210.588362723176</v>
      </c>
      <c r="W19" s="194">
        <f t="shared" si="8"/>
        <v>19536.941380357082</v>
      </c>
      <c r="X19" s="193">
        <f t="shared" si="9"/>
        <v>153853.41337031202</v>
      </c>
      <c r="Y19" s="220"/>
      <c r="Z19" s="191">
        <f t="shared" si="22"/>
        <v>0</v>
      </c>
      <c r="AA19" s="190">
        <f t="shared" si="10"/>
        <v>0</v>
      </c>
      <c r="AB19" s="189">
        <f t="shared" si="23"/>
        <v>0</v>
      </c>
      <c r="AC19" s="220"/>
      <c r="AD19" s="191">
        <f t="shared" si="24"/>
        <v>153853.41337031202</v>
      </c>
      <c r="AE19" s="190">
        <f t="shared" si="11"/>
        <v>0</v>
      </c>
      <c r="AF19" s="188">
        <f t="shared" si="12"/>
        <v>0</v>
      </c>
      <c r="AG19" s="300"/>
      <c r="AH19" s="300"/>
      <c r="AI19" s="446"/>
      <c r="AK19" s="448">
        <f t="shared" si="30"/>
        <v>3.6378546520296418</v>
      </c>
      <c r="AL19" s="448">
        <f t="shared" si="25"/>
        <v>11.884755683338859</v>
      </c>
      <c r="AM19" s="448">
        <f t="shared" si="26"/>
        <v>9.2416621688286256</v>
      </c>
      <c r="AN19" s="215"/>
      <c r="AO19" s="258">
        <f t="shared" si="31"/>
        <v>3.6378546520296418</v>
      </c>
      <c r="AP19" s="272">
        <f t="shared" si="32"/>
        <v>3.6378546520296418</v>
      </c>
      <c r="AQ19" s="263">
        <f t="shared" si="27"/>
        <v>1048.0925112903813</v>
      </c>
      <c r="AR19" s="264">
        <f>MAX(0,MIN($O19-SUM($AQ$3:AQ$3)*12,AR$3*12))*(AR$4*((1+InflationRate)^($B19-1)))</f>
        <v>1095.0562194465622</v>
      </c>
      <c r="AS19" s="264">
        <f>MAX(0,MIN($O19-SUM($AQ$3:AR$3)*12,AS$3*12))*(AS$4*((1+InflationRate)^($B19-1)))</f>
        <v>0</v>
      </c>
      <c r="AT19" s="265">
        <f>MAX(0,$O19-SUM($AQ$3:AS$3)*12)*(AT$4*((1+InflationRate)^($B19-1)))</f>
        <v>34235.397789559473</v>
      </c>
      <c r="AU19" s="282">
        <f t="shared" si="33"/>
        <v>3.6378546520296418</v>
      </c>
      <c r="AV19" s="283">
        <f t="shared" si="28"/>
        <v>1048.0925112903813</v>
      </c>
      <c r="AW19" s="264">
        <f>MAX(0,MIN($O19-SUM($AV$3:AV$3)*12,AW$3*12))*(AW$4*((1+InflationRate)^($B19-1)))</f>
        <v>1095.0562194465622</v>
      </c>
      <c r="AX19" s="264">
        <f>MAX(0,MIN($O19-SUM($AV$3:AW$3)*12,AX$3*12))*(AX$4*((1+InflationRate)^($B19-1)))</f>
        <v>0</v>
      </c>
      <c r="AY19" s="265">
        <f>MAX(0,$O19-SUM($AV$3:AX$3)*12)*(AY$4*((1+InflationRate)^($B19-1)))</f>
        <v>34235.397789559473</v>
      </c>
      <c r="BB19" s="282">
        <f t="shared" si="34"/>
        <v>3.3981399999999993</v>
      </c>
      <c r="BC19" s="287">
        <f t="shared" si="35"/>
        <v>1566</v>
      </c>
      <c r="BD19" s="45">
        <f>MAX(0,MIN($O19-SUM($BC$3:BC$3)*12,BD$3*12))*BD$4</f>
        <v>1888.1999999999998</v>
      </c>
      <c r="BE19" s="256">
        <f>MAX(0,$O19-SUM($BC$3:BD$3)*12)*BE$4</f>
        <v>30527.199999999997</v>
      </c>
    </row>
    <row r="20" spans="1:57" x14ac:dyDescent="0.15">
      <c r="A20" s="225">
        <f t="shared" si="13"/>
        <v>47849</v>
      </c>
      <c r="B20" s="226">
        <v>15</v>
      </c>
      <c r="C20" s="221">
        <f t="shared" si="0"/>
        <v>10000</v>
      </c>
      <c r="D20" s="187">
        <f t="shared" si="14"/>
        <v>12.835536138005969</v>
      </c>
      <c r="E20" s="186">
        <f t="shared" si="15"/>
        <v>128355.36138005969</v>
      </c>
      <c r="F20" s="186">
        <f t="shared" si="1"/>
        <v>3518.9929373506156</v>
      </c>
      <c r="G20" s="186">
        <f t="shared" si="16"/>
        <v>131874.3543174103</v>
      </c>
      <c r="H20" s="186">
        <f t="shared" si="2"/>
        <v>13187.435431741031</v>
      </c>
      <c r="I20" s="186">
        <f t="shared" si="3"/>
        <v>21099.896690785648</v>
      </c>
      <c r="J20" s="185">
        <f t="shared" si="4"/>
        <v>166161.68643993698</v>
      </c>
      <c r="K20" s="223"/>
      <c r="L20" s="166">
        <f t="shared" si="5"/>
        <v>0</v>
      </c>
      <c r="M20" s="184">
        <f t="shared" si="17"/>
        <v>0.92999999999999994</v>
      </c>
      <c r="N20" s="184">
        <f t="shared" si="6"/>
        <v>0</v>
      </c>
      <c r="O20" s="167">
        <f t="shared" si="18"/>
        <v>10000</v>
      </c>
      <c r="P20" s="220"/>
      <c r="Q20" s="458" t="str">
        <f>IF(OR(CFE_RateCategory="DAC",CFE_RateCategory="Tarifa 1"),IF(O19&lt;VLOOKUP(CFE_Limite,ListData!$B$49:$D$55,3,FALSE),"Tarifa "&amp;CFE_Limite,"DAC"),"Tarifa 2")</f>
        <v>DAC</v>
      </c>
      <c r="R20" s="455">
        <f t="shared" si="29"/>
        <v>12.835536138005969</v>
      </c>
      <c r="S20" s="186">
        <f t="shared" si="19"/>
        <v>128355.36138005969</v>
      </c>
      <c r="T20" s="186">
        <f t="shared" si="20"/>
        <v>3518.9929373506156</v>
      </c>
      <c r="U20" s="186">
        <f t="shared" si="21"/>
        <v>131874.3543174103</v>
      </c>
      <c r="V20" s="186">
        <f t="shared" si="7"/>
        <v>13187.435431741031</v>
      </c>
      <c r="W20" s="186">
        <f t="shared" si="8"/>
        <v>21099.896690785648</v>
      </c>
      <c r="X20" s="185">
        <f t="shared" si="9"/>
        <v>166161.68643993698</v>
      </c>
      <c r="Y20" s="220"/>
      <c r="Z20" s="183">
        <f t="shared" si="22"/>
        <v>0</v>
      </c>
      <c r="AA20" s="182">
        <f t="shared" si="10"/>
        <v>0</v>
      </c>
      <c r="AB20" s="181">
        <f t="shared" si="23"/>
        <v>0</v>
      </c>
      <c r="AC20" s="220"/>
      <c r="AD20" s="183">
        <f t="shared" si="24"/>
        <v>166161.68643993698</v>
      </c>
      <c r="AE20" s="182">
        <f t="shared" si="11"/>
        <v>0</v>
      </c>
      <c r="AF20" s="180">
        <f t="shared" si="12"/>
        <v>0</v>
      </c>
      <c r="AG20" s="300"/>
      <c r="AH20" s="300"/>
      <c r="AI20" s="446"/>
      <c r="AK20" s="449">
        <f t="shared" si="30"/>
        <v>3.7469902915905311</v>
      </c>
      <c r="AL20" s="449">
        <f t="shared" si="25"/>
        <v>12.835536138005969</v>
      </c>
      <c r="AM20" s="449">
        <f t="shared" si="26"/>
        <v>9.9809951423349172</v>
      </c>
      <c r="AN20" s="215"/>
      <c r="AO20" s="258">
        <f t="shared" si="31"/>
        <v>3.7469902915905311</v>
      </c>
      <c r="AP20" s="273">
        <f t="shared" si="32"/>
        <v>3.7469902915905311</v>
      </c>
      <c r="AQ20" s="266">
        <f t="shared" si="27"/>
        <v>1079.5352866290928</v>
      </c>
      <c r="AR20" s="267">
        <f>MAX(0,MIN($O20-SUM($AQ$3:AQ$3)*12,AR$3*12))*(AR$4*((1+InflationRate)^($B20-1)))</f>
        <v>1127.9079060299591</v>
      </c>
      <c r="AS20" s="267">
        <f>MAX(0,MIN($O20-SUM($AQ$3:AR$3)*12,AS$3*12))*(AS$4*((1+InflationRate)^($B20-1)))</f>
        <v>0</v>
      </c>
      <c r="AT20" s="268">
        <f>MAX(0,$O20-SUM($AQ$3:AS$3)*12)*(AT$4*((1+InflationRate)^($B20-1)))</f>
        <v>35262.459723246255</v>
      </c>
      <c r="AU20" s="284">
        <f t="shared" si="33"/>
        <v>3.7469902915905311</v>
      </c>
      <c r="AV20" s="285">
        <f t="shared" si="28"/>
        <v>1079.5352866290928</v>
      </c>
      <c r="AW20" s="267">
        <f>MAX(0,MIN($O20-SUM($AV$3:AV$3)*12,AW$3*12))*(AW$4*((1+InflationRate)^($B20-1)))</f>
        <v>1127.9079060299591</v>
      </c>
      <c r="AX20" s="267">
        <f>MAX(0,MIN($O20-SUM($AV$3:AW$3)*12,AX$3*12))*(AX$4*((1+InflationRate)^($B20-1)))</f>
        <v>0</v>
      </c>
      <c r="AY20" s="268">
        <f>MAX(0,$O20-SUM($AV$3:AX$3)*12)*(AY$4*((1+InflationRate)^($B20-1)))</f>
        <v>35262.459723246255</v>
      </c>
      <c r="BB20" s="284">
        <f t="shared" si="34"/>
        <v>3.3981399999999993</v>
      </c>
      <c r="BC20" s="288">
        <f t="shared" si="35"/>
        <v>1566</v>
      </c>
      <c r="BD20" s="54">
        <f>MAX(0,MIN($O20-SUM($BC$3:BC$3)*12,BD$3*12))*BD$4</f>
        <v>1888.1999999999998</v>
      </c>
      <c r="BE20" s="257">
        <f>MAX(0,$O20-SUM($BC$3:BD$3)*12)*BE$4</f>
        <v>30527.199999999997</v>
      </c>
    </row>
    <row r="22" spans="1:57" x14ac:dyDescent="0.15">
      <c r="AR22" s="74"/>
      <c r="AT22" s="74"/>
    </row>
    <row r="23" spans="1:57" x14ac:dyDescent="0.15">
      <c r="AQ23" s="74"/>
      <c r="AR23" s="74"/>
      <c r="AT23" s="74"/>
    </row>
    <row r="24" spans="1:57" x14ac:dyDescent="0.15">
      <c r="AQ24" s="74"/>
      <c r="AR24" s="74"/>
      <c r="AT24" s="74"/>
    </row>
    <row r="25" spans="1:57" x14ac:dyDescent="0.15">
      <c r="AQ25" s="74"/>
      <c r="AR25" s="74"/>
      <c r="AT25" s="74"/>
    </row>
    <row r="26" spans="1:57" x14ac:dyDescent="0.15">
      <c r="AQ26" s="74"/>
      <c r="AR26" s="74"/>
      <c r="AT26" s="74"/>
    </row>
    <row r="27" spans="1:57" x14ac:dyDescent="0.15">
      <c r="AQ27" s="74"/>
      <c r="AR27" s="74"/>
      <c r="AT27" s="74"/>
    </row>
    <row r="28" spans="1:57" x14ac:dyDescent="0.15">
      <c r="AQ28" s="74"/>
      <c r="AR28" s="74"/>
      <c r="AT28" s="74"/>
    </row>
    <row r="29" spans="1:57" x14ac:dyDescent="0.15">
      <c r="AQ29" s="74"/>
      <c r="AR29" s="74"/>
      <c r="AT29" s="74"/>
    </row>
    <row r="30" spans="1:57" x14ac:dyDescent="0.15">
      <c r="AQ30" s="74"/>
      <c r="AR30" s="74"/>
      <c r="AT30" s="74"/>
    </row>
    <row r="31" spans="1:57" x14ac:dyDescent="0.15">
      <c r="AQ31" s="74"/>
      <c r="AR31" s="74"/>
      <c r="AT31" s="74"/>
    </row>
    <row r="32" spans="1:57" x14ac:dyDescent="0.15">
      <c r="AQ32" s="74"/>
      <c r="AR32" s="74"/>
      <c r="AT32" s="74"/>
    </row>
    <row r="33" spans="43:46" x14ac:dyDescent="0.15">
      <c r="AQ33" s="74"/>
      <c r="AR33" s="74"/>
      <c r="AT33" s="74"/>
    </row>
    <row r="34" spans="43:46" x14ac:dyDescent="0.15">
      <c r="AQ34" s="74"/>
      <c r="AR34" s="74"/>
      <c r="AT34" s="74"/>
    </row>
    <row r="35" spans="43:46" x14ac:dyDescent="0.15">
      <c r="AQ35" s="74"/>
      <c r="AR35" s="74"/>
      <c r="AT35" s="74"/>
    </row>
  </sheetData>
  <sheetProtection selectLockedCells="1" selectUnlockedCells="1"/>
  <mergeCells count="11">
    <mergeCell ref="AO2:AO3"/>
    <mergeCell ref="AK2:AM3"/>
    <mergeCell ref="BB1:BE1"/>
    <mergeCell ref="D1:J1"/>
    <mergeCell ref="L1:O1"/>
    <mergeCell ref="Z1:AB1"/>
    <mergeCell ref="AD1:AF1"/>
    <mergeCell ref="AH1:AI1"/>
    <mergeCell ref="AP1:AT1"/>
    <mergeCell ref="AU1:AY1"/>
    <mergeCell ref="Q1:X1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07"/>
  <sheetViews>
    <sheetView workbookViewId="0">
      <pane xSplit="1" topLeftCell="B1" activePane="topRight" state="frozen"/>
      <selection pane="topRight" activeCell="B1" sqref="B1"/>
    </sheetView>
  </sheetViews>
  <sheetFormatPr defaultRowHeight="10.5" x14ac:dyDescent="0.15"/>
  <cols>
    <col min="1" max="1" width="42.42578125" style="26" bestFit="1" customWidth="1"/>
    <col min="2" max="2" width="31.28515625" style="26" bestFit="1" customWidth="1"/>
    <col min="3" max="3" width="31" style="26" bestFit="1" customWidth="1"/>
    <col min="4" max="4" width="11.7109375" style="26" bestFit="1" customWidth="1"/>
    <col min="5" max="5" width="9" style="26" bestFit="1" customWidth="1"/>
    <col min="6" max="6" width="9.28515625" style="26" bestFit="1" customWidth="1"/>
    <col min="7" max="7" width="31" style="26" customWidth="1"/>
    <col min="8" max="8" width="7.5703125" style="215" bestFit="1" customWidth="1"/>
    <col min="9" max="9" width="12.42578125" style="215" bestFit="1" customWidth="1"/>
    <col min="10" max="10" width="15.85546875" style="70" bestFit="1" customWidth="1"/>
    <col min="11" max="11" width="12.28515625" style="70" bestFit="1" customWidth="1"/>
    <col min="12" max="12" width="12.85546875" style="26" bestFit="1" customWidth="1"/>
    <col min="13" max="13" width="16.28515625" style="26" bestFit="1" customWidth="1"/>
    <col min="14" max="14" width="9" style="26" bestFit="1" customWidth="1"/>
    <col min="15" max="15" width="14.42578125" style="70" bestFit="1" customWidth="1"/>
    <col min="16" max="16" width="14.28515625" style="215" bestFit="1" customWidth="1"/>
    <col min="17" max="17" width="9.85546875" style="215" bestFit="1" customWidth="1"/>
    <col min="18" max="18" width="20.140625" style="26" bestFit="1" customWidth="1"/>
    <col min="19" max="19" width="11.7109375" style="26" bestFit="1" customWidth="1"/>
    <col min="20" max="20" width="20.140625" style="26" bestFit="1" customWidth="1"/>
    <col min="21" max="21" width="6" style="26" bestFit="1" customWidth="1"/>
    <col min="22" max="22" width="8.7109375" style="26" bestFit="1" customWidth="1"/>
    <col min="23" max="16384" width="9.140625" style="26"/>
  </cols>
  <sheetData>
    <row r="1" spans="1:24" x14ac:dyDescent="0.15">
      <c r="A1" s="28" t="s">
        <v>86</v>
      </c>
      <c r="B1" s="28" t="s">
        <v>142</v>
      </c>
      <c r="C1" s="28" t="s">
        <v>87</v>
      </c>
      <c r="D1" s="27" t="s">
        <v>77</v>
      </c>
      <c r="E1" s="27" t="s">
        <v>83</v>
      </c>
      <c r="F1" s="28" t="s">
        <v>84</v>
      </c>
      <c r="G1" s="28" t="s">
        <v>85</v>
      </c>
      <c r="H1" s="216" t="s">
        <v>660</v>
      </c>
      <c r="I1" s="216"/>
      <c r="J1" s="28"/>
      <c r="K1" s="28"/>
      <c r="L1" s="31" t="s">
        <v>241</v>
      </c>
      <c r="M1" s="28" t="s">
        <v>242</v>
      </c>
      <c r="N1" s="94" t="s">
        <v>659</v>
      </c>
      <c r="O1" s="469"/>
      <c r="R1" s="215"/>
      <c r="S1" s="215"/>
      <c r="T1" s="101" t="s">
        <v>209</v>
      </c>
      <c r="U1" s="26" t="s">
        <v>142</v>
      </c>
      <c r="V1" s="26" t="s">
        <v>87</v>
      </c>
      <c r="W1" s="26" t="s">
        <v>157</v>
      </c>
      <c r="X1" s="26" t="s">
        <v>77</v>
      </c>
    </row>
    <row r="2" spans="1:24" x14ac:dyDescent="0.15">
      <c r="A2" s="26" t="str">
        <f>B2&amp;IF(C2="","","_"&amp;C2)</f>
        <v>Trina Solar_TSM-PA08A 275</v>
      </c>
      <c r="B2" s="26" t="s">
        <v>204</v>
      </c>
      <c r="C2" s="26" t="s">
        <v>656</v>
      </c>
      <c r="D2" s="460">
        <f>E2*L2</f>
        <v>113.57499999999999</v>
      </c>
      <c r="E2" s="459">
        <f>0.35*1.18</f>
        <v>0.41299999999999998</v>
      </c>
      <c r="F2" s="26" t="s">
        <v>89</v>
      </c>
      <c r="G2" s="26" t="s">
        <v>655</v>
      </c>
      <c r="H2" s="215" t="s">
        <v>661</v>
      </c>
      <c r="L2" s="26">
        <v>275</v>
      </c>
      <c r="M2" s="71">
        <v>251.1</v>
      </c>
      <c r="N2" s="33">
        <f>IFERROR(M2/L2,"NaN")</f>
        <v>0.91309090909090906</v>
      </c>
      <c r="O2" s="470"/>
      <c r="P2" s="95"/>
      <c r="Q2" s="95"/>
      <c r="R2" s="95"/>
      <c r="S2" s="95"/>
      <c r="U2" s="26" t="s">
        <v>88</v>
      </c>
      <c r="V2" s="26" t="s">
        <v>193</v>
      </c>
      <c r="W2" s="26">
        <v>247.9</v>
      </c>
      <c r="X2" s="26">
        <v>124.2</v>
      </c>
    </row>
    <row r="3" spans="1:24" x14ac:dyDescent="0.15">
      <c r="A3" s="215" t="str">
        <f t="shared" ref="A3:A5" si="0">B3&amp;IF(C3="","","_"&amp;C3)</f>
        <v>Trina Solar_TSM-PD14 330</v>
      </c>
      <c r="B3" s="26" t="s">
        <v>204</v>
      </c>
      <c r="C3" s="26" t="s">
        <v>648</v>
      </c>
      <c r="D3" s="460">
        <f t="shared" ref="D3:D14" si="1">E3*L3</f>
        <v>136.29</v>
      </c>
      <c r="E3" s="459">
        <f>0.35*1.18</f>
        <v>0.41299999999999998</v>
      </c>
      <c r="F3" s="26" t="s">
        <v>89</v>
      </c>
      <c r="G3" s="26" t="s">
        <v>655</v>
      </c>
      <c r="H3" s="215" t="s">
        <v>661</v>
      </c>
      <c r="L3" s="26">
        <v>330</v>
      </c>
      <c r="M3" s="71">
        <v>301.39999999999998</v>
      </c>
      <c r="N3" s="33">
        <f t="shared" ref="N3:N14" si="2">IFERROR(M3/L3,"NaN")</f>
        <v>0.91333333333333322</v>
      </c>
      <c r="O3" s="470"/>
      <c r="P3" s="95"/>
      <c r="Q3" s="95"/>
      <c r="R3" s="95"/>
      <c r="S3" s="95"/>
      <c r="U3" s="26" t="s">
        <v>88</v>
      </c>
      <c r="V3" s="26" t="s">
        <v>90</v>
      </c>
      <c r="W3" s="26">
        <v>292</v>
      </c>
      <c r="X3" s="26">
        <v>147.20000000000002</v>
      </c>
    </row>
    <row r="4" spans="1:24" s="215" customFormat="1" x14ac:dyDescent="0.15">
      <c r="A4" s="215" t="str">
        <f t="shared" si="0"/>
        <v>Trina Solar_TSM-DD05A.08(II) 285</v>
      </c>
      <c r="B4" s="215" t="s">
        <v>204</v>
      </c>
      <c r="C4" s="215" t="s">
        <v>657</v>
      </c>
      <c r="D4" s="460">
        <f t="shared" si="1"/>
        <v>122.7495</v>
      </c>
      <c r="E4" s="459">
        <f>0.365*1.18</f>
        <v>0.43069999999999997</v>
      </c>
      <c r="F4" s="215" t="s">
        <v>89</v>
      </c>
      <c r="G4" s="215" t="s">
        <v>655</v>
      </c>
      <c r="H4" s="215" t="s">
        <v>662</v>
      </c>
      <c r="L4" s="215">
        <v>285</v>
      </c>
      <c r="M4" s="71">
        <v>260.5</v>
      </c>
      <c r="N4" s="33">
        <f t="shared" si="2"/>
        <v>0.9140350877192982</v>
      </c>
      <c r="O4" s="95"/>
      <c r="P4" s="95"/>
      <c r="Q4" s="95"/>
      <c r="R4" s="95"/>
      <c r="S4" s="95"/>
    </row>
    <row r="5" spans="1:24" s="215" customFormat="1" x14ac:dyDescent="0.15">
      <c r="A5" s="215" t="str">
        <f t="shared" si="0"/>
        <v>Trina Solar_TSM-DD14A(II) 340</v>
      </c>
      <c r="B5" s="215" t="s">
        <v>204</v>
      </c>
      <c r="C5" s="215" t="s">
        <v>658</v>
      </c>
      <c r="D5" s="460">
        <f t="shared" si="1"/>
        <v>146.43799999999999</v>
      </c>
      <c r="E5" s="459">
        <f>0.365*1.18</f>
        <v>0.43069999999999997</v>
      </c>
      <c r="F5" s="215" t="s">
        <v>89</v>
      </c>
      <c r="G5" s="215" t="s">
        <v>655</v>
      </c>
      <c r="H5" s="215" t="s">
        <v>662</v>
      </c>
      <c r="L5" s="215">
        <v>340</v>
      </c>
      <c r="M5" s="71">
        <v>306.2</v>
      </c>
      <c r="N5" s="33">
        <f t="shared" si="2"/>
        <v>0.90058823529411758</v>
      </c>
      <c r="O5" s="95"/>
      <c r="P5" s="95"/>
      <c r="Q5" s="95"/>
      <c r="R5" s="95"/>
      <c r="S5" s="95"/>
    </row>
    <row r="6" spans="1:24" x14ac:dyDescent="0.15">
      <c r="A6" s="26" t="str">
        <f t="shared" ref="A6:A14" si="3">B6&amp;IF(C6="","","_"&amp;C6)</f>
        <v>Canadian Solar_CSK-P 275Wp</v>
      </c>
      <c r="B6" s="26" t="s">
        <v>205</v>
      </c>
      <c r="C6" s="26" t="s">
        <v>649</v>
      </c>
      <c r="D6" s="460">
        <f t="shared" si="1"/>
        <v>138.05000000000001</v>
      </c>
      <c r="E6" s="459">
        <v>0.502</v>
      </c>
      <c r="F6" s="26" t="s">
        <v>92</v>
      </c>
      <c r="G6" s="26" t="s">
        <v>93</v>
      </c>
      <c r="H6" s="215" t="s">
        <v>661</v>
      </c>
      <c r="L6" s="26">
        <v>275</v>
      </c>
      <c r="M6" s="71">
        <v>251.8</v>
      </c>
      <c r="N6" s="33">
        <f t="shared" si="2"/>
        <v>0.91563636363636369</v>
      </c>
      <c r="O6" s="95"/>
      <c r="P6" s="95"/>
      <c r="Q6" s="95"/>
      <c r="R6" s="95"/>
      <c r="S6" s="95"/>
      <c r="U6" s="26" t="s">
        <v>91</v>
      </c>
      <c r="V6" s="26" t="s">
        <v>194</v>
      </c>
      <c r="W6" s="26">
        <v>247.1</v>
      </c>
      <c r="X6" s="26">
        <v>132.30000000000001</v>
      </c>
    </row>
    <row r="7" spans="1:24" x14ac:dyDescent="0.15">
      <c r="A7" s="26" t="str">
        <f t="shared" si="3"/>
        <v>Canadian Solar_CS6U-320P</v>
      </c>
      <c r="B7" s="26" t="s">
        <v>205</v>
      </c>
      <c r="C7" s="26" t="s">
        <v>195</v>
      </c>
      <c r="D7" s="460">
        <f t="shared" si="1"/>
        <v>160.63999999999999</v>
      </c>
      <c r="E7" s="459">
        <v>0.502</v>
      </c>
      <c r="F7" s="26" t="s">
        <v>92</v>
      </c>
      <c r="G7" s="26" t="s">
        <v>93</v>
      </c>
      <c r="H7" s="215" t="s">
        <v>661</v>
      </c>
      <c r="L7" s="26">
        <v>320</v>
      </c>
      <c r="M7" s="71">
        <v>292.8</v>
      </c>
      <c r="N7" s="33">
        <f t="shared" si="2"/>
        <v>0.91500000000000004</v>
      </c>
      <c r="O7" s="95"/>
      <c r="P7" s="95"/>
      <c r="Q7" s="95"/>
      <c r="R7" s="95"/>
      <c r="S7" s="95"/>
      <c r="U7" s="26" t="s">
        <v>91</v>
      </c>
      <c r="V7" s="26" t="s">
        <v>195</v>
      </c>
      <c r="W7" s="26">
        <v>292.8</v>
      </c>
      <c r="X7" s="26">
        <v>156.80000000000001</v>
      </c>
    </row>
    <row r="8" spans="1:24" x14ac:dyDescent="0.15">
      <c r="A8" s="26" t="str">
        <f t="shared" si="3"/>
        <v>GCL System Integration Technology_GCL P6/270</v>
      </c>
      <c r="B8" s="26" t="s">
        <v>206</v>
      </c>
      <c r="C8" s="26" t="s">
        <v>650</v>
      </c>
      <c r="D8" s="460">
        <f t="shared" si="1"/>
        <v>109.91699999999999</v>
      </c>
      <c r="E8" s="459">
        <f>0.345*1.18</f>
        <v>0.40709999999999996</v>
      </c>
      <c r="F8" s="26" t="s">
        <v>92</v>
      </c>
      <c r="G8" s="26" t="s">
        <v>655</v>
      </c>
      <c r="H8" s="215" t="s">
        <v>661</v>
      </c>
      <c r="L8" s="26">
        <v>270</v>
      </c>
      <c r="M8" s="71">
        <v>244.4</v>
      </c>
      <c r="N8" s="33">
        <f t="shared" si="2"/>
        <v>0.9051851851851852</v>
      </c>
      <c r="O8" s="95"/>
      <c r="P8" s="95"/>
      <c r="Q8" s="95"/>
      <c r="R8" s="95"/>
      <c r="S8" s="95"/>
      <c r="U8" s="26" t="s">
        <v>94</v>
      </c>
      <c r="V8" s="26" t="s">
        <v>203</v>
      </c>
      <c r="W8" s="26">
        <v>244.4</v>
      </c>
      <c r="X8" s="26">
        <v>126.89999999999999</v>
      </c>
    </row>
    <row r="9" spans="1:24" x14ac:dyDescent="0.15">
      <c r="A9" s="26" t="str">
        <f t="shared" si="3"/>
        <v>GCL System Integration Technology_GCL P6/320</v>
      </c>
      <c r="B9" s="26" t="s">
        <v>206</v>
      </c>
      <c r="C9" s="70" t="s">
        <v>651</v>
      </c>
      <c r="D9" s="460">
        <f t="shared" si="1"/>
        <v>130.27199999999999</v>
      </c>
      <c r="E9" s="459">
        <f>0.345*1.18</f>
        <v>0.40709999999999996</v>
      </c>
      <c r="F9" s="26" t="s">
        <v>92</v>
      </c>
      <c r="G9" s="26" t="s">
        <v>655</v>
      </c>
      <c r="H9" s="215" t="s">
        <v>661</v>
      </c>
      <c r="L9" s="26">
        <v>320</v>
      </c>
      <c r="M9" s="71">
        <v>286.39999999999998</v>
      </c>
      <c r="N9" s="33">
        <f t="shared" si="2"/>
        <v>0.89499999999999991</v>
      </c>
      <c r="O9" s="66"/>
      <c r="P9" s="66"/>
      <c r="Q9" s="66"/>
      <c r="R9" s="66"/>
      <c r="S9" s="66"/>
      <c r="U9" s="26" t="s">
        <v>94</v>
      </c>
      <c r="V9" s="26" t="s">
        <v>202</v>
      </c>
      <c r="X9" s="26">
        <v>150.39999999999998</v>
      </c>
    </row>
    <row r="10" spans="1:24" x14ac:dyDescent="0.15">
      <c r="A10" s="26" t="str">
        <f t="shared" si="3"/>
        <v>ET Solar_JKM270PP</v>
      </c>
      <c r="B10" s="26" t="s">
        <v>95</v>
      </c>
      <c r="C10" s="26" t="s">
        <v>652</v>
      </c>
      <c r="D10" s="460">
        <f t="shared" si="1"/>
        <v>116.28899999999999</v>
      </c>
      <c r="E10" s="459">
        <f>0.365*1.18</f>
        <v>0.43069999999999997</v>
      </c>
      <c r="F10" s="26" t="s">
        <v>92</v>
      </c>
      <c r="G10" s="26" t="s">
        <v>655</v>
      </c>
      <c r="H10" s="215" t="s">
        <v>661</v>
      </c>
      <c r="L10" s="26">
        <v>270</v>
      </c>
      <c r="M10" s="71">
        <v>240.8</v>
      </c>
      <c r="N10" s="33">
        <f t="shared" si="2"/>
        <v>0.8918518518518519</v>
      </c>
      <c r="R10" s="215"/>
      <c r="S10" s="215"/>
      <c r="U10" s="26" t="s">
        <v>95</v>
      </c>
      <c r="X10" s="26">
        <v>0</v>
      </c>
    </row>
    <row r="11" spans="1:24" x14ac:dyDescent="0.15">
      <c r="A11" s="26" t="str">
        <f t="shared" si="3"/>
        <v>Recom_JKM320PP</v>
      </c>
      <c r="B11" s="26" t="s">
        <v>96</v>
      </c>
      <c r="C11" s="26" t="s">
        <v>653</v>
      </c>
      <c r="D11" s="460">
        <f t="shared" si="1"/>
        <v>137.82399999999998</v>
      </c>
      <c r="E11" s="459">
        <f t="shared" ref="E11:E12" si="4">0.365*1.18</f>
        <v>0.43069999999999997</v>
      </c>
      <c r="F11" s="26" t="s">
        <v>92</v>
      </c>
      <c r="G11" s="26" t="s">
        <v>655</v>
      </c>
      <c r="H11" s="215" t="s">
        <v>661</v>
      </c>
      <c r="L11" s="26">
        <v>320</v>
      </c>
      <c r="M11" s="71">
        <v>290.10000000000002</v>
      </c>
      <c r="N11" s="33">
        <f t="shared" si="2"/>
        <v>0.90656250000000005</v>
      </c>
      <c r="R11" s="215"/>
      <c r="S11" s="215"/>
      <c r="U11" s="26" t="s">
        <v>96</v>
      </c>
      <c r="V11" s="26" t="s">
        <v>196</v>
      </c>
      <c r="W11" s="26">
        <v>294.8</v>
      </c>
      <c r="X11" s="26">
        <v>146.25</v>
      </c>
    </row>
    <row r="12" spans="1:24" x14ac:dyDescent="0.15">
      <c r="A12" s="26" t="str">
        <f t="shared" si="3"/>
        <v>Jinko_JKM325PP</v>
      </c>
      <c r="B12" s="26" t="s">
        <v>97</v>
      </c>
      <c r="C12" s="26" t="s">
        <v>654</v>
      </c>
      <c r="D12" s="460">
        <f t="shared" si="1"/>
        <v>139.97749999999999</v>
      </c>
      <c r="E12" s="459">
        <f t="shared" si="4"/>
        <v>0.43069999999999997</v>
      </c>
      <c r="F12" s="26" t="s">
        <v>92</v>
      </c>
      <c r="G12" s="26" t="s">
        <v>655</v>
      </c>
      <c r="H12" s="215" t="s">
        <v>661</v>
      </c>
      <c r="L12" s="26">
        <v>325</v>
      </c>
      <c r="M12" s="71">
        <v>298.10000000000002</v>
      </c>
      <c r="N12" s="33">
        <f t="shared" si="2"/>
        <v>0.91723076923076929</v>
      </c>
      <c r="R12" s="215"/>
      <c r="S12" s="215"/>
      <c r="U12" s="26" t="s">
        <v>97</v>
      </c>
      <c r="X12" s="26">
        <v>0</v>
      </c>
    </row>
    <row r="13" spans="1:24" x14ac:dyDescent="0.15">
      <c r="A13" s="26" t="str">
        <f t="shared" si="3"/>
        <v>JA Solar</v>
      </c>
      <c r="B13" s="26" t="s">
        <v>98</v>
      </c>
      <c r="D13" s="460">
        <f t="shared" si="1"/>
        <v>0</v>
      </c>
      <c r="E13" s="459"/>
      <c r="F13" s="26" t="s">
        <v>92</v>
      </c>
      <c r="M13" s="71"/>
      <c r="N13" s="33" t="str">
        <f t="shared" si="2"/>
        <v>NaN</v>
      </c>
      <c r="R13" s="215"/>
      <c r="S13" s="215"/>
      <c r="U13" s="26" t="s">
        <v>98</v>
      </c>
      <c r="X13" s="26">
        <v>0</v>
      </c>
    </row>
    <row r="14" spans="1:24" x14ac:dyDescent="0.15">
      <c r="A14" s="26" t="str">
        <f t="shared" si="3"/>
        <v>Sunpreme_SNPM-GxB-310 Bifacial</v>
      </c>
      <c r="B14" s="26" t="s">
        <v>207</v>
      </c>
      <c r="C14" s="26" t="s">
        <v>197</v>
      </c>
      <c r="D14" s="460">
        <f t="shared" si="1"/>
        <v>229.4</v>
      </c>
      <c r="E14" s="459">
        <v>0.74</v>
      </c>
      <c r="F14" s="26" t="s">
        <v>89</v>
      </c>
      <c r="H14" s="215" t="s">
        <v>662</v>
      </c>
      <c r="L14" s="26">
        <v>310</v>
      </c>
      <c r="M14" s="71">
        <v>292.5</v>
      </c>
      <c r="N14" s="33">
        <f t="shared" si="2"/>
        <v>0.94354838709677424</v>
      </c>
      <c r="R14" s="215"/>
      <c r="S14" s="215"/>
      <c r="U14" s="26" t="s">
        <v>99</v>
      </c>
      <c r="V14" s="26" t="s">
        <v>197</v>
      </c>
      <c r="W14" s="26">
        <v>292.5</v>
      </c>
      <c r="X14" s="26">
        <v>0</v>
      </c>
    </row>
    <row r="15" spans="1:24" x14ac:dyDescent="0.15">
      <c r="D15" s="29"/>
      <c r="E15" s="29"/>
    </row>
    <row r="16" spans="1:24" x14ac:dyDescent="0.15">
      <c r="A16" s="28" t="s">
        <v>143</v>
      </c>
      <c r="B16" s="28" t="s">
        <v>142</v>
      </c>
      <c r="C16" s="28" t="s">
        <v>87</v>
      </c>
      <c r="D16" s="27" t="s">
        <v>77</v>
      </c>
      <c r="E16" s="27" t="s">
        <v>83</v>
      </c>
      <c r="F16" s="28" t="s">
        <v>84</v>
      </c>
      <c r="G16" s="28" t="s">
        <v>85</v>
      </c>
      <c r="H16" s="216"/>
      <c r="I16" s="216"/>
      <c r="J16" s="28"/>
      <c r="K16" s="28"/>
      <c r="L16" s="31" t="s">
        <v>82</v>
      </c>
    </row>
    <row r="17" spans="1:20" x14ac:dyDescent="0.15">
      <c r="A17" s="26" t="str">
        <f t="shared" ref="A17:A21" si="5">B17&amp;IF(C17="","","_"&amp;C17)</f>
        <v>Tigo_TS4-D</v>
      </c>
      <c r="B17" s="26" t="s">
        <v>100</v>
      </c>
      <c r="C17" s="26" t="s">
        <v>101</v>
      </c>
      <c r="D17" s="29">
        <v>0</v>
      </c>
      <c r="E17" s="459">
        <f t="shared" ref="E17:E21" si="6">D17/L17</f>
        <v>0</v>
      </c>
      <c r="F17" s="26" t="s">
        <v>89</v>
      </c>
      <c r="G17" s="26" t="s">
        <v>102</v>
      </c>
      <c r="L17" s="26">
        <v>280</v>
      </c>
    </row>
    <row r="18" spans="1:20" x14ac:dyDescent="0.15">
      <c r="A18" s="26" t="str">
        <f t="shared" si="5"/>
        <v>Tigo_TS4-M</v>
      </c>
      <c r="B18" s="26" t="s">
        <v>100</v>
      </c>
      <c r="C18" s="26" t="s">
        <v>103</v>
      </c>
      <c r="D18" s="29">
        <v>16</v>
      </c>
      <c r="E18" s="459">
        <f t="shared" si="6"/>
        <v>5.7142857142857141E-2</v>
      </c>
      <c r="F18" s="26" t="s">
        <v>89</v>
      </c>
      <c r="G18" s="26" t="s">
        <v>104</v>
      </c>
      <c r="L18" s="26">
        <v>280</v>
      </c>
    </row>
    <row r="19" spans="1:20" x14ac:dyDescent="0.15">
      <c r="A19" s="26" t="str">
        <f t="shared" si="5"/>
        <v>Tigo_TS4-S</v>
      </c>
      <c r="B19" s="26" t="s">
        <v>100</v>
      </c>
      <c r="C19" s="26" t="s">
        <v>105</v>
      </c>
      <c r="D19" s="29">
        <v>26.88</v>
      </c>
      <c r="E19" s="459">
        <f t="shared" si="6"/>
        <v>9.6000000000000002E-2</v>
      </c>
      <c r="F19" s="26" t="s">
        <v>89</v>
      </c>
      <c r="G19" s="26" t="s">
        <v>106</v>
      </c>
      <c r="L19" s="26">
        <v>280</v>
      </c>
    </row>
    <row r="20" spans="1:20" x14ac:dyDescent="0.15">
      <c r="A20" s="26" t="str">
        <f t="shared" si="5"/>
        <v>Tigo_TS4-O</v>
      </c>
      <c r="B20" s="26" t="s">
        <v>100</v>
      </c>
      <c r="C20" s="26" t="s">
        <v>107</v>
      </c>
      <c r="D20" s="29">
        <v>34.56</v>
      </c>
      <c r="E20" s="459">
        <f t="shared" si="6"/>
        <v>0.12342857142857144</v>
      </c>
      <c r="F20" s="26" t="s">
        <v>89</v>
      </c>
      <c r="G20" s="26" t="s">
        <v>108</v>
      </c>
      <c r="L20" s="26">
        <v>280</v>
      </c>
    </row>
    <row r="21" spans="1:20" x14ac:dyDescent="0.15">
      <c r="A21" s="26" t="str">
        <f t="shared" si="5"/>
        <v>Tigo_TS4-L</v>
      </c>
      <c r="B21" s="26" t="s">
        <v>100</v>
      </c>
      <c r="C21" s="26" t="s">
        <v>109</v>
      </c>
      <c r="D21" s="29">
        <v>41.6</v>
      </c>
      <c r="E21" s="459">
        <f t="shared" si="6"/>
        <v>0.14857142857142858</v>
      </c>
      <c r="F21" s="26" t="s">
        <v>89</v>
      </c>
      <c r="G21" s="26" t="s">
        <v>110</v>
      </c>
      <c r="L21" s="26">
        <v>280</v>
      </c>
      <c r="S21" s="215"/>
      <c r="T21" s="215"/>
    </row>
    <row r="22" spans="1:20" x14ac:dyDescent="0.15">
      <c r="D22" s="29"/>
      <c r="E22" s="30"/>
      <c r="J22" s="215"/>
      <c r="K22" s="215" t="s">
        <v>243</v>
      </c>
      <c r="L22" s="215" t="s">
        <v>244</v>
      </c>
      <c r="S22" s="215"/>
      <c r="T22" s="215"/>
    </row>
    <row r="23" spans="1:20" x14ac:dyDescent="0.15">
      <c r="A23" s="28" t="s">
        <v>4</v>
      </c>
      <c r="B23" s="28" t="s">
        <v>142</v>
      </c>
      <c r="C23" s="28" t="s">
        <v>87</v>
      </c>
      <c r="D23" s="27" t="s">
        <v>77</v>
      </c>
      <c r="E23" s="27" t="s">
        <v>83</v>
      </c>
      <c r="F23" s="28" t="s">
        <v>84</v>
      </c>
      <c r="G23" s="28" t="s">
        <v>85</v>
      </c>
      <c r="H23" s="216" t="s">
        <v>257</v>
      </c>
      <c r="I23" s="216" t="s">
        <v>255</v>
      </c>
      <c r="J23" s="217" t="s">
        <v>245</v>
      </c>
      <c r="K23" s="217" t="s">
        <v>246</v>
      </c>
      <c r="L23" s="217" t="s">
        <v>247</v>
      </c>
      <c r="M23" s="28" t="s">
        <v>159</v>
      </c>
      <c r="N23" s="216" t="s">
        <v>248</v>
      </c>
      <c r="O23" s="216" t="s">
        <v>855</v>
      </c>
      <c r="S23" s="215"/>
      <c r="T23" s="215"/>
    </row>
    <row r="24" spans="1:20" x14ac:dyDescent="0.15">
      <c r="A24" s="26" t="str">
        <f t="shared" ref="A24:A87" si="7">B24&amp;IF(C24="","","_"&amp;C24)</f>
        <v>APS_Micro Inversor APS YC500 Dual</v>
      </c>
      <c r="B24" s="26" t="s">
        <v>758</v>
      </c>
      <c r="C24" s="26" t="s">
        <v>759</v>
      </c>
      <c r="D24" s="29">
        <v>173.33</v>
      </c>
      <c r="E24" s="459">
        <f>D24/L24</f>
        <v>0.28888333333333338</v>
      </c>
      <c r="F24" s="26" t="s">
        <v>92</v>
      </c>
      <c r="G24" s="26" t="s">
        <v>835</v>
      </c>
      <c r="H24" s="215">
        <v>1</v>
      </c>
      <c r="I24" s="215" t="s">
        <v>256</v>
      </c>
      <c r="J24" s="214">
        <v>500</v>
      </c>
      <c r="K24" s="214">
        <f>J24*0.8</f>
        <v>400</v>
      </c>
      <c r="L24" s="214">
        <f>J24*1.2</f>
        <v>600</v>
      </c>
      <c r="M24" s="33">
        <v>0.95</v>
      </c>
      <c r="N24" s="474">
        <f>L24/J24</f>
        <v>1.2</v>
      </c>
      <c r="O24" s="71">
        <v>0.5</v>
      </c>
      <c r="P24" s="215">
        <v>1</v>
      </c>
      <c r="Q24" s="215">
        <f t="shared" ref="Q24" si="8">IFERROR(MATCH(P24,H:H,0),0)</f>
        <v>24</v>
      </c>
      <c r="R24" s="26" t="str">
        <f>"Components!A"&amp;Q24&amp;":A"&amp;Q26-1</f>
        <v>Components!A24:A65</v>
      </c>
      <c r="S24" s="215"/>
      <c r="T24" s="215"/>
    </row>
    <row r="25" spans="1:20" x14ac:dyDescent="0.15">
      <c r="A25" s="26" t="str">
        <f t="shared" si="7"/>
        <v>Enphase_M250</v>
      </c>
      <c r="B25" s="26" t="s">
        <v>111</v>
      </c>
      <c r="C25" s="26" t="s">
        <v>760</v>
      </c>
      <c r="D25" s="29">
        <v>85.12</v>
      </c>
      <c r="E25" s="459">
        <f t="shared" ref="E25:E88" si="9">D25/L25</f>
        <v>0.25793939393939397</v>
      </c>
      <c r="F25" s="26" t="s">
        <v>89</v>
      </c>
      <c r="H25" s="215">
        <v>1</v>
      </c>
      <c r="I25" s="215" t="s">
        <v>256</v>
      </c>
      <c r="J25" s="214">
        <v>275</v>
      </c>
      <c r="K25" s="214">
        <f t="shared" ref="K25:K88" si="10">J25*0.8</f>
        <v>220</v>
      </c>
      <c r="L25" s="214">
        <f>J25*1.2</f>
        <v>330</v>
      </c>
      <c r="M25" s="33">
        <v>0.96499999999999997</v>
      </c>
      <c r="N25" s="474">
        <f t="shared" ref="N25:N88" si="11">L25/J25</f>
        <v>1.2</v>
      </c>
      <c r="O25" s="71">
        <v>1</v>
      </c>
      <c r="P25" s="215">
        <v>2</v>
      </c>
      <c r="Q25" s="215">
        <f>IFERROR(MATCH(P25,H:H,0),0)</f>
        <v>0</v>
      </c>
      <c r="R25" s="215" t="str">
        <f>R24</f>
        <v>Components!A24:A65</v>
      </c>
      <c r="S25" s="215"/>
      <c r="T25" s="215"/>
    </row>
    <row r="26" spans="1:20" x14ac:dyDescent="0.15">
      <c r="A26" s="26" t="str">
        <f t="shared" si="7"/>
        <v>ABB_UNO-2.0-I-OUTD-S-US</v>
      </c>
      <c r="B26" s="26" t="s">
        <v>761</v>
      </c>
      <c r="C26" s="26" t="s">
        <v>762</v>
      </c>
      <c r="D26" s="29">
        <v>955.79</v>
      </c>
      <c r="E26" s="459">
        <f t="shared" si="9"/>
        <v>0.41556086956521737</v>
      </c>
      <c r="F26" s="26" t="s">
        <v>89</v>
      </c>
      <c r="G26" s="26" t="s">
        <v>836</v>
      </c>
      <c r="H26" s="215">
        <v>1</v>
      </c>
      <c r="I26" s="215" t="s">
        <v>829</v>
      </c>
      <c r="J26" s="214">
        <v>2100</v>
      </c>
      <c r="K26" s="214">
        <f t="shared" si="10"/>
        <v>1680</v>
      </c>
      <c r="L26" s="214">
        <v>2300</v>
      </c>
      <c r="M26" s="33">
        <v>0.95099999999999996</v>
      </c>
      <c r="N26" s="474">
        <f t="shared" si="11"/>
        <v>1.0952380952380953</v>
      </c>
      <c r="O26" s="71">
        <v>0</v>
      </c>
      <c r="P26" s="215">
        <v>3</v>
      </c>
      <c r="Q26" s="215">
        <f t="shared" ref="Q26" si="12">IFERROR(MATCH(P26,H:H,0),0)</f>
        <v>66</v>
      </c>
      <c r="R26" s="215" t="str">
        <f t="shared" ref="R26" si="13">"Components!A"&amp;Q26&amp;":A"&amp;Q27-1</f>
        <v>Components!A66:A93</v>
      </c>
      <c r="S26" s="215"/>
      <c r="T26" s="215"/>
    </row>
    <row r="27" spans="1:20" x14ac:dyDescent="0.15">
      <c r="A27" s="26" t="str">
        <f t="shared" si="7"/>
        <v>ABB_UNO-2.5-I-OUTD-S-US</v>
      </c>
      <c r="B27" s="26" t="s">
        <v>761</v>
      </c>
      <c r="C27" s="26" t="s">
        <v>763</v>
      </c>
      <c r="D27" s="29">
        <v>1026.05</v>
      </c>
      <c r="E27" s="459">
        <f t="shared" si="9"/>
        <v>0.35381034482758617</v>
      </c>
      <c r="F27" s="26" t="s">
        <v>89</v>
      </c>
      <c r="G27" s="26" t="s">
        <v>836</v>
      </c>
      <c r="H27" s="215">
        <v>1</v>
      </c>
      <c r="I27" s="215" t="s">
        <v>829</v>
      </c>
      <c r="J27" s="214">
        <v>2600</v>
      </c>
      <c r="K27" s="214">
        <f t="shared" si="10"/>
        <v>2080</v>
      </c>
      <c r="L27" s="214">
        <v>2900</v>
      </c>
      <c r="M27" s="33">
        <v>0.95399999999999996</v>
      </c>
      <c r="N27" s="474">
        <f t="shared" si="11"/>
        <v>1.1153846153846154</v>
      </c>
      <c r="O27" s="71">
        <v>0</v>
      </c>
      <c r="Q27" s="215">
        <f>COUNTIF(H:H,P26)+Q26</f>
        <v>94</v>
      </c>
      <c r="S27" s="215"/>
      <c r="T27" s="215"/>
    </row>
    <row r="28" spans="1:20" x14ac:dyDescent="0.15">
      <c r="A28" s="26" t="str">
        <f t="shared" si="7"/>
        <v>ABB_PVI-3.0-OUTD-S-US</v>
      </c>
      <c r="B28" s="26" t="s">
        <v>761</v>
      </c>
      <c r="C28" s="26" t="s">
        <v>764</v>
      </c>
      <c r="D28" s="29">
        <v>882</v>
      </c>
      <c r="E28" s="459">
        <f t="shared" si="9"/>
        <v>0.23519999999999999</v>
      </c>
      <c r="F28" s="26" t="s">
        <v>89</v>
      </c>
      <c r="G28" s="26" t="s">
        <v>837</v>
      </c>
      <c r="H28" s="215">
        <v>1</v>
      </c>
      <c r="I28" s="215" t="s">
        <v>829</v>
      </c>
      <c r="J28" s="214">
        <v>3000</v>
      </c>
      <c r="K28" s="214">
        <f t="shared" si="10"/>
        <v>2400</v>
      </c>
      <c r="L28" s="214">
        <f t="shared" ref="L28:L47" si="14">J28*1.25</f>
        <v>3750</v>
      </c>
      <c r="M28" s="33">
        <v>0.96</v>
      </c>
      <c r="N28" s="474">
        <f t="shared" si="11"/>
        <v>1.25</v>
      </c>
      <c r="O28" s="71">
        <v>0</v>
      </c>
      <c r="S28" s="215"/>
      <c r="T28" s="215"/>
    </row>
    <row r="29" spans="1:20" x14ac:dyDescent="0.15">
      <c r="A29" s="26" t="str">
        <f t="shared" si="7"/>
        <v>ABB_PVI-3.0-OUTD-S-US</v>
      </c>
      <c r="B29" s="26" t="s">
        <v>761</v>
      </c>
      <c r="C29" s="26" t="s">
        <v>764</v>
      </c>
      <c r="D29" s="29">
        <v>972.51</v>
      </c>
      <c r="E29" s="459">
        <f t="shared" si="9"/>
        <v>0.25933600000000001</v>
      </c>
      <c r="F29" s="26" t="s">
        <v>89</v>
      </c>
      <c r="G29" s="26" t="s">
        <v>838</v>
      </c>
      <c r="H29" s="215">
        <v>1</v>
      </c>
      <c r="I29" s="215" t="s">
        <v>829</v>
      </c>
      <c r="J29" s="214">
        <v>3000</v>
      </c>
      <c r="K29" s="214">
        <f t="shared" si="10"/>
        <v>2400</v>
      </c>
      <c r="L29" s="214">
        <f t="shared" si="14"/>
        <v>3750</v>
      </c>
      <c r="M29" s="33">
        <v>0.96</v>
      </c>
      <c r="N29" s="474">
        <f t="shared" si="11"/>
        <v>1.25</v>
      </c>
      <c r="O29" s="71">
        <v>0</v>
      </c>
      <c r="S29" s="215"/>
      <c r="T29" s="215"/>
    </row>
    <row r="30" spans="1:20" x14ac:dyDescent="0.15">
      <c r="A30" s="26" t="str">
        <f t="shared" si="7"/>
        <v>ABB_PVI-3.6-OUTD-S-US</v>
      </c>
      <c r="B30" s="26" t="s">
        <v>761</v>
      </c>
      <c r="C30" s="26" t="s">
        <v>765</v>
      </c>
      <c r="D30" s="29">
        <v>1079.58</v>
      </c>
      <c r="E30" s="459">
        <f t="shared" si="9"/>
        <v>0.23990666666666666</v>
      </c>
      <c r="F30" s="26" t="s">
        <v>89</v>
      </c>
      <c r="G30" s="26" t="s">
        <v>839</v>
      </c>
      <c r="H30" s="215">
        <v>1</v>
      </c>
      <c r="I30" s="215" t="s">
        <v>829</v>
      </c>
      <c r="J30" s="214">
        <v>3600</v>
      </c>
      <c r="K30" s="214">
        <f t="shared" si="10"/>
        <v>2880</v>
      </c>
      <c r="L30" s="214">
        <f t="shared" si="14"/>
        <v>4500</v>
      </c>
      <c r="M30" s="33">
        <v>0.96</v>
      </c>
      <c r="N30" s="474">
        <f t="shared" si="11"/>
        <v>1.25</v>
      </c>
      <c r="O30" s="71">
        <v>0</v>
      </c>
      <c r="S30" s="215"/>
      <c r="T30" s="215"/>
    </row>
    <row r="31" spans="1:20" x14ac:dyDescent="0.15">
      <c r="A31" s="26" t="str">
        <f t="shared" si="7"/>
        <v>ABB_PVI-3.8-OUTD-S-US</v>
      </c>
      <c r="B31" s="26" t="s">
        <v>761</v>
      </c>
      <c r="C31" s="26" t="s">
        <v>766</v>
      </c>
      <c r="D31" s="29">
        <v>1113.04</v>
      </c>
      <c r="E31" s="459">
        <f t="shared" si="9"/>
        <v>0.23432421052631577</v>
      </c>
      <c r="F31" s="26" t="s">
        <v>89</v>
      </c>
      <c r="G31" s="26" t="s">
        <v>840</v>
      </c>
      <c r="H31" s="215">
        <v>1</v>
      </c>
      <c r="I31" s="215" t="s">
        <v>829</v>
      </c>
      <c r="J31" s="214">
        <v>3800</v>
      </c>
      <c r="K31" s="214">
        <f t="shared" si="10"/>
        <v>3040</v>
      </c>
      <c r="L31" s="214">
        <f t="shared" si="14"/>
        <v>4750</v>
      </c>
      <c r="M31" s="33">
        <v>0.96</v>
      </c>
      <c r="N31" s="474">
        <f t="shared" si="11"/>
        <v>1.25</v>
      </c>
      <c r="O31" s="71">
        <v>0</v>
      </c>
      <c r="S31" s="215"/>
      <c r="T31" s="215"/>
    </row>
    <row r="32" spans="1:20" s="70" customFormat="1" x14ac:dyDescent="0.15">
      <c r="A32" s="70" t="str">
        <f t="shared" ref="A32:A40" si="15">B32&amp;IF(C32="","","_"&amp;C32)</f>
        <v>ABB_PVI-4.2-OUTD-S-US</v>
      </c>
      <c r="B32" s="70" t="s">
        <v>761</v>
      </c>
      <c r="C32" s="70" t="s">
        <v>767</v>
      </c>
      <c r="D32" s="29">
        <v>1176.6099999999999</v>
      </c>
      <c r="E32" s="459">
        <f t="shared" si="9"/>
        <v>0.22411619047619047</v>
      </c>
      <c r="F32" s="70" t="s">
        <v>89</v>
      </c>
      <c r="G32" s="70" t="s">
        <v>841</v>
      </c>
      <c r="H32" s="215">
        <v>1</v>
      </c>
      <c r="I32" s="215" t="s">
        <v>829</v>
      </c>
      <c r="J32" s="214">
        <v>4200</v>
      </c>
      <c r="K32" s="214">
        <f t="shared" si="10"/>
        <v>3360</v>
      </c>
      <c r="L32" s="214">
        <f t="shared" si="14"/>
        <v>5250</v>
      </c>
      <c r="M32" s="33">
        <v>0.96</v>
      </c>
      <c r="N32" s="474">
        <f t="shared" si="11"/>
        <v>1.25</v>
      </c>
      <c r="O32" s="71">
        <v>0</v>
      </c>
      <c r="P32" s="215"/>
      <c r="Q32" s="215"/>
      <c r="S32" s="215"/>
      <c r="T32" s="215"/>
    </row>
    <row r="33" spans="1:20" s="70" customFormat="1" x14ac:dyDescent="0.15">
      <c r="A33" s="70" t="str">
        <f t="shared" si="15"/>
        <v>ABB_PVI-5000-OUTD-S-US</v>
      </c>
      <c r="B33" s="70" t="s">
        <v>761</v>
      </c>
      <c r="C33" s="70" t="s">
        <v>768</v>
      </c>
      <c r="D33" s="29">
        <v>1365.65</v>
      </c>
      <c r="E33" s="459">
        <f t="shared" si="9"/>
        <v>0.218504</v>
      </c>
      <c r="F33" s="70" t="s">
        <v>89</v>
      </c>
      <c r="G33" s="70" t="s">
        <v>842</v>
      </c>
      <c r="H33" s="215">
        <v>1</v>
      </c>
      <c r="I33" s="215" t="s">
        <v>829</v>
      </c>
      <c r="J33" s="214">
        <v>5000</v>
      </c>
      <c r="K33" s="214">
        <f t="shared" si="10"/>
        <v>4000</v>
      </c>
      <c r="L33" s="214">
        <f t="shared" si="14"/>
        <v>6250</v>
      </c>
      <c r="M33" s="33">
        <v>0.96499999999999997</v>
      </c>
      <c r="N33" s="474">
        <f t="shared" si="11"/>
        <v>1.25</v>
      </c>
      <c r="O33" s="71">
        <v>0</v>
      </c>
      <c r="P33" s="215"/>
      <c r="Q33" s="215"/>
      <c r="S33" s="215"/>
      <c r="T33" s="215"/>
    </row>
    <row r="34" spans="1:20" s="70" customFormat="1" x14ac:dyDescent="0.15">
      <c r="A34" s="70" t="str">
        <f t="shared" si="15"/>
        <v>ABB_PVI-6000-OUTD-S-US</v>
      </c>
      <c r="B34" s="70" t="s">
        <v>761</v>
      </c>
      <c r="C34" s="70" t="s">
        <v>769</v>
      </c>
      <c r="D34" s="29">
        <v>1513.42</v>
      </c>
      <c r="E34" s="459">
        <f t="shared" si="9"/>
        <v>0.20178933333333335</v>
      </c>
      <c r="F34" s="70" t="s">
        <v>89</v>
      </c>
      <c r="G34" s="70" t="s">
        <v>843</v>
      </c>
      <c r="H34" s="215">
        <v>1</v>
      </c>
      <c r="I34" s="215" t="s">
        <v>829</v>
      </c>
      <c r="J34" s="214">
        <v>6000</v>
      </c>
      <c r="K34" s="214">
        <f t="shared" si="10"/>
        <v>4800</v>
      </c>
      <c r="L34" s="214">
        <f t="shared" si="14"/>
        <v>7500</v>
      </c>
      <c r="M34" s="33">
        <v>0.96499999999999997</v>
      </c>
      <c r="N34" s="474">
        <f t="shared" si="11"/>
        <v>1.25</v>
      </c>
      <c r="O34" s="71">
        <v>0</v>
      </c>
      <c r="P34" s="215"/>
      <c r="Q34" s="215"/>
      <c r="S34" s="215"/>
      <c r="T34" s="215"/>
    </row>
    <row r="35" spans="1:20" s="70" customFormat="1" x14ac:dyDescent="0.15">
      <c r="A35" s="70" t="str">
        <f t="shared" si="15"/>
        <v>Fronius_Galvo 1.5</v>
      </c>
      <c r="B35" s="70" t="s">
        <v>770</v>
      </c>
      <c r="C35" s="70" t="s">
        <v>771</v>
      </c>
      <c r="D35" s="29">
        <v>1079.8599999999999</v>
      </c>
      <c r="E35" s="459">
        <f t="shared" si="9"/>
        <v>0.57592533333333329</v>
      </c>
      <c r="F35" s="70" t="s">
        <v>92</v>
      </c>
      <c r="G35" s="70" t="s">
        <v>844</v>
      </c>
      <c r="H35" s="215">
        <v>1</v>
      </c>
      <c r="I35" s="215" t="s">
        <v>830</v>
      </c>
      <c r="J35" s="214">
        <v>1500</v>
      </c>
      <c r="K35" s="214">
        <f t="shared" si="10"/>
        <v>1200</v>
      </c>
      <c r="L35" s="214">
        <f t="shared" si="14"/>
        <v>1875</v>
      </c>
      <c r="M35" s="33">
        <v>0.94499999999999995</v>
      </c>
      <c r="N35" s="474">
        <f t="shared" si="11"/>
        <v>1.25</v>
      </c>
      <c r="O35" s="71">
        <v>0</v>
      </c>
      <c r="P35" s="215"/>
      <c r="Q35" s="215"/>
      <c r="S35" s="215"/>
      <c r="T35" s="215"/>
    </row>
    <row r="36" spans="1:20" s="70" customFormat="1" x14ac:dyDescent="0.15">
      <c r="A36" s="70" t="str">
        <f t="shared" si="15"/>
        <v>Fronius_Galvo 2.0</v>
      </c>
      <c r="B36" s="70" t="s">
        <v>770</v>
      </c>
      <c r="C36" s="70" t="s">
        <v>772</v>
      </c>
      <c r="D36" s="29">
        <v>1165.26</v>
      </c>
      <c r="E36" s="459">
        <f t="shared" si="9"/>
        <v>0.46610400000000002</v>
      </c>
      <c r="F36" s="70" t="s">
        <v>92</v>
      </c>
      <c r="G36" s="70" t="s">
        <v>844</v>
      </c>
      <c r="H36" s="215">
        <v>1</v>
      </c>
      <c r="I36" s="215" t="s">
        <v>830</v>
      </c>
      <c r="J36" s="214">
        <v>2000</v>
      </c>
      <c r="K36" s="214">
        <f t="shared" si="10"/>
        <v>1600</v>
      </c>
      <c r="L36" s="214">
        <f t="shared" si="14"/>
        <v>2500</v>
      </c>
      <c r="M36" s="33">
        <v>0.94499999999999995</v>
      </c>
      <c r="N36" s="474">
        <f t="shared" si="11"/>
        <v>1.25</v>
      </c>
      <c r="O36" s="71">
        <v>0</v>
      </c>
      <c r="P36" s="215"/>
      <c r="Q36" s="215"/>
      <c r="S36" s="215"/>
      <c r="T36" s="215"/>
    </row>
    <row r="37" spans="1:20" s="70" customFormat="1" x14ac:dyDescent="0.15">
      <c r="A37" s="70" t="str">
        <f t="shared" si="15"/>
        <v>Fronius_Galvo 2.5</v>
      </c>
      <c r="B37" s="70" t="s">
        <v>770</v>
      </c>
      <c r="C37" s="70" t="s">
        <v>773</v>
      </c>
      <c r="D37" s="29">
        <v>1189.51</v>
      </c>
      <c r="E37" s="459">
        <f t="shared" si="9"/>
        <v>0.38064320000000001</v>
      </c>
      <c r="F37" s="70" t="s">
        <v>92</v>
      </c>
      <c r="G37" s="70" t="s">
        <v>844</v>
      </c>
      <c r="H37" s="215">
        <v>1</v>
      </c>
      <c r="I37" s="215" t="s">
        <v>830</v>
      </c>
      <c r="J37" s="214">
        <v>2500</v>
      </c>
      <c r="K37" s="214">
        <f t="shared" si="10"/>
        <v>2000</v>
      </c>
      <c r="L37" s="214">
        <f t="shared" si="14"/>
        <v>3125</v>
      </c>
      <c r="M37" s="33">
        <v>0.95</v>
      </c>
      <c r="N37" s="474">
        <f t="shared" si="11"/>
        <v>1.25</v>
      </c>
      <c r="O37" s="71">
        <v>0</v>
      </c>
      <c r="P37" s="215"/>
      <c r="Q37" s="215"/>
      <c r="S37" s="215"/>
      <c r="T37" s="215"/>
    </row>
    <row r="38" spans="1:20" s="70" customFormat="1" x14ac:dyDescent="0.15">
      <c r="A38" s="70" t="str">
        <f t="shared" si="15"/>
        <v>Fronius_Galvo 3.1</v>
      </c>
      <c r="B38" s="70" t="s">
        <v>770</v>
      </c>
      <c r="C38" s="70" t="s">
        <v>774</v>
      </c>
      <c r="D38" s="29">
        <v>1275.26</v>
      </c>
      <c r="E38" s="459">
        <f t="shared" si="9"/>
        <v>0.32909935483870967</v>
      </c>
      <c r="F38" s="70" t="s">
        <v>92</v>
      </c>
      <c r="G38" s="70" t="s">
        <v>844</v>
      </c>
      <c r="H38" s="215">
        <v>1</v>
      </c>
      <c r="I38" s="215" t="s">
        <v>830</v>
      </c>
      <c r="J38" s="214">
        <v>3100</v>
      </c>
      <c r="K38" s="214">
        <f t="shared" si="10"/>
        <v>2480</v>
      </c>
      <c r="L38" s="214">
        <f t="shared" si="14"/>
        <v>3875</v>
      </c>
      <c r="M38" s="33">
        <v>0.95</v>
      </c>
      <c r="N38" s="474">
        <f t="shared" si="11"/>
        <v>1.25</v>
      </c>
      <c r="O38" s="71">
        <v>0</v>
      </c>
      <c r="P38" s="215"/>
      <c r="Q38" s="215"/>
      <c r="S38" s="215"/>
      <c r="T38" s="215"/>
    </row>
    <row r="39" spans="1:20" s="70" customFormat="1" x14ac:dyDescent="0.15">
      <c r="A39" s="70" t="str">
        <f t="shared" si="15"/>
        <v xml:space="preserve">Fronius_Primo 3.8-1 </v>
      </c>
      <c r="B39" s="70" t="s">
        <v>770</v>
      </c>
      <c r="C39" s="70" t="s">
        <v>775</v>
      </c>
      <c r="D39" s="29">
        <v>1168.46</v>
      </c>
      <c r="E39" s="459">
        <f t="shared" si="9"/>
        <v>0.24599157894736842</v>
      </c>
      <c r="F39" s="70" t="s">
        <v>92</v>
      </c>
      <c r="G39" s="70" t="s">
        <v>252</v>
      </c>
      <c r="H39" s="215">
        <v>1</v>
      </c>
      <c r="I39" s="215" t="s">
        <v>830</v>
      </c>
      <c r="J39" s="214">
        <v>3800</v>
      </c>
      <c r="K39" s="214">
        <f t="shared" si="10"/>
        <v>3040</v>
      </c>
      <c r="L39" s="214">
        <f t="shared" si="14"/>
        <v>4750</v>
      </c>
      <c r="M39" s="33">
        <v>0.95</v>
      </c>
      <c r="N39" s="474">
        <f t="shared" si="11"/>
        <v>1.25</v>
      </c>
      <c r="O39" s="71">
        <v>0</v>
      </c>
      <c r="P39" s="215"/>
      <c r="Q39" s="215"/>
      <c r="S39" s="215"/>
      <c r="T39" s="215"/>
    </row>
    <row r="40" spans="1:20" s="70" customFormat="1" x14ac:dyDescent="0.15">
      <c r="A40" s="70" t="str">
        <f t="shared" si="15"/>
        <v>Fronius_Primo 5.0-1</v>
      </c>
      <c r="B40" s="70" t="s">
        <v>770</v>
      </c>
      <c r="C40" s="70" t="s">
        <v>776</v>
      </c>
      <c r="D40" s="29">
        <v>1339.57</v>
      </c>
      <c r="E40" s="459">
        <f t="shared" si="9"/>
        <v>0.2143312</v>
      </c>
      <c r="F40" s="70" t="s">
        <v>92</v>
      </c>
      <c r="G40" s="70" t="s">
        <v>252</v>
      </c>
      <c r="H40" s="215">
        <v>1</v>
      </c>
      <c r="I40" s="215" t="s">
        <v>830</v>
      </c>
      <c r="J40" s="214">
        <v>5000</v>
      </c>
      <c r="K40" s="214">
        <f t="shared" si="10"/>
        <v>4000</v>
      </c>
      <c r="L40" s="214">
        <f t="shared" si="14"/>
        <v>6250</v>
      </c>
      <c r="M40" s="33">
        <v>0.95499999999999996</v>
      </c>
      <c r="N40" s="474">
        <f t="shared" si="11"/>
        <v>1.25</v>
      </c>
      <c r="O40" s="71">
        <v>0</v>
      </c>
      <c r="P40" s="215"/>
      <c r="Q40" s="215"/>
      <c r="S40" s="215"/>
      <c r="T40" s="215"/>
    </row>
    <row r="41" spans="1:20" x14ac:dyDescent="0.15">
      <c r="A41" s="26" t="str">
        <f t="shared" si="7"/>
        <v>Fronius_Primo 6.0-1</v>
      </c>
      <c r="B41" s="26" t="s">
        <v>770</v>
      </c>
      <c r="C41" s="26" t="s">
        <v>777</v>
      </c>
      <c r="D41" s="29">
        <v>1488.18</v>
      </c>
      <c r="E41" s="459">
        <f t="shared" si="9"/>
        <v>0.19842400000000002</v>
      </c>
      <c r="F41" s="26" t="s">
        <v>92</v>
      </c>
      <c r="G41" s="26" t="s">
        <v>252</v>
      </c>
      <c r="H41" s="215">
        <v>1</v>
      </c>
      <c r="I41" s="215" t="s">
        <v>830</v>
      </c>
      <c r="J41" s="214">
        <v>6000</v>
      </c>
      <c r="K41" s="214">
        <f t="shared" si="10"/>
        <v>4800</v>
      </c>
      <c r="L41" s="214">
        <f t="shared" si="14"/>
        <v>7500</v>
      </c>
      <c r="M41" s="33">
        <v>0.96</v>
      </c>
      <c r="N41" s="474">
        <f t="shared" si="11"/>
        <v>1.25</v>
      </c>
      <c r="O41" s="71">
        <v>0</v>
      </c>
      <c r="S41" s="215"/>
      <c r="T41" s="215"/>
    </row>
    <row r="42" spans="1:20" x14ac:dyDescent="0.15">
      <c r="A42" s="26" t="str">
        <f t="shared" si="7"/>
        <v>Fronius_Primo 7.6-1</v>
      </c>
      <c r="B42" s="26" t="s">
        <v>770</v>
      </c>
      <c r="C42" s="26" t="s">
        <v>778</v>
      </c>
      <c r="D42" s="29">
        <v>1757.06</v>
      </c>
      <c r="E42" s="459">
        <f t="shared" si="9"/>
        <v>0.1849536842105263</v>
      </c>
      <c r="F42" s="26" t="s">
        <v>92</v>
      </c>
      <c r="G42" s="70" t="s">
        <v>252</v>
      </c>
      <c r="H42" s="215">
        <v>1</v>
      </c>
      <c r="I42" s="215" t="s">
        <v>830</v>
      </c>
      <c r="J42" s="214">
        <v>7600</v>
      </c>
      <c r="K42" s="214">
        <f t="shared" si="10"/>
        <v>6080</v>
      </c>
      <c r="L42" s="214">
        <f t="shared" si="14"/>
        <v>9500</v>
      </c>
      <c r="M42" s="33">
        <v>0.96</v>
      </c>
      <c r="N42" s="474">
        <f t="shared" si="11"/>
        <v>1.25</v>
      </c>
      <c r="O42" s="71">
        <v>0</v>
      </c>
      <c r="S42" s="215"/>
      <c r="T42" s="215"/>
    </row>
    <row r="43" spans="1:20" x14ac:dyDescent="0.15">
      <c r="A43" s="26" t="str">
        <f t="shared" si="7"/>
        <v>Fronius_Primo 8.2-1</v>
      </c>
      <c r="B43" s="26" t="s">
        <v>770</v>
      </c>
      <c r="C43" s="26" t="s">
        <v>779</v>
      </c>
      <c r="D43" s="29">
        <v>1862.88</v>
      </c>
      <c r="E43" s="459">
        <f t="shared" si="9"/>
        <v>0.18174439024390246</v>
      </c>
      <c r="F43" s="26" t="s">
        <v>92</v>
      </c>
      <c r="G43" s="70" t="s">
        <v>252</v>
      </c>
      <c r="H43" s="215">
        <v>1</v>
      </c>
      <c r="I43" s="215" t="s">
        <v>830</v>
      </c>
      <c r="J43" s="214">
        <v>8200</v>
      </c>
      <c r="K43" s="214">
        <f t="shared" si="10"/>
        <v>6560</v>
      </c>
      <c r="L43" s="214">
        <f t="shared" si="14"/>
        <v>10250</v>
      </c>
      <c r="M43" s="33">
        <v>0.96499999999999997</v>
      </c>
      <c r="N43" s="474">
        <f t="shared" si="11"/>
        <v>1.25</v>
      </c>
      <c r="O43" s="71">
        <v>0</v>
      </c>
      <c r="S43" s="215"/>
      <c r="T43" s="215"/>
    </row>
    <row r="44" spans="1:20" x14ac:dyDescent="0.15">
      <c r="A44" s="26" t="str">
        <f t="shared" si="7"/>
        <v>Fronius_Primo 10.0-1</v>
      </c>
      <c r="B44" s="26" t="s">
        <v>770</v>
      </c>
      <c r="C44" s="26" t="s">
        <v>780</v>
      </c>
      <c r="D44" s="29">
        <v>2350.79</v>
      </c>
      <c r="E44" s="459">
        <f t="shared" si="9"/>
        <v>0.18806319999999999</v>
      </c>
      <c r="F44" s="26" t="s">
        <v>92</v>
      </c>
      <c r="G44" s="70" t="s">
        <v>252</v>
      </c>
      <c r="H44" s="215">
        <v>1</v>
      </c>
      <c r="I44" s="215" t="s">
        <v>830</v>
      </c>
      <c r="J44" s="214">
        <v>10000</v>
      </c>
      <c r="K44" s="214">
        <f t="shared" si="10"/>
        <v>8000</v>
      </c>
      <c r="L44" s="214">
        <f t="shared" si="14"/>
        <v>12500</v>
      </c>
      <c r="M44" s="33">
        <v>0.96699999999999997</v>
      </c>
      <c r="N44" s="474">
        <f t="shared" si="11"/>
        <v>1.25</v>
      </c>
      <c r="O44" s="71">
        <v>0</v>
      </c>
      <c r="S44" s="215"/>
      <c r="T44" s="215"/>
    </row>
    <row r="45" spans="1:20" s="215" customFormat="1" x14ac:dyDescent="0.15">
      <c r="A45" s="215" t="str">
        <f t="shared" si="7"/>
        <v>Fronius_Primo 11.4-1</v>
      </c>
      <c r="B45" s="215" t="s">
        <v>770</v>
      </c>
      <c r="C45" s="215" t="s">
        <v>781</v>
      </c>
      <c r="D45" s="29">
        <v>2628.8</v>
      </c>
      <c r="E45" s="459">
        <f t="shared" si="9"/>
        <v>0.18447719298245616</v>
      </c>
      <c r="F45" s="215" t="s">
        <v>92</v>
      </c>
      <c r="G45" s="215" t="s">
        <v>252</v>
      </c>
      <c r="H45" s="215">
        <v>1</v>
      </c>
      <c r="I45" s="215" t="s">
        <v>830</v>
      </c>
      <c r="J45" s="214">
        <v>11400</v>
      </c>
      <c r="K45" s="214">
        <f t="shared" si="10"/>
        <v>9120</v>
      </c>
      <c r="L45" s="214">
        <f t="shared" si="14"/>
        <v>14250</v>
      </c>
      <c r="M45" s="33">
        <v>0.96699999999999997</v>
      </c>
      <c r="N45" s="474">
        <f t="shared" si="11"/>
        <v>1.25</v>
      </c>
      <c r="O45" s="71">
        <v>0</v>
      </c>
    </row>
    <row r="46" spans="1:20" s="215" customFormat="1" x14ac:dyDescent="0.15">
      <c r="A46" s="215" t="str">
        <f t="shared" si="7"/>
        <v>Fronius_Primo 12.5-1</v>
      </c>
      <c r="B46" s="215" t="s">
        <v>770</v>
      </c>
      <c r="C46" s="215" t="s">
        <v>782</v>
      </c>
      <c r="D46" s="29">
        <v>2844.62</v>
      </c>
      <c r="E46" s="459">
        <f t="shared" si="9"/>
        <v>0.18205568</v>
      </c>
      <c r="F46" s="215" t="s">
        <v>92</v>
      </c>
      <c r="G46" s="215" t="s">
        <v>252</v>
      </c>
      <c r="H46" s="215">
        <v>1</v>
      </c>
      <c r="I46" s="215" t="s">
        <v>830</v>
      </c>
      <c r="J46" s="214">
        <v>12500</v>
      </c>
      <c r="K46" s="214">
        <f t="shared" si="10"/>
        <v>10000</v>
      </c>
      <c r="L46" s="214">
        <f t="shared" si="14"/>
        <v>15625</v>
      </c>
      <c r="M46" s="33">
        <v>0.96699999999999997</v>
      </c>
      <c r="N46" s="474">
        <f t="shared" si="11"/>
        <v>1.25</v>
      </c>
      <c r="O46" s="71">
        <v>0</v>
      </c>
      <c r="S46" s="214"/>
      <c r="T46" s="214"/>
    </row>
    <row r="47" spans="1:20" s="215" customFormat="1" x14ac:dyDescent="0.15">
      <c r="A47" s="215" t="str">
        <f t="shared" si="7"/>
        <v>Fronius_Primo 15.0-1</v>
      </c>
      <c r="B47" s="215" t="s">
        <v>770</v>
      </c>
      <c r="C47" s="215" t="s">
        <v>783</v>
      </c>
      <c r="D47" s="29">
        <v>3332.14</v>
      </c>
      <c r="E47" s="459">
        <f t="shared" si="9"/>
        <v>0.17771413333333333</v>
      </c>
      <c r="F47" s="215" t="s">
        <v>92</v>
      </c>
      <c r="G47" s="215" t="s">
        <v>252</v>
      </c>
      <c r="H47" s="215">
        <v>1</v>
      </c>
      <c r="I47" s="215" t="s">
        <v>830</v>
      </c>
      <c r="J47" s="214">
        <v>15000</v>
      </c>
      <c r="K47" s="214">
        <f t="shared" si="10"/>
        <v>12000</v>
      </c>
      <c r="L47" s="214">
        <f t="shared" si="14"/>
        <v>18750</v>
      </c>
      <c r="M47" s="33">
        <v>0.96699999999999997</v>
      </c>
      <c r="N47" s="474">
        <f t="shared" si="11"/>
        <v>1.25</v>
      </c>
      <c r="O47" s="71">
        <v>0</v>
      </c>
      <c r="S47" s="214"/>
      <c r="T47" s="214"/>
    </row>
    <row r="48" spans="1:20" s="215" customFormat="1" x14ac:dyDescent="0.15">
      <c r="A48" s="215" t="str">
        <f t="shared" si="7"/>
        <v>Ingeteam_Inge 1Play 2.5TLM-DCSW</v>
      </c>
      <c r="B48" s="215" t="s">
        <v>784</v>
      </c>
      <c r="C48" s="215" t="s">
        <v>785</v>
      </c>
      <c r="D48" s="29">
        <v>883.5</v>
      </c>
      <c r="E48" s="459">
        <f t="shared" si="9"/>
        <v>0.2677272727272727</v>
      </c>
      <c r="F48" s="215" t="s">
        <v>89</v>
      </c>
      <c r="H48" s="215">
        <v>1</v>
      </c>
      <c r="I48" s="215" t="s">
        <v>829</v>
      </c>
      <c r="J48" s="214">
        <v>2500</v>
      </c>
      <c r="K48" s="214">
        <f t="shared" si="10"/>
        <v>2000</v>
      </c>
      <c r="L48" s="214">
        <v>3300</v>
      </c>
      <c r="M48" s="33">
        <v>0.97299999999999998</v>
      </c>
      <c r="N48" s="474">
        <f t="shared" si="11"/>
        <v>1.32</v>
      </c>
      <c r="O48" s="71">
        <v>0</v>
      </c>
      <c r="S48" s="214"/>
      <c r="T48" s="214"/>
    </row>
    <row r="49" spans="1:20" s="215" customFormat="1" x14ac:dyDescent="0.15">
      <c r="A49" s="215" t="str">
        <f t="shared" si="7"/>
        <v>Ingeteam_Inge 1Play 3TLM-DCSW</v>
      </c>
      <c r="B49" s="215" t="s">
        <v>784</v>
      </c>
      <c r="C49" s="215" t="s">
        <v>786</v>
      </c>
      <c r="D49" s="29">
        <v>861.8</v>
      </c>
      <c r="E49" s="459">
        <f t="shared" si="9"/>
        <v>0.21544999999999997</v>
      </c>
      <c r="F49" s="215" t="s">
        <v>89</v>
      </c>
      <c r="H49" s="215">
        <v>1</v>
      </c>
      <c r="I49" s="215" t="s">
        <v>829</v>
      </c>
      <c r="J49" s="214">
        <v>3000</v>
      </c>
      <c r="K49" s="214">
        <f t="shared" si="10"/>
        <v>2400</v>
      </c>
      <c r="L49" s="214">
        <v>4000</v>
      </c>
      <c r="M49" s="33">
        <v>0.97399999999999998</v>
      </c>
      <c r="N49" s="474">
        <f t="shared" si="11"/>
        <v>1.3333333333333333</v>
      </c>
      <c r="O49" s="71">
        <v>0</v>
      </c>
      <c r="S49" s="214"/>
      <c r="T49" s="214"/>
    </row>
    <row r="50" spans="1:20" s="215" customFormat="1" x14ac:dyDescent="0.15">
      <c r="A50" s="215" t="str">
        <f t="shared" si="7"/>
        <v>Ingeteam_Inge 1Play 3.3TLM-DCSW</v>
      </c>
      <c r="B50" s="215" t="s">
        <v>784</v>
      </c>
      <c r="C50" s="215" t="s">
        <v>787</v>
      </c>
      <c r="D50" s="29">
        <v>982.7</v>
      </c>
      <c r="E50" s="459">
        <f t="shared" si="9"/>
        <v>0.22853488372093025</v>
      </c>
      <c r="F50" s="215" t="s">
        <v>89</v>
      </c>
      <c r="H50" s="215">
        <v>1</v>
      </c>
      <c r="I50" s="215" t="s">
        <v>829</v>
      </c>
      <c r="J50" s="214">
        <v>3300</v>
      </c>
      <c r="K50" s="214">
        <f t="shared" si="10"/>
        <v>2640</v>
      </c>
      <c r="L50" s="214">
        <v>4300</v>
      </c>
      <c r="M50" s="33">
        <v>0.97399999999999998</v>
      </c>
      <c r="N50" s="474">
        <f t="shared" si="11"/>
        <v>1.303030303030303</v>
      </c>
      <c r="O50" s="71">
        <v>0</v>
      </c>
      <c r="S50" s="214"/>
      <c r="T50" s="214"/>
    </row>
    <row r="51" spans="1:20" s="215" customFormat="1" x14ac:dyDescent="0.15">
      <c r="A51" s="215" t="str">
        <f t="shared" si="7"/>
        <v>Ingeteam_Inge 1Play 3.68 TLM-DCSW</v>
      </c>
      <c r="B51" s="215" t="s">
        <v>784</v>
      </c>
      <c r="C51" s="215" t="s">
        <v>788</v>
      </c>
      <c r="D51" s="29">
        <v>1001.3</v>
      </c>
      <c r="E51" s="459">
        <f t="shared" si="9"/>
        <v>0.20860416666666665</v>
      </c>
      <c r="F51" s="215" t="s">
        <v>89</v>
      </c>
      <c r="H51" s="215">
        <v>1</v>
      </c>
      <c r="I51" s="215" t="s">
        <v>829</v>
      </c>
      <c r="J51" s="214">
        <v>3680</v>
      </c>
      <c r="K51" s="214">
        <f t="shared" si="10"/>
        <v>2944</v>
      </c>
      <c r="L51" s="214">
        <v>4800</v>
      </c>
      <c r="M51" s="33">
        <v>0.97499999999999998</v>
      </c>
      <c r="N51" s="474">
        <f t="shared" si="11"/>
        <v>1.3043478260869565</v>
      </c>
      <c r="O51" s="71">
        <v>0</v>
      </c>
      <c r="S51" s="214"/>
      <c r="T51" s="214"/>
    </row>
    <row r="52" spans="1:20" s="215" customFormat="1" x14ac:dyDescent="0.15">
      <c r="A52" s="215" t="str">
        <f t="shared" si="7"/>
        <v>Ingeteam_Inge 1Play 4.6TLM-DCSW</v>
      </c>
      <c r="B52" s="215" t="s">
        <v>784</v>
      </c>
      <c r="C52" s="215" t="s">
        <v>789</v>
      </c>
      <c r="D52" s="29">
        <v>1069.5</v>
      </c>
      <c r="E52" s="459">
        <f t="shared" si="9"/>
        <v>0.17824999999999999</v>
      </c>
      <c r="F52" s="215" t="s">
        <v>89</v>
      </c>
      <c r="H52" s="215">
        <v>1</v>
      </c>
      <c r="I52" s="215" t="s">
        <v>829</v>
      </c>
      <c r="J52" s="214">
        <v>4600</v>
      </c>
      <c r="K52" s="214">
        <f t="shared" si="10"/>
        <v>3680</v>
      </c>
      <c r="L52" s="214">
        <v>6000</v>
      </c>
      <c r="M52" s="33">
        <v>0.97499999999999998</v>
      </c>
      <c r="N52" s="474">
        <f t="shared" si="11"/>
        <v>1.3043478260869565</v>
      </c>
      <c r="O52" s="71">
        <v>0</v>
      </c>
      <c r="S52" s="214"/>
      <c r="T52" s="214"/>
    </row>
    <row r="53" spans="1:20" s="215" customFormat="1" x14ac:dyDescent="0.15">
      <c r="A53" s="215" t="str">
        <f t="shared" si="7"/>
        <v>Ingeteam_Inge 1Play 5TLM-DCSW</v>
      </c>
      <c r="B53" s="215" t="s">
        <v>784</v>
      </c>
      <c r="C53" s="215" t="s">
        <v>790</v>
      </c>
      <c r="D53" s="29">
        <v>1041.5999999999999</v>
      </c>
      <c r="E53" s="459">
        <f t="shared" si="9"/>
        <v>0.16024615384615384</v>
      </c>
      <c r="F53" s="215" t="s">
        <v>89</v>
      </c>
      <c r="H53" s="215">
        <v>1</v>
      </c>
      <c r="I53" s="215" t="s">
        <v>829</v>
      </c>
      <c r="J53" s="214">
        <v>5000</v>
      </c>
      <c r="K53" s="214">
        <f t="shared" si="10"/>
        <v>4000</v>
      </c>
      <c r="L53" s="214">
        <v>6500</v>
      </c>
      <c r="M53" s="33">
        <v>0.97599999999999998</v>
      </c>
      <c r="N53" s="474">
        <f t="shared" si="11"/>
        <v>1.3</v>
      </c>
      <c r="O53" s="71">
        <v>0</v>
      </c>
      <c r="S53" s="214"/>
      <c r="T53" s="214"/>
    </row>
    <row r="54" spans="1:20" s="215" customFormat="1" x14ac:dyDescent="0.15">
      <c r="A54" s="215" t="str">
        <f t="shared" si="7"/>
        <v>Ingeteam_Inge 1Play 6TLM-DCSW</v>
      </c>
      <c r="B54" s="215" t="s">
        <v>784</v>
      </c>
      <c r="C54" s="215" t="s">
        <v>791</v>
      </c>
      <c r="D54" s="29">
        <v>1317.5</v>
      </c>
      <c r="E54" s="459">
        <f t="shared" si="9"/>
        <v>0.18821428571428572</v>
      </c>
      <c r="F54" s="215" t="s">
        <v>89</v>
      </c>
      <c r="H54" s="215">
        <v>1</v>
      </c>
      <c r="I54" s="215" t="s">
        <v>829</v>
      </c>
      <c r="J54" s="214">
        <v>6000</v>
      </c>
      <c r="K54" s="214">
        <f t="shared" si="10"/>
        <v>4800</v>
      </c>
      <c r="L54" s="214">
        <v>7000</v>
      </c>
      <c r="M54" s="33">
        <v>0.97599999999999998</v>
      </c>
      <c r="N54" s="474">
        <f t="shared" si="11"/>
        <v>1.1666666666666667</v>
      </c>
      <c r="O54" s="71">
        <v>0</v>
      </c>
      <c r="S54" s="214"/>
      <c r="T54" s="214"/>
    </row>
    <row r="55" spans="1:20" s="215" customFormat="1" x14ac:dyDescent="0.15">
      <c r="A55" s="215" t="str">
        <f t="shared" si="7"/>
        <v>KACO_blueplanet 2.0 TL1 M2 WM OD US33</v>
      </c>
      <c r="B55" s="215" t="s">
        <v>792</v>
      </c>
      <c r="C55" s="215" t="s">
        <v>793</v>
      </c>
      <c r="D55" s="29">
        <v>805.2</v>
      </c>
      <c r="E55" s="459">
        <f t="shared" si="9"/>
        <v>0.33550000000000002</v>
      </c>
      <c r="F55" s="215" t="s">
        <v>92</v>
      </c>
      <c r="G55" s="215" t="s">
        <v>845</v>
      </c>
      <c r="H55" s="215">
        <v>1</v>
      </c>
      <c r="I55" s="215" t="s">
        <v>831</v>
      </c>
      <c r="J55" s="214">
        <v>2000</v>
      </c>
      <c r="K55" s="214">
        <f t="shared" si="10"/>
        <v>1600</v>
      </c>
      <c r="L55" s="214">
        <v>2400</v>
      </c>
      <c r="M55" s="33">
        <v>0.96499999999999997</v>
      </c>
      <c r="N55" s="474">
        <f t="shared" si="11"/>
        <v>1.2</v>
      </c>
      <c r="O55" s="71">
        <v>0</v>
      </c>
      <c r="S55" s="214"/>
      <c r="T55" s="214"/>
    </row>
    <row r="56" spans="1:20" s="215" customFormat="1" x14ac:dyDescent="0.15">
      <c r="A56" s="215" t="str">
        <f t="shared" si="7"/>
        <v>KACO_blueplanet 3.0 TL1 M2 WM OD US33</v>
      </c>
      <c r="B56" s="215" t="s">
        <v>792</v>
      </c>
      <c r="C56" s="215" t="s">
        <v>794</v>
      </c>
      <c r="D56" s="29">
        <v>850.57</v>
      </c>
      <c r="E56" s="459">
        <f t="shared" si="9"/>
        <v>0.25774848484848484</v>
      </c>
      <c r="F56" s="215" t="s">
        <v>92</v>
      </c>
      <c r="G56" s="215" t="s">
        <v>845</v>
      </c>
      <c r="H56" s="215">
        <v>1</v>
      </c>
      <c r="I56" s="215" t="s">
        <v>831</v>
      </c>
      <c r="J56" s="214">
        <v>3000</v>
      </c>
      <c r="K56" s="214">
        <f t="shared" si="10"/>
        <v>2400</v>
      </c>
      <c r="L56" s="214">
        <v>3300</v>
      </c>
      <c r="M56" s="33">
        <v>0.96499999999999997</v>
      </c>
      <c r="N56" s="474">
        <f t="shared" si="11"/>
        <v>1.1000000000000001</v>
      </c>
      <c r="O56" s="71">
        <v>0</v>
      </c>
      <c r="S56" s="214"/>
      <c r="T56" s="214"/>
    </row>
    <row r="57" spans="1:20" s="215" customFormat="1" x14ac:dyDescent="0.15">
      <c r="A57" s="215" t="str">
        <f t="shared" si="7"/>
        <v>KACO_blueplanet 4.0 TL1 M2 WM OD US33</v>
      </c>
      <c r="B57" s="215" t="s">
        <v>792</v>
      </c>
      <c r="C57" s="215" t="s">
        <v>795</v>
      </c>
      <c r="D57" s="29">
        <v>895.93</v>
      </c>
      <c r="E57" s="459">
        <f t="shared" si="9"/>
        <v>0.18665208333333333</v>
      </c>
      <c r="F57" s="215" t="s">
        <v>92</v>
      </c>
      <c r="G57" s="215" t="s">
        <v>845</v>
      </c>
      <c r="H57" s="215">
        <v>1</v>
      </c>
      <c r="I57" s="215" t="s">
        <v>831</v>
      </c>
      <c r="J57" s="214">
        <v>4000</v>
      </c>
      <c r="K57" s="214">
        <f t="shared" si="10"/>
        <v>3200</v>
      </c>
      <c r="L57" s="214">
        <v>4800</v>
      </c>
      <c r="M57" s="33">
        <v>0.96499999999999997</v>
      </c>
      <c r="N57" s="474">
        <f t="shared" si="11"/>
        <v>1.2</v>
      </c>
      <c r="O57" s="71">
        <v>0</v>
      </c>
      <c r="S57" s="214"/>
      <c r="T57" s="214"/>
    </row>
    <row r="58" spans="1:20" s="215" customFormat="1" x14ac:dyDescent="0.15">
      <c r="A58" s="215" t="str">
        <f t="shared" si="7"/>
        <v>KACO_blueplanet 5.0 TL1 M2 WM OD US33</v>
      </c>
      <c r="B58" s="215" t="s">
        <v>792</v>
      </c>
      <c r="C58" s="215" t="s">
        <v>796</v>
      </c>
      <c r="D58" s="29">
        <v>941.3</v>
      </c>
      <c r="E58" s="459">
        <f t="shared" si="9"/>
        <v>0.15431147540983606</v>
      </c>
      <c r="F58" s="215" t="s">
        <v>92</v>
      </c>
      <c r="G58" s="215" t="s">
        <v>845</v>
      </c>
      <c r="H58" s="215">
        <v>1</v>
      </c>
      <c r="I58" s="215" t="s">
        <v>831</v>
      </c>
      <c r="J58" s="214">
        <v>5000</v>
      </c>
      <c r="K58" s="214">
        <f t="shared" si="10"/>
        <v>4000</v>
      </c>
      <c r="L58" s="214">
        <v>6100</v>
      </c>
      <c r="M58" s="33">
        <v>0.96499999999999997</v>
      </c>
      <c r="N58" s="474">
        <f t="shared" si="11"/>
        <v>1.22</v>
      </c>
      <c r="O58" s="71">
        <v>0</v>
      </c>
      <c r="S58" s="214"/>
      <c r="T58" s="214"/>
    </row>
    <row r="59" spans="1:20" s="215" customFormat="1" x14ac:dyDescent="0.15">
      <c r="A59" s="215" t="str">
        <f t="shared" si="7"/>
        <v>SMA_Sunny Boy SB1.5</v>
      </c>
      <c r="B59" s="215" t="s">
        <v>797</v>
      </c>
      <c r="C59" s="215" t="s">
        <v>798</v>
      </c>
      <c r="D59" s="29">
        <v>680.4</v>
      </c>
      <c r="E59" s="459">
        <f t="shared" si="9"/>
        <v>0.42524999999999996</v>
      </c>
      <c r="F59" s="215" t="s">
        <v>89</v>
      </c>
      <c r="H59" s="215">
        <v>1</v>
      </c>
      <c r="I59" s="215" t="s">
        <v>829</v>
      </c>
      <c r="J59" s="214">
        <v>1500</v>
      </c>
      <c r="K59" s="214">
        <f t="shared" si="10"/>
        <v>1200</v>
      </c>
      <c r="L59" s="214">
        <v>1600</v>
      </c>
      <c r="M59" s="33">
        <v>0.96099999999999997</v>
      </c>
      <c r="N59" s="474">
        <f t="shared" si="11"/>
        <v>1.0666666666666667</v>
      </c>
      <c r="O59" s="71">
        <v>0</v>
      </c>
      <c r="S59" s="214"/>
      <c r="T59" s="214"/>
    </row>
    <row r="60" spans="1:20" s="215" customFormat="1" x14ac:dyDescent="0.15">
      <c r="A60" s="215" t="str">
        <f t="shared" si="7"/>
        <v>SMA_Sunny Boy SB2.5</v>
      </c>
      <c r="B60" s="215" t="s">
        <v>797</v>
      </c>
      <c r="C60" s="215" t="s">
        <v>799</v>
      </c>
      <c r="D60" s="29">
        <v>913.5</v>
      </c>
      <c r="E60" s="459">
        <f t="shared" si="9"/>
        <v>0.3447169811320755</v>
      </c>
      <c r="F60" s="215" t="s">
        <v>89</v>
      </c>
      <c r="H60" s="215">
        <v>1</v>
      </c>
      <c r="I60" s="215" t="s">
        <v>829</v>
      </c>
      <c r="J60" s="214">
        <v>2500</v>
      </c>
      <c r="K60" s="214">
        <f t="shared" si="10"/>
        <v>2000</v>
      </c>
      <c r="L60" s="214">
        <v>2650</v>
      </c>
      <c r="M60" s="33">
        <v>0.96699999999999997</v>
      </c>
      <c r="N60" s="474">
        <f t="shared" si="11"/>
        <v>1.06</v>
      </c>
      <c r="O60" s="71">
        <v>0</v>
      </c>
      <c r="S60" s="214"/>
      <c r="T60" s="214"/>
    </row>
    <row r="61" spans="1:20" s="215" customFormat="1" x14ac:dyDescent="0.15">
      <c r="A61" s="215" t="str">
        <f t="shared" si="7"/>
        <v>SMA_SB3.0-1SP-US-40</v>
      </c>
      <c r="B61" s="215" t="s">
        <v>797</v>
      </c>
      <c r="C61" s="215" t="s">
        <v>800</v>
      </c>
      <c r="D61" s="29">
        <v>1121.4000000000001</v>
      </c>
      <c r="E61" s="459">
        <f t="shared" si="9"/>
        <v>0.2893935483870968</v>
      </c>
      <c r="F61" s="215" t="s">
        <v>89</v>
      </c>
      <c r="G61" s="215" t="s">
        <v>846</v>
      </c>
      <c r="H61" s="215">
        <v>1</v>
      </c>
      <c r="I61" s="215" t="s">
        <v>829</v>
      </c>
      <c r="J61" s="214">
        <v>3100</v>
      </c>
      <c r="K61" s="214">
        <f t="shared" si="10"/>
        <v>2480</v>
      </c>
      <c r="L61" s="214">
        <f t="shared" ref="L61:L68" si="16">J61*1.25</f>
        <v>3875</v>
      </c>
      <c r="M61" s="33">
        <v>0.96499999999999997</v>
      </c>
      <c r="N61" s="474">
        <f t="shared" si="11"/>
        <v>1.25</v>
      </c>
      <c r="O61" s="71">
        <v>0</v>
      </c>
      <c r="S61" s="214"/>
      <c r="T61" s="214"/>
    </row>
    <row r="62" spans="1:20" s="215" customFormat="1" x14ac:dyDescent="0.15">
      <c r="A62" s="215" t="str">
        <f t="shared" si="7"/>
        <v>SMA_SB3.8-1SP-US-40</v>
      </c>
      <c r="B62" s="215" t="s">
        <v>797</v>
      </c>
      <c r="C62" s="215" t="s">
        <v>801</v>
      </c>
      <c r="D62" s="29">
        <v>1149.75</v>
      </c>
      <c r="E62" s="459">
        <f t="shared" si="9"/>
        <v>0.22994999999999999</v>
      </c>
      <c r="F62" s="215" t="s">
        <v>89</v>
      </c>
      <c r="G62" s="215" t="s">
        <v>846</v>
      </c>
      <c r="H62" s="215">
        <v>1</v>
      </c>
      <c r="I62" s="215" t="s">
        <v>829</v>
      </c>
      <c r="J62" s="214">
        <v>4000</v>
      </c>
      <c r="K62" s="214">
        <f t="shared" si="10"/>
        <v>3200</v>
      </c>
      <c r="L62" s="214">
        <f t="shared" si="16"/>
        <v>5000</v>
      </c>
      <c r="M62" s="33">
        <v>0.97499999999999998</v>
      </c>
      <c r="N62" s="474">
        <f t="shared" si="11"/>
        <v>1.25</v>
      </c>
      <c r="O62" s="71">
        <v>0</v>
      </c>
      <c r="S62" s="214"/>
      <c r="T62" s="214"/>
    </row>
    <row r="63" spans="1:20" s="215" customFormat="1" x14ac:dyDescent="0.15">
      <c r="A63" s="215" t="str">
        <f t="shared" si="7"/>
        <v>SMA_SB5.0-1SP-US-40</v>
      </c>
      <c r="B63" s="215" t="s">
        <v>797</v>
      </c>
      <c r="C63" s="215" t="s">
        <v>802</v>
      </c>
      <c r="D63" s="29">
        <v>1228.5</v>
      </c>
      <c r="E63" s="459">
        <f t="shared" si="9"/>
        <v>0.19083495145631069</v>
      </c>
      <c r="F63" s="215" t="s">
        <v>89</v>
      </c>
      <c r="G63" s="215" t="s">
        <v>846</v>
      </c>
      <c r="H63" s="215">
        <v>1</v>
      </c>
      <c r="I63" s="215" t="s">
        <v>829</v>
      </c>
      <c r="J63" s="214">
        <v>5150</v>
      </c>
      <c r="K63" s="214">
        <f t="shared" si="10"/>
        <v>4120</v>
      </c>
      <c r="L63" s="214">
        <f t="shared" si="16"/>
        <v>6437.5</v>
      </c>
      <c r="M63" s="33">
        <v>0.97</v>
      </c>
      <c r="N63" s="474">
        <f t="shared" si="11"/>
        <v>1.25</v>
      </c>
      <c r="O63" s="71">
        <v>0</v>
      </c>
      <c r="S63" s="214"/>
      <c r="T63" s="214"/>
    </row>
    <row r="64" spans="1:20" s="215" customFormat="1" x14ac:dyDescent="0.15">
      <c r="A64" s="215" t="str">
        <f t="shared" si="7"/>
        <v>SMA_SB6.0-1SP-US-40</v>
      </c>
      <c r="B64" s="215" t="s">
        <v>797</v>
      </c>
      <c r="C64" s="215" t="s">
        <v>803</v>
      </c>
      <c r="D64" s="29">
        <v>1316.7</v>
      </c>
      <c r="E64" s="459">
        <f t="shared" si="9"/>
        <v>0.17555999999999999</v>
      </c>
      <c r="F64" s="215" t="s">
        <v>89</v>
      </c>
      <c r="G64" s="215" t="s">
        <v>846</v>
      </c>
      <c r="H64" s="215">
        <v>1</v>
      </c>
      <c r="I64" s="215" t="s">
        <v>829</v>
      </c>
      <c r="J64" s="214">
        <v>6000</v>
      </c>
      <c r="K64" s="214">
        <f t="shared" si="10"/>
        <v>4800</v>
      </c>
      <c r="L64" s="214">
        <f t="shared" si="16"/>
        <v>7500</v>
      </c>
      <c r="M64" s="33">
        <v>0.97</v>
      </c>
      <c r="N64" s="474">
        <f t="shared" si="11"/>
        <v>1.25</v>
      </c>
      <c r="O64" s="71">
        <v>0</v>
      </c>
      <c r="S64" s="214"/>
      <c r="T64" s="214"/>
    </row>
    <row r="65" spans="1:20" s="215" customFormat="1" x14ac:dyDescent="0.15">
      <c r="A65" s="215" t="str">
        <f t="shared" si="7"/>
        <v>SMA_SB7.0-1SP-US-40</v>
      </c>
      <c r="B65" s="215" t="s">
        <v>797</v>
      </c>
      <c r="C65" s="215" t="s">
        <v>804</v>
      </c>
      <c r="D65" s="29">
        <v>1505.7</v>
      </c>
      <c r="E65" s="459">
        <f t="shared" si="9"/>
        <v>0.17208000000000001</v>
      </c>
      <c r="F65" s="215" t="s">
        <v>89</v>
      </c>
      <c r="G65" s="215" t="s">
        <v>846</v>
      </c>
      <c r="H65" s="215">
        <v>1</v>
      </c>
      <c r="I65" s="215" t="s">
        <v>829</v>
      </c>
      <c r="J65" s="214">
        <v>7000</v>
      </c>
      <c r="K65" s="214">
        <f t="shared" si="10"/>
        <v>5600</v>
      </c>
      <c r="L65" s="214">
        <f t="shared" si="16"/>
        <v>8750</v>
      </c>
      <c r="M65" s="33">
        <v>0.97</v>
      </c>
      <c r="N65" s="474">
        <f t="shared" si="11"/>
        <v>1.25</v>
      </c>
      <c r="O65" s="71">
        <v>0</v>
      </c>
      <c r="S65" s="214"/>
      <c r="T65" s="214"/>
    </row>
    <row r="66" spans="1:20" s="215" customFormat="1" x14ac:dyDescent="0.15">
      <c r="A66" s="215" t="str">
        <f t="shared" si="7"/>
        <v>ABB_PVI-10.0-OUTD-S1-US 480-NG</v>
      </c>
      <c r="B66" s="215" t="s">
        <v>761</v>
      </c>
      <c r="C66" s="215" t="s">
        <v>805</v>
      </c>
      <c r="D66" s="29">
        <v>3669.15</v>
      </c>
      <c r="E66" s="459">
        <f t="shared" si="9"/>
        <v>0.29353200000000002</v>
      </c>
      <c r="F66" s="215" t="s">
        <v>92</v>
      </c>
      <c r="G66" s="215" t="s">
        <v>847</v>
      </c>
      <c r="H66" s="215">
        <v>3</v>
      </c>
      <c r="I66" s="215" t="s">
        <v>832</v>
      </c>
      <c r="J66" s="214">
        <v>10000</v>
      </c>
      <c r="K66" s="214">
        <f t="shared" si="10"/>
        <v>8000</v>
      </c>
      <c r="L66" s="214">
        <f t="shared" si="16"/>
        <v>12500</v>
      </c>
      <c r="M66" s="33">
        <v>0.97499999999999998</v>
      </c>
      <c r="N66" s="474">
        <f t="shared" si="11"/>
        <v>1.25</v>
      </c>
      <c r="O66" s="71">
        <v>0</v>
      </c>
      <c r="S66" s="214"/>
      <c r="T66" s="214"/>
    </row>
    <row r="67" spans="1:20" s="215" customFormat="1" x14ac:dyDescent="0.15">
      <c r="A67" s="215" t="str">
        <f t="shared" si="7"/>
        <v>ABB_TRIO-20.0-TL-OUTD-S-US 480</v>
      </c>
      <c r="B67" s="215" t="s">
        <v>761</v>
      </c>
      <c r="C67" s="215" t="s">
        <v>806</v>
      </c>
      <c r="D67" s="29">
        <v>3128.99</v>
      </c>
      <c r="E67" s="459">
        <f t="shared" si="9"/>
        <v>0.12515959999999998</v>
      </c>
      <c r="F67" s="215" t="s">
        <v>92</v>
      </c>
      <c r="G67" s="215" t="s">
        <v>848</v>
      </c>
      <c r="H67" s="215">
        <v>3</v>
      </c>
      <c r="I67" s="215" t="s">
        <v>832</v>
      </c>
      <c r="J67" s="214">
        <v>20000</v>
      </c>
      <c r="K67" s="214">
        <f t="shared" si="10"/>
        <v>16000</v>
      </c>
      <c r="L67" s="214">
        <f t="shared" si="16"/>
        <v>25000</v>
      </c>
      <c r="M67" s="33">
        <v>0.97499999999999998</v>
      </c>
      <c r="N67" s="474">
        <f t="shared" si="11"/>
        <v>1.25</v>
      </c>
      <c r="O67" s="71">
        <v>0</v>
      </c>
      <c r="S67" s="214"/>
      <c r="T67" s="214"/>
    </row>
    <row r="68" spans="1:20" s="215" customFormat="1" x14ac:dyDescent="0.15">
      <c r="A68" s="215" t="str">
        <f t="shared" si="7"/>
        <v>ABB_TRIO-27.6-TL-OUTD-S-US 480</v>
      </c>
      <c r="B68" s="215" t="s">
        <v>761</v>
      </c>
      <c r="C68" s="215" t="s">
        <v>807</v>
      </c>
      <c r="D68" s="29">
        <v>3648.47</v>
      </c>
      <c r="E68" s="459">
        <f t="shared" si="9"/>
        <v>0.10575275362318839</v>
      </c>
      <c r="F68" s="215" t="s">
        <v>92</v>
      </c>
      <c r="G68" s="215" t="s">
        <v>848</v>
      </c>
      <c r="H68" s="215">
        <v>3</v>
      </c>
      <c r="I68" s="215" t="s">
        <v>832</v>
      </c>
      <c r="J68" s="214">
        <v>27600</v>
      </c>
      <c r="K68" s="214">
        <f t="shared" si="10"/>
        <v>22080</v>
      </c>
      <c r="L68" s="214">
        <f t="shared" si="16"/>
        <v>34500</v>
      </c>
      <c r="M68" s="33">
        <v>0.97499999999999998</v>
      </c>
      <c r="N68" s="474">
        <f t="shared" si="11"/>
        <v>1.25</v>
      </c>
      <c r="O68" s="71">
        <v>0</v>
      </c>
      <c r="S68" s="214"/>
      <c r="T68" s="214"/>
    </row>
    <row r="69" spans="1:20" s="215" customFormat="1" x14ac:dyDescent="0.15">
      <c r="A69" s="215" t="str">
        <f t="shared" si="7"/>
        <v>Fronius_Symo 10.0-3 208/240v</v>
      </c>
      <c r="B69" s="215" t="s">
        <v>770</v>
      </c>
      <c r="C69" s="215" t="s">
        <v>249</v>
      </c>
      <c r="D69" s="29">
        <v>2600.37</v>
      </c>
      <c r="E69" s="459">
        <f t="shared" si="9"/>
        <v>0.20802959999999998</v>
      </c>
      <c r="F69" s="215" t="s">
        <v>92</v>
      </c>
      <c r="G69" s="215" t="s">
        <v>253</v>
      </c>
      <c r="H69" s="215">
        <v>3</v>
      </c>
      <c r="I69" s="215" t="s">
        <v>256</v>
      </c>
      <c r="J69" s="214">
        <v>10000</v>
      </c>
      <c r="K69" s="214">
        <f t="shared" si="10"/>
        <v>8000</v>
      </c>
      <c r="L69" s="214">
        <f t="shared" ref="L69:L93" si="17">J69*1.25</f>
        <v>12500</v>
      </c>
      <c r="M69" s="33">
        <v>0.96499999999999997</v>
      </c>
      <c r="N69" s="474">
        <f t="shared" si="11"/>
        <v>1.25</v>
      </c>
      <c r="O69" s="71">
        <v>0</v>
      </c>
      <c r="S69" s="214"/>
      <c r="T69" s="214"/>
    </row>
    <row r="70" spans="1:20" s="215" customFormat="1" x14ac:dyDescent="0.15">
      <c r="A70" s="215" t="str">
        <f t="shared" si="7"/>
        <v>Fronius_Symo 12.0-3 208/240v</v>
      </c>
      <c r="B70" s="215" t="s">
        <v>770</v>
      </c>
      <c r="C70" s="215" t="s">
        <v>250</v>
      </c>
      <c r="D70" s="29">
        <v>2902.72</v>
      </c>
      <c r="E70" s="459">
        <f t="shared" si="9"/>
        <v>0.19351466666666664</v>
      </c>
      <c r="F70" s="215" t="s">
        <v>92</v>
      </c>
      <c r="G70" s="215" t="s">
        <v>253</v>
      </c>
      <c r="H70" s="215">
        <v>3</v>
      </c>
      <c r="I70" s="215" t="s">
        <v>256</v>
      </c>
      <c r="J70" s="214">
        <v>12000</v>
      </c>
      <c r="K70" s="214">
        <f t="shared" si="10"/>
        <v>9600</v>
      </c>
      <c r="L70" s="214">
        <f t="shared" si="17"/>
        <v>15000</v>
      </c>
      <c r="M70" s="33">
        <v>0.96499999999999997</v>
      </c>
      <c r="N70" s="474">
        <f t="shared" si="11"/>
        <v>1.25</v>
      </c>
      <c r="O70" s="71">
        <v>0</v>
      </c>
      <c r="S70" s="214"/>
      <c r="T70" s="214"/>
    </row>
    <row r="71" spans="1:20" s="215" customFormat="1" x14ac:dyDescent="0.15">
      <c r="A71" s="215" t="str">
        <f t="shared" si="7"/>
        <v>Fronius_Symo 15.0-3 208/240v</v>
      </c>
      <c r="B71" s="215" t="s">
        <v>770</v>
      </c>
      <c r="C71" s="215" t="s">
        <v>251</v>
      </c>
      <c r="D71" s="29">
        <v>2680.75</v>
      </c>
      <c r="E71" s="459">
        <f t="shared" si="9"/>
        <v>0.14297333333333334</v>
      </c>
      <c r="F71" s="215" t="s">
        <v>92</v>
      </c>
      <c r="G71" s="215" t="s">
        <v>254</v>
      </c>
      <c r="H71" s="215">
        <v>3</v>
      </c>
      <c r="I71" s="215" t="s">
        <v>256</v>
      </c>
      <c r="J71" s="214">
        <v>15000</v>
      </c>
      <c r="K71" s="214">
        <f t="shared" si="10"/>
        <v>12000</v>
      </c>
      <c r="L71" s="214">
        <f t="shared" si="17"/>
        <v>18750</v>
      </c>
      <c r="M71" s="33">
        <v>0.96499999999999997</v>
      </c>
      <c r="N71" s="474">
        <f t="shared" si="11"/>
        <v>1.25</v>
      </c>
      <c r="O71" s="71">
        <v>0</v>
      </c>
      <c r="S71" s="214"/>
      <c r="T71" s="214"/>
    </row>
    <row r="72" spans="1:20" s="215" customFormat="1" x14ac:dyDescent="0.15">
      <c r="A72" s="215" t="str">
        <f t="shared" si="7"/>
        <v>Fronius_Symo 10.0-3 480v</v>
      </c>
      <c r="B72" s="215" t="s">
        <v>770</v>
      </c>
      <c r="C72" s="215" t="s">
        <v>808</v>
      </c>
      <c r="D72" s="29">
        <v>2509.6999999999998</v>
      </c>
      <c r="E72" s="459">
        <f t="shared" si="9"/>
        <v>0.20077599999999998</v>
      </c>
      <c r="F72" s="215" t="s">
        <v>92</v>
      </c>
      <c r="H72" s="215">
        <v>3</v>
      </c>
      <c r="I72" s="215" t="s">
        <v>832</v>
      </c>
      <c r="J72" s="214">
        <v>10000</v>
      </c>
      <c r="K72" s="214">
        <f t="shared" si="10"/>
        <v>8000</v>
      </c>
      <c r="L72" s="214">
        <f t="shared" si="17"/>
        <v>12500</v>
      </c>
      <c r="M72" s="33">
        <v>0.96499999999999997</v>
      </c>
      <c r="N72" s="474">
        <f t="shared" si="11"/>
        <v>1.25</v>
      </c>
      <c r="O72" s="71">
        <v>0</v>
      </c>
      <c r="S72" s="214"/>
      <c r="T72" s="214"/>
    </row>
    <row r="73" spans="1:20" s="215" customFormat="1" x14ac:dyDescent="0.15">
      <c r="A73" s="215" t="str">
        <f t="shared" si="7"/>
        <v>Fronius_Symo 12.5-3 480v</v>
      </c>
      <c r="B73" s="215" t="s">
        <v>770</v>
      </c>
      <c r="C73" s="215" t="s">
        <v>809</v>
      </c>
      <c r="D73" s="29">
        <v>2727.29</v>
      </c>
      <c r="E73" s="459">
        <f t="shared" si="9"/>
        <v>0.17454655999999999</v>
      </c>
      <c r="F73" s="215" t="s">
        <v>92</v>
      </c>
      <c r="H73" s="215">
        <v>3</v>
      </c>
      <c r="I73" s="215" t="s">
        <v>832</v>
      </c>
      <c r="J73" s="214">
        <v>12500</v>
      </c>
      <c r="K73" s="214">
        <f t="shared" si="10"/>
        <v>10000</v>
      </c>
      <c r="L73" s="214">
        <f t="shared" si="17"/>
        <v>15625</v>
      </c>
      <c r="M73" s="33">
        <v>0.97</v>
      </c>
      <c r="N73" s="474">
        <f t="shared" si="11"/>
        <v>1.25</v>
      </c>
      <c r="O73" s="71">
        <v>0</v>
      </c>
      <c r="S73" s="214"/>
      <c r="T73" s="214"/>
    </row>
    <row r="74" spans="1:20" s="215" customFormat="1" x14ac:dyDescent="0.15">
      <c r="A74" s="215" t="str">
        <f t="shared" si="7"/>
        <v>Fronius_Symo 15.0-3 480v</v>
      </c>
      <c r="B74" s="215" t="s">
        <v>770</v>
      </c>
      <c r="C74" s="215" t="s">
        <v>810</v>
      </c>
      <c r="D74" s="29">
        <v>2888.33</v>
      </c>
      <c r="E74" s="459">
        <f t="shared" si="9"/>
        <v>0.15404426666666665</v>
      </c>
      <c r="F74" s="215" t="s">
        <v>92</v>
      </c>
      <c r="H74" s="215">
        <v>3</v>
      </c>
      <c r="I74" s="215" t="s">
        <v>832</v>
      </c>
      <c r="J74" s="214">
        <v>15000</v>
      </c>
      <c r="K74" s="214">
        <f t="shared" si="10"/>
        <v>12000</v>
      </c>
      <c r="L74" s="214">
        <f t="shared" si="17"/>
        <v>18750</v>
      </c>
      <c r="M74" s="33">
        <v>0.97</v>
      </c>
      <c r="N74" s="474">
        <f t="shared" si="11"/>
        <v>1.25</v>
      </c>
      <c r="O74" s="71">
        <v>0</v>
      </c>
      <c r="S74" s="214"/>
      <c r="T74" s="214"/>
    </row>
    <row r="75" spans="1:20" s="215" customFormat="1" x14ac:dyDescent="0.15">
      <c r="A75" s="215" t="str">
        <f t="shared" si="7"/>
        <v>Fronius_Symo 17.5-3 480v</v>
      </c>
      <c r="B75" s="215" t="s">
        <v>770</v>
      </c>
      <c r="C75" s="215" t="s">
        <v>811</v>
      </c>
      <c r="D75" s="29">
        <v>2931.46</v>
      </c>
      <c r="E75" s="459">
        <f t="shared" si="9"/>
        <v>0.13400960000000001</v>
      </c>
      <c r="F75" s="215" t="s">
        <v>92</v>
      </c>
      <c r="H75" s="215">
        <v>3</v>
      </c>
      <c r="I75" s="215" t="s">
        <v>832</v>
      </c>
      <c r="J75" s="214">
        <v>17500</v>
      </c>
      <c r="K75" s="214">
        <f t="shared" si="10"/>
        <v>14000</v>
      </c>
      <c r="L75" s="214">
        <f t="shared" si="17"/>
        <v>21875</v>
      </c>
      <c r="M75" s="33">
        <v>0.97499999999999998</v>
      </c>
      <c r="N75" s="474">
        <f t="shared" si="11"/>
        <v>1.25</v>
      </c>
      <c r="O75" s="71">
        <v>0</v>
      </c>
      <c r="S75" s="214"/>
      <c r="T75" s="214"/>
    </row>
    <row r="76" spans="1:20" s="215" customFormat="1" x14ac:dyDescent="0.15">
      <c r="A76" s="215" t="str">
        <f t="shared" si="7"/>
        <v>Fronius_Symo 20.0-3 480v</v>
      </c>
      <c r="B76" s="215" t="s">
        <v>770</v>
      </c>
      <c r="C76" s="215" t="s">
        <v>812</v>
      </c>
      <c r="D76" s="29">
        <v>2876.64</v>
      </c>
      <c r="E76" s="459">
        <f t="shared" si="9"/>
        <v>0.11506559999999999</v>
      </c>
      <c r="F76" s="215" t="s">
        <v>92</v>
      </c>
      <c r="H76" s="215">
        <v>3</v>
      </c>
      <c r="I76" s="215" t="s">
        <v>832</v>
      </c>
      <c r="J76" s="214">
        <v>20000</v>
      </c>
      <c r="K76" s="214">
        <f t="shared" si="10"/>
        <v>16000</v>
      </c>
      <c r="L76" s="214">
        <f t="shared" si="17"/>
        <v>25000</v>
      </c>
      <c r="M76" s="33">
        <v>0.97499999999999998</v>
      </c>
      <c r="N76" s="474">
        <f t="shared" si="11"/>
        <v>1.25</v>
      </c>
      <c r="O76" s="71">
        <v>0</v>
      </c>
      <c r="S76" s="214"/>
      <c r="T76" s="214"/>
    </row>
    <row r="77" spans="1:20" s="215" customFormat="1" x14ac:dyDescent="0.15">
      <c r="A77" s="215" t="str">
        <f t="shared" si="7"/>
        <v>Fronius_Symo 22.7-3 480v</v>
      </c>
      <c r="B77" s="215" t="s">
        <v>770</v>
      </c>
      <c r="C77" s="215" t="s">
        <v>813</v>
      </c>
      <c r="D77" s="29">
        <v>2919.11</v>
      </c>
      <c r="E77" s="459">
        <f t="shared" si="9"/>
        <v>0.10287612334801763</v>
      </c>
      <c r="F77" s="215" t="s">
        <v>92</v>
      </c>
      <c r="H77" s="215">
        <v>3</v>
      </c>
      <c r="I77" s="215" t="s">
        <v>832</v>
      </c>
      <c r="J77" s="214">
        <v>22700</v>
      </c>
      <c r="K77" s="214">
        <f t="shared" si="10"/>
        <v>18160</v>
      </c>
      <c r="L77" s="214">
        <f t="shared" si="17"/>
        <v>28375</v>
      </c>
      <c r="M77" s="33">
        <v>0.97499999999999998</v>
      </c>
      <c r="N77" s="474">
        <f t="shared" si="11"/>
        <v>1.25</v>
      </c>
      <c r="O77" s="71">
        <v>0</v>
      </c>
      <c r="S77" s="214"/>
      <c r="T77" s="214"/>
    </row>
    <row r="78" spans="1:20" s="215" customFormat="1" x14ac:dyDescent="0.15">
      <c r="A78" s="215" t="str">
        <f t="shared" si="7"/>
        <v>Fronius_Symo 24.0-3 480v</v>
      </c>
      <c r="B78" s="215" t="s">
        <v>770</v>
      </c>
      <c r="C78" s="215" t="s">
        <v>814</v>
      </c>
      <c r="D78" s="29">
        <v>2990.74</v>
      </c>
      <c r="E78" s="459">
        <f t="shared" si="9"/>
        <v>9.9691333333333326E-2</v>
      </c>
      <c r="F78" s="215" t="s">
        <v>92</v>
      </c>
      <c r="H78" s="215">
        <v>3</v>
      </c>
      <c r="I78" s="215" t="s">
        <v>832</v>
      </c>
      <c r="J78" s="214">
        <v>24000</v>
      </c>
      <c r="K78" s="214">
        <f t="shared" si="10"/>
        <v>19200</v>
      </c>
      <c r="L78" s="214">
        <f t="shared" si="17"/>
        <v>30000</v>
      </c>
      <c r="M78" s="33">
        <v>0.97499999999999998</v>
      </c>
      <c r="N78" s="474">
        <f t="shared" si="11"/>
        <v>1.25</v>
      </c>
      <c r="O78" s="71">
        <v>0</v>
      </c>
      <c r="S78" s="214"/>
      <c r="T78" s="214"/>
    </row>
    <row r="79" spans="1:20" s="215" customFormat="1" x14ac:dyDescent="0.15">
      <c r="A79" s="215" t="str">
        <f t="shared" si="7"/>
        <v>Ingeteam_Sun 15 TL M (S)</v>
      </c>
      <c r="B79" s="215" t="s">
        <v>784</v>
      </c>
      <c r="C79" s="215" t="s">
        <v>815</v>
      </c>
      <c r="D79" s="29">
        <v>2340.5</v>
      </c>
      <c r="E79" s="459">
        <f t="shared" si="9"/>
        <v>0.12482666666666667</v>
      </c>
      <c r="F79" s="215" t="s">
        <v>89</v>
      </c>
      <c r="G79" s="215" t="s">
        <v>849</v>
      </c>
      <c r="H79" s="215">
        <v>3</v>
      </c>
      <c r="I79" s="215" t="s">
        <v>829</v>
      </c>
      <c r="J79" s="214">
        <v>15000</v>
      </c>
      <c r="K79" s="214">
        <f t="shared" si="10"/>
        <v>12000</v>
      </c>
      <c r="L79" s="214">
        <f t="shared" si="17"/>
        <v>18750</v>
      </c>
      <c r="M79" s="33">
        <v>0.98299999999999998</v>
      </c>
      <c r="N79" s="474">
        <f t="shared" si="11"/>
        <v>1.25</v>
      </c>
      <c r="O79" s="71">
        <v>0</v>
      </c>
      <c r="S79" s="214"/>
      <c r="T79" s="214"/>
    </row>
    <row r="80" spans="1:20" s="215" customFormat="1" x14ac:dyDescent="0.15">
      <c r="A80" s="215" t="str">
        <f t="shared" si="7"/>
        <v>Ingeteam_Sun 15 TL M (P+)</v>
      </c>
      <c r="B80" s="215" t="s">
        <v>784</v>
      </c>
      <c r="C80" s="215" t="s">
        <v>816</v>
      </c>
      <c r="D80" s="29">
        <v>2697</v>
      </c>
      <c r="E80" s="459">
        <f t="shared" si="9"/>
        <v>0.14384</v>
      </c>
      <c r="F80" s="215" t="s">
        <v>89</v>
      </c>
      <c r="G80" s="215" t="s">
        <v>850</v>
      </c>
      <c r="H80" s="215">
        <v>3</v>
      </c>
      <c r="I80" s="215" t="s">
        <v>829</v>
      </c>
      <c r="J80" s="214">
        <v>15000</v>
      </c>
      <c r="K80" s="214">
        <f t="shared" si="10"/>
        <v>12000</v>
      </c>
      <c r="L80" s="214">
        <f t="shared" si="17"/>
        <v>18750</v>
      </c>
      <c r="M80" s="33">
        <v>0.98299999999999998</v>
      </c>
      <c r="N80" s="474">
        <f t="shared" si="11"/>
        <v>1.25</v>
      </c>
      <c r="O80" s="71">
        <v>0</v>
      </c>
      <c r="S80" s="214"/>
      <c r="T80" s="214"/>
    </row>
    <row r="81" spans="1:20" s="215" customFormat="1" x14ac:dyDescent="0.15">
      <c r="A81" s="215" t="str">
        <f t="shared" si="7"/>
        <v>Ingeteam_Sun 20 TL M (S)</v>
      </c>
      <c r="B81" s="215" t="s">
        <v>784</v>
      </c>
      <c r="C81" s="215" t="s">
        <v>817</v>
      </c>
      <c r="D81" s="29">
        <v>2697</v>
      </c>
      <c r="E81" s="459">
        <f t="shared" si="9"/>
        <v>0.10788</v>
      </c>
      <c r="F81" s="215" t="s">
        <v>89</v>
      </c>
      <c r="G81" s="215" t="s">
        <v>849</v>
      </c>
      <c r="H81" s="215">
        <v>3</v>
      </c>
      <c r="I81" s="215" t="s">
        <v>829</v>
      </c>
      <c r="J81" s="214">
        <v>20000</v>
      </c>
      <c r="K81" s="214">
        <f t="shared" si="10"/>
        <v>16000</v>
      </c>
      <c r="L81" s="214">
        <f t="shared" si="17"/>
        <v>25000</v>
      </c>
      <c r="M81" s="33">
        <v>0.98299999999999998</v>
      </c>
      <c r="N81" s="474">
        <f t="shared" si="11"/>
        <v>1.25</v>
      </c>
      <c r="O81" s="71">
        <v>0</v>
      </c>
      <c r="S81" s="214"/>
      <c r="T81" s="214"/>
    </row>
    <row r="82" spans="1:20" s="215" customFormat="1" x14ac:dyDescent="0.15">
      <c r="A82" s="215" t="str">
        <f t="shared" si="7"/>
        <v>Ingeteam_Sun 20 TL M (P+)</v>
      </c>
      <c r="B82" s="215" t="s">
        <v>784</v>
      </c>
      <c r="C82" s="215" t="s">
        <v>818</v>
      </c>
      <c r="D82" s="29">
        <v>2991.5</v>
      </c>
      <c r="E82" s="459">
        <f t="shared" si="9"/>
        <v>0.11966</v>
      </c>
      <c r="F82" s="215" t="s">
        <v>89</v>
      </c>
      <c r="G82" s="215" t="s">
        <v>850</v>
      </c>
      <c r="H82" s="215">
        <v>3</v>
      </c>
      <c r="I82" s="215" t="s">
        <v>829</v>
      </c>
      <c r="J82" s="214">
        <v>20000</v>
      </c>
      <c r="K82" s="214">
        <f t="shared" si="10"/>
        <v>16000</v>
      </c>
      <c r="L82" s="214">
        <f t="shared" si="17"/>
        <v>25000</v>
      </c>
      <c r="M82" s="33">
        <v>0.98299999999999998</v>
      </c>
      <c r="N82" s="474">
        <f t="shared" si="11"/>
        <v>1.25</v>
      </c>
      <c r="O82" s="71">
        <v>0</v>
      </c>
      <c r="S82" s="214"/>
      <c r="T82" s="214"/>
    </row>
    <row r="83" spans="1:20" s="215" customFormat="1" x14ac:dyDescent="0.15">
      <c r="A83" s="215" t="str">
        <f t="shared" si="7"/>
        <v>Ingeteam_Sun 24 TL M (P+)</v>
      </c>
      <c r="B83" s="215" t="s">
        <v>784</v>
      </c>
      <c r="C83" s="215" t="s">
        <v>819</v>
      </c>
      <c r="D83" s="29">
        <v>3400.7</v>
      </c>
      <c r="E83" s="459">
        <f t="shared" si="9"/>
        <v>0.11335666666666666</v>
      </c>
      <c r="F83" s="215" t="s">
        <v>89</v>
      </c>
      <c r="G83" s="215" t="s">
        <v>850</v>
      </c>
      <c r="H83" s="215">
        <v>3</v>
      </c>
      <c r="I83" s="215" t="s">
        <v>829</v>
      </c>
      <c r="J83" s="214">
        <v>24000</v>
      </c>
      <c r="K83" s="214">
        <f t="shared" si="10"/>
        <v>19200</v>
      </c>
      <c r="L83" s="214">
        <f t="shared" si="17"/>
        <v>30000</v>
      </c>
      <c r="M83" s="33">
        <v>0.98299999999999998</v>
      </c>
      <c r="N83" s="474">
        <f t="shared" si="11"/>
        <v>1.25</v>
      </c>
      <c r="O83" s="71">
        <v>0</v>
      </c>
      <c r="S83" s="214"/>
      <c r="T83" s="214"/>
    </row>
    <row r="84" spans="1:20" s="215" customFormat="1" x14ac:dyDescent="0.15">
      <c r="A84" s="215" t="str">
        <f t="shared" si="7"/>
        <v>Ingeteam_Sun 33 TL M (P+)</v>
      </c>
      <c r="B84" s="215" t="s">
        <v>784</v>
      </c>
      <c r="C84" s="215" t="s">
        <v>820</v>
      </c>
      <c r="D84" s="29">
        <v>3948.78</v>
      </c>
      <c r="E84" s="459">
        <f t="shared" si="9"/>
        <v>9.5728000000000008E-2</v>
      </c>
      <c r="F84" s="215" t="s">
        <v>89</v>
      </c>
      <c r="G84" s="215" t="s">
        <v>850</v>
      </c>
      <c r="H84" s="215">
        <v>3</v>
      </c>
      <c r="I84" s="215" t="s">
        <v>829</v>
      </c>
      <c r="J84" s="214">
        <v>33000</v>
      </c>
      <c r="K84" s="214">
        <f t="shared" si="10"/>
        <v>26400</v>
      </c>
      <c r="L84" s="214">
        <f t="shared" si="17"/>
        <v>41250</v>
      </c>
      <c r="M84" s="33">
        <v>0.98299999999999998</v>
      </c>
      <c r="N84" s="474">
        <f t="shared" si="11"/>
        <v>1.25</v>
      </c>
      <c r="O84" s="71">
        <v>0</v>
      </c>
      <c r="S84" s="214"/>
      <c r="T84" s="214"/>
    </row>
    <row r="85" spans="1:20" s="215" customFormat="1" x14ac:dyDescent="0.15">
      <c r="A85" s="215" t="str">
        <f t="shared" si="7"/>
        <v>Ingeteam_Sun 40 TL M (P+)</v>
      </c>
      <c r="B85" s="215" t="s">
        <v>784</v>
      </c>
      <c r="C85" s="215" t="s">
        <v>821</v>
      </c>
      <c r="D85" s="29">
        <v>4371</v>
      </c>
      <c r="E85" s="459">
        <f t="shared" si="9"/>
        <v>8.7419999999999998E-2</v>
      </c>
      <c r="F85" s="215" t="s">
        <v>89</v>
      </c>
      <c r="G85" s="215" t="s">
        <v>850</v>
      </c>
      <c r="H85" s="215">
        <v>3</v>
      </c>
      <c r="I85" s="215" t="s">
        <v>829</v>
      </c>
      <c r="J85" s="214">
        <v>40000</v>
      </c>
      <c r="K85" s="214">
        <f t="shared" si="10"/>
        <v>32000</v>
      </c>
      <c r="L85" s="214">
        <f t="shared" si="17"/>
        <v>50000</v>
      </c>
      <c r="M85" s="33">
        <v>0.98299999999999998</v>
      </c>
      <c r="N85" s="474">
        <f t="shared" si="11"/>
        <v>1.25</v>
      </c>
      <c r="O85" s="71">
        <v>0</v>
      </c>
      <c r="S85" s="214"/>
      <c r="T85" s="214"/>
    </row>
    <row r="86" spans="1:20" s="215" customFormat="1" x14ac:dyDescent="0.15">
      <c r="A86" s="215" t="str">
        <f t="shared" si="7"/>
        <v>KACO_Powador 48.0 TL3 M</v>
      </c>
      <c r="B86" s="215" t="s">
        <v>792</v>
      </c>
      <c r="C86" s="215" t="s">
        <v>822</v>
      </c>
      <c r="D86" s="29">
        <v>6603</v>
      </c>
      <c r="E86" s="459">
        <f t="shared" si="9"/>
        <v>0.13206000000000001</v>
      </c>
      <c r="F86" s="215" t="s">
        <v>834</v>
      </c>
      <c r="G86" s="215" t="s">
        <v>851</v>
      </c>
      <c r="H86" s="215">
        <v>3</v>
      </c>
      <c r="I86" s="215" t="s">
        <v>832</v>
      </c>
      <c r="J86" s="214">
        <v>40000</v>
      </c>
      <c r="K86" s="214">
        <f t="shared" si="10"/>
        <v>32000</v>
      </c>
      <c r="L86" s="214">
        <f t="shared" si="17"/>
        <v>50000</v>
      </c>
      <c r="M86" s="33">
        <v>0.97799999999999998</v>
      </c>
      <c r="N86" s="474">
        <f t="shared" si="11"/>
        <v>1.25</v>
      </c>
      <c r="O86" s="71">
        <v>0</v>
      </c>
      <c r="S86" s="214"/>
      <c r="T86" s="214"/>
    </row>
    <row r="87" spans="1:20" s="215" customFormat="1" x14ac:dyDescent="0.15">
      <c r="A87" s="215" t="str">
        <f t="shared" si="7"/>
        <v>KACO_Powador 48.0 TL3 SPD 1+2</v>
      </c>
      <c r="B87" s="215" t="s">
        <v>792</v>
      </c>
      <c r="C87" s="215" t="s">
        <v>823</v>
      </c>
      <c r="D87" s="29">
        <v>6984.3</v>
      </c>
      <c r="E87" s="459">
        <f t="shared" si="9"/>
        <v>0.139686</v>
      </c>
      <c r="F87" s="215" t="s">
        <v>834</v>
      </c>
      <c r="G87" s="215" t="s">
        <v>852</v>
      </c>
      <c r="H87" s="215">
        <v>3</v>
      </c>
      <c r="I87" s="215" t="s">
        <v>832</v>
      </c>
      <c r="J87" s="214">
        <v>40000</v>
      </c>
      <c r="K87" s="214">
        <f t="shared" si="10"/>
        <v>32000</v>
      </c>
      <c r="L87" s="214">
        <f t="shared" si="17"/>
        <v>50000</v>
      </c>
      <c r="M87" s="33">
        <v>0.97799999999999998</v>
      </c>
      <c r="N87" s="474">
        <f t="shared" si="11"/>
        <v>1.25</v>
      </c>
      <c r="O87" s="71">
        <v>0</v>
      </c>
      <c r="S87" s="214"/>
      <c r="T87" s="214"/>
    </row>
    <row r="88" spans="1:20" s="215" customFormat="1" x14ac:dyDescent="0.15">
      <c r="A88" s="215" t="str">
        <f t="shared" ref="A88:A93" si="18">B88&amp;IF(C88="","","_"&amp;C88)</f>
        <v xml:space="preserve">KACO_blueplanet 50.0 TL3 XL </v>
      </c>
      <c r="B88" s="215" t="s">
        <v>792</v>
      </c>
      <c r="C88" s="215" t="s">
        <v>824</v>
      </c>
      <c r="D88" s="29">
        <v>5549</v>
      </c>
      <c r="E88" s="459">
        <f t="shared" si="9"/>
        <v>8.8784000000000002E-2</v>
      </c>
      <c r="F88" s="215" t="s">
        <v>834</v>
      </c>
      <c r="H88" s="215">
        <v>3</v>
      </c>
      <c r="I88" s="215" t="s">
        <v>832</v>
      </c>
      <c r="J88" s="214">
        <v>50000</v>
      </c>
      <c r="K88" s="214">
        <f t="shared" si="10"/>
        <v>40000</v>
      </c>
      <c r="L88" s="214">
        <f t="shared" si="17"/>
        <v>62500</v>
      </c>
      <c r="M88" s="33"/>
      <c r="N88" s="474">
        <f t="shared" si="11"/>
        <v>1.25</v>
      </c>
      <c r="O88" s="71">
        <v>0</v>
      </c>
      <c r="S88" s="214"/>
      <c r="T88" s="214"/>
    </row>
    <row r="89" spans="1:20" s="215" customFormat="1" x14ac:dyDescent="0.15">
      <c r="A89" s="215" t="str">
        <f t="shared" si="18"/>
        <v>SMA_STP 12000TL-US-10</v>
      </c>
      <c r="B89" s="215" t="s">
        <v>797</v>
      </c>
      <c r="C89" s="215" t="s">
        <v>825</v>
      </c>
      <c r="D89" s="29">
        <v>3024</v>
      </c>
      <c r="E89" s="459">
        <f t="shared" ref="E89:E93" si="19">D89/L89</f>
        <v>0.24192</v>
      </c>
      <c r="F89" s="215" t="s">
        <v>89</v>
      </c>
      <c r="G89" s="215" t="s">
        <v>853</v>
      </c>
      <c r="H89" s="215">
        <v>3</v>
      </c>
      <c r="I89" s="215" t="s">
        <v>829</v>
      </c>
      <c r="J89" s="214">
        <v>10000</v>
      </c>
      <c r="K89" s="214">
        <f t="shared" ref="K89:K93" si="20">J89*0.8</f>
        <v>8000</v>
      </c>
      <c r="L89" s="214">
        <f t="shared" si="17"/>
        <v>12500</v>
      </c>
      <c r="M89" s="33">
        <v>0.97499999999999998</v>
      </c>
      <c r="N89" s="474">
        <f t="shared" ref="N89:N93" si="21">L89/J89</f>
        <v>1.25</v>
      </c>
      <c r="O89" s="71">
        <v>0</v>
      </c>
      <c r="S89" s="214"/>
      <c r="T89" s="214"/>
    </row>
    <row r="90" spans="1:20" s="215" customFormat="1" x14ac:dyDescent="0.15">
      <c r="A90" s="215" t="str">
        <f t="shared" si="18"/>
        <v>SMA_STP 15000TL-US-10</v>
      </c>
      <c r="B90" s="215" t="s">
        <v>797</v>
      </c>
      <c r="C90" s="215" t="s">
        <v>826</v>
      </c>
      <c r="D90" s="29">
        <v>3329.55</v>
      </c>
      <c r="E90" s="459">
        <f t="shared" si="19"/>
        <v>0.22197</v>
      </c>
      <c r="F90" s="215" t="s">
        <v>89</v>
      </c>
      <c r="G90" s="215" t="s">
        <v>853</v>
      </c>
      <c r="H90" s="215">
        <v>3</v>
      </c>
      <c r="I90" s="215" t="s">
        <v>829</v>
      </c>
      <c r="J90" s="214">
        <v>12000</v>
      </c>
      <c r="K90" s="214">
        <f t="shared" si="20"/>
        <v>9600</v>
      </c>
      <c r="L90" s="214">
        <f t="shared" si="17"/>
        <v>15000</v>
      </c>
      <c r="M90" s="33">
        <v>0.97499999999999998</v>
      </c>
      <c r="N90" s="474">
        <f t="shared" si="21"/>
        <v>1.25</v>
      </c>
      <c r="O90" s="71">
        <v>0</v>
      </c>
      <c r="S90" s="214"/>
      <c r="T90" s="214"/>
    </row>
    <row r="91" spans="1:20" s="215" customFormat="1" x14ac:dyDescent="0.15">
      <c r="A91" s="215" t="str">
        <f t="shared" si="18"/>
        <v>SMA_STP 20000TL-US-10</v>
      </c>
      <c r="B91" s="215" t="s">
        <v>797</v>
      </c>
      <c r="C91" s="215" t="s">
        <v>827</v>
      </c>
      <c r="D91" s="29">
        <v>3792.6</v>
      </c>
      <c r="E91" s="459">
        <f t="shared" si="19"/>
        <v>0.20227200000000001</v>
      </c>
      <c r="F91" s="215" t="s">
        <v>89</v>
      </c>
      <c r="G91" s="215" t="s">
        <v>853</v>
      </c>
      <c r="H91" s="215">
        <v>3</v>
      </c>
      <c r="I91" s="215" t="s">
        <v>829</v>
      </c>
      <c r="J91" s="214">
        <v>15000</v>
      </c>
      <c r="K91" s="214">
        <f t="shared" si="20"/>
        <v>12000</v>
      </c>
      <c r="L91" s="214">
        <f t="shared" si="17"/>
        <v>18750</v>
      </c>
      <c r="M91" s="33">
        <v>0.97499999999999998</v>
      </c>
      <c r="N91" s="474">
        <f t="shared" si="21"/>
        <v>1.25</v>
      </c>
      <c r="O91" s="71">
        <v>0</v>
      </c>
      <c r="S91" s="214"/>
      <c r="T91" s="214"/>
    </row>
    <row r="92" spans="1:20" s="215" customFormat="1" x14ac:dyDescent="0.15">
      <c r="A92" s="215" t="str">
        <f t="shared" si="18"/>
        <v>SMA_STP 30000TL-US-10</v>
      </c>
      <c r="B92" s="215" t="s">
        <v>797</v>
      </c>
      <c r="C92" s="215" t="s">
        <v>828</v>
      </c>
      <c r="D92" s="29">
        <v>4126.5</v>
      </c>
      <c r="E92" s="459">
        <f t="shared" si="19"/>
        <v>0.16506000000000001</v>
      </c>
      <c r="F92" s="215" t="s">
        <v>89</v>
      </c>
      <c r="G92" s="215" t="s">
        <v>853</v>
      </c>
      <c r="H92" s="215">
        <v>3</v>
      </c>
      <c r="I92" s="215" t="s">
        <v>829</v>
      </c>
      <c r="J92" s="214">
        <v>20000</v>
      </c>
      <c r="K92" s="214">
        <f t="shared" si="20"/>
        <v>16000</v>
      </c>
      <c r="L92" s="214">
        <f t="shared" si="17"/>
        <v>25000</v>
      </c>
      <c r="M92" s="33">
        <v>0.98</v>
      </c>
      <c r="N92" s="474">
        <f t="shared" si="21"/>
        <v>1.25</v>
      </c>
      <c r="O92" s="71">
        <v>0</v>
      </c>
      <c r="S92" s="214"/>
      <c r="T92" s="214"/>
    </row>
    <row r="93" spans="1:20" s="215" customFormat="1" x14ac:dyDescent="0.15">
      <c r="A93" s="215" t="str">
        <f t="shared" si="18"/>
        <v>SMA_STP 50000TL-US-10</v>
      </c>
      <c r="B93" s="215" t="s">
        <v>797</v>
      </c>
      <c r="C93" s="215" t="s">
        <v>833</v>
      </c>
      <c r="D93" s="29">
        <v>6060.6</v>
      </c>
      <c r="E93" s="459">
        <f t="shared" si="19"/>
        <v>0.16161600000000001</v>
      </c>
      <c r="F93" s="215" t="s">
        <v>89</v>
      </c>
      <c r="G93" s="215" t="s">
        <v>853</v>
      </c>
      <c r="H93" s="215">
        <v>3</v>
      </c>
      <c r="I93" s="215" t="s">
        <v>829</v>
      </c>
      <c r="J93" s="214">
        <v>30000</v>
      </c>
      <c r="K93" s="214">
        <f t="shared" si="20"/>
        <v>24000</v>
      </c>
      <c r="L93" s="214">
        <f t="shared" si="17"/>
        <v>37500</v>
      </c>
      <c r="M93" s="33">
        <v>0.98</v>
      </c>
      <c r="N93" s="474">
        <f t="shared" si="21"/>
        <v>1.25</v>
      </c>
      <c r="O93" s="71">
        <v>0</v>
      </c>
      <c r="S93" s="214"/>
      <c r="T93" s="214"/>
    </row>
    <row r="94" spans="1:20" x14ac:dyDescent="0.15">
      <c r="D94" s="29"/>
      <c r="E94" s="29"/>
    </row>
    <row r="95" spans="1:20" x14ac:dyDescent="0.15">
      <c r="A95" s="28" t="s">
        <v>123</v>
      </c>
      <c r="B95" s="28" t="s">
        <v>142</v>
      </c>
      <c r="C95" s="28" t="s">
        <v>87</v>
      </c>
      <c r="D95" s="27" t="s">
        <v>77</v>
      </c>
      <c r="E95" s="27" t="s">
        <v>83</v>
      </c>
      <c r="F95" s="28" t="s">
        <v>84</v>
      </c>
      <c r="G95" s="28" t="s">
        <v>85</v>
      </c>
      <c r="H95" s="216"/>
      <c r="I95" s="216"/>
      <c r="J95" s="28"/>
      <c r="K95" s="28"/>
      <c r="L95" s="31" t="s">
        <v>82</v>
      </c>
    </row>
    <row r="96" spans="1:20" x14ac:dyDescent="0.15">
      <c r="A96" s="26" t="str">
        <f>B96&amp;IF(C96="","","_"&amp;C96)</f>
        <v>Enphase_ENV-120 M</v>
      </c>
      <c r="B96" s="26" t="s">
        <v>111</v>
      </c>
      <c r="C96" s="26" t="s">
        <v>121</v>
      </c>
      <c r="D96" s="29">
        <v>201.3</v>
      </c>
      <c r="F96" s="26" t="s">
        <v>92</v>
      </c>
      <c r="G96" s="26" t="s">
        <v>125</v>
      </c>
      <c r="L96" s="29"/>
      <c r="R96" s="215" t="str">
        <f>"Components!A"&amp;ROW(A96)&amp;":A"&amp;ROW(A96)</f>
        <v>Components!A96:A96</v>
      </c>
    </row>
    <row r="97" spans="1:18" s="215" customFormat="1" x14ac:dyDescent="0.15">
      <c r="A97" s="215" t="str">
        <f>B97&amp;IF(C97="","","_"&amp;C97)</f>
        <v>APS_ECU-MX-YC500</v>
      </c>
      <c r="B97" s="215" t="s">
        <v>758</v>
      </c>
      <c r="C97" s="215" t="s">
        <v>854</v>
      </c>
      <c r="D97" s="29">
        <v>239.4</v>
      </c>
      <c r="F97" s="215" t="s">
        <v>89</v>
      </c>
      <c r="L97" s="29"/>
      <c r="R97" s="215" t="str">
        <f>"Components!A"&amp;ROW(A97)&amp;":A"&amp;ROW(A97)</f>
        <v>Components!A97:A97</v>
      </c>
    </row>
    <row r="98" spans="1:18" x14ac:dyDescent="0.15">
      <c r="A98" s="26" t="str">
        <f t="shared" ref="A98:A107" si="22">B98&amp;IF(C98="","","_"&amp;C98)</f>
        <v>TIGO_CCA-PS-INT</v>
      </c>
      <c r="B98" s="26" t="s">
        <v>112</v>
      </c>
      <c r="C98" s="26" t="s">
        <v>113</v>
      </c>
      <c r="D98" s="29">
        <v>211.2</v>
      </c>
      <c r="E98" s="29"/>
      <c r="F98" s="26" t="s">
        <v>89</v>
      </c>
      <c r="G98" s="26" t="s">
        <v>114</v>
      </c>
      <c r="R98" s="215" t="str">
        <f>"Components!A"&amp;ROW(A98)&amp;":A"&amp;ROW(A98)+COUNTA($A$98:$A$101)-1</f>
        <v>Components!A98:A100</v>
      </c>
    </row>
    <row r="99" spans="1:18" x14ac:dyDescent="0.15">
      <c r="A99" s="26" t="str">
        <f t="shared" si="22"/>
        <v>TIGO_CCAK-IGDIN</v>
      </c>
      <c r="B99" s="26" t="s">
        <v>112</v>
      </c>
      <c r="C99" s="26" t="s">
        <v>115</v>
      </c>
      <c r="D99" s="29">
        <v>224.8</v>
      </c>
      <c r="E99" s="29"/>
      <c r="F99" s="26" t="s">
        <v>89</v>
      </c>
      <c r="G99" s="26" t="s">
        <v>116</v>
      </c>
    </row>
    <row r="100" spans="1:18" x14ac:dyDescent="0.15">
      <c r="A100" s="26" t="str">
        <f t="shared" si="22"/>
        <v>TIGO_CCA-DINOUT</v>
      </c>
      <c r="B100" s="26" t="s">
        <v>112</v>
      </c>
      <c r="C100" s="26" t="s">
        <v>117</v>
      </c>
      <c r="D100" s="29">
        <v>252.8</v>
      </c>
      <c r="E100" s="29"/>
      <c r="F100" s="26" t="s">
        <v>89</v>
      </c>
      <c r="G100" s="26" t="s">
        <v>118</v>
      </c>
    </row>
    <row r="101" spans="1:18" x14ac:dyDescent="0.15">
      <c r="D101" s="29"/>
      <c r="E101" s="29"/>
    </row>
    <row r="102" spans="1:18" x14ac:dyDescent="0.15">
      <c r="A102" s="28" t="s">
        <v>6</v>
      </c>
      <c r="B102" s="28" t="s">
        <v>142</v>
      </c>
      <c r="C102" s="28" t="s">
        <v>87</v>
      </c>
      <c r="D102" s="27" t="s">
        <v>77</v>
      </c>
      <c r="E102" s="27" t="s">
        <v>83</v>
      </c>
      <c r="F102" s="28" t="s">
        <v>84</v>
      </c>
      <c r="G102" s="28" t="s">
        <v>85</v>
      </c>
      <c r="H102" s="216"/>
      <c r="I102" s="216"/>
      <c r="J102" s="28"/>
      <c r="K102" s="28"/>
      <c r="L102" s="31" t="s">
        <v>82</v>
      </c>
    </row>
    <row r="103" spans="1:18" s="70" customFormat="1" x14ac:dyDescent="0.15">
      <c r="A103" s="70" t="s">
        <v>186</v>
      </c>
      <c r="D103" s="29">
        <v>400</v>
      </c>
      <c r="F103" s="70" t="s">
        <v>187</v>
      </c>
      <c r="G103" s="70" t="s">
        <v>188</v>
      </c>
      <c r="H103" s="215"/>
      <c r="I103" s="215"/>
      <c r="L103" s="29"/>
      <c r="P103" s="215"/>
      <c r="Q103" s="215"/>
    </row>
    <row r="104" spans="1:18" x14ac:dyDescent="0.15">
      <c r="D104" s="29"/>
      <c r="E104" s="29"/>
    </row>
    <row r="105" spans="1:18" x14ac:dyDescent="0.15">
      <c r="A105" s="28" t="s">
        <v>149</v>
      </c>
      <c r="B105" s="28" t="s">
        <v>142</v>
      </c>
      <c r="C105" s="28" t="s">
        <v>87</v>
      </c>
      <c r="D105" s="27" t="s">
        <v>77</v>
      </c>
      <c r="E105" s="27" t="s">
        <v>83</v>
      </c>
      <c r="F105" s="28" t="s">
        <v>84</v>
      </c>
      <c r="G105" s="28" t="s">
        <v>85</v>
      </c>
      <c r="H105" s="216"/>
      <c r="I105" s="216"/>
      <c r="J105" s="28"/>
      <c r="K105" s="28"/>
      <c r="L105" s="31" t="s">
        <v>82</v>
      </c>
    </row>
    <row r="106" spans="1:18" x14ac:dyDescent="0.15">
      <c r="A106" s="26" t="str">
        <f>B106&amp;IF(C106="","","_"&amp;C106)</f>
        <v>TIGO_GTWY-WCOMM</v>
      </c>
      <c r="B106" s="26" t="s">
        <v>112</v>
      </c>
      <c r="C106" s="26" t="s">
        <v>119</v>
      </c>
      <c r="D106" s="29">
        <v>64</v>
      </c>
      <c r="E106" s="29"/>
      <c r="F106" s="26" t="s">
        <v>89</v>
      </c>
      <c r="G106" s="26" t="s">
        <v>120</v>
      </c>
    </row>
    <row r="107" spans="1:18" x14ac:dyDescent="0.15">
      <c r="A107" s="26" t="str">
        <f t="shared" si="22"/>
        <v>Enphase_WF-01</v>
      </c>
      <c r="B107" s="70" t="s">
        <v>111</v>
      </c>
      <c r="C107" s="70" t="s">
        <v>122</v>
      </c>
      <c r="D107" s="29">
        <v>29.44</v>
      </c>
      <c r="F107" s="26" t="s">
        <v>89</v>
      </c>
      <c r="G107" s="26" t="s">
        <v>150</v>
      </c>
      <c r="L107" s="29"/>
    </row>
  </sheetData>
  <pageMargins left="0.7" right="0.7" top="0.75" bottom="0.75" header="0.3" footer="0.3"/>
  <pageSetup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7"/>
  <sheetViews>
    <sheetView zoomScaleNormal="100" zoomScalePageLayoutView="130" workbookViewId="0">
      <pane xSplit="1" ySplit="3" topLeftCell="B4" activePane="bottomRight" state="frozen"/>
      <selection sqref="A1:O10"/>
      <selection pane="topRight" sqref="A1:O10"/>
      <selection pane="bottomLeft" sqref="A1:O10"/>
      <selection pane="bottomRight" activeCell="B4" sqref="B4"/>
    </sheetView>
  </sheetViews>
  <sheetFormatPr defaultColWidth="11.42578125" defaultRowHeight="10.5" x14ac:dyDescent="0.15"/>
  <cols>
    <col min="1" max="1" width="27.140625" style="106" bestFit="1" customWidth="1"/>
    <col min="2" max="2" width="9" style="74" bestFit="1" customWidth="1"/>
    <col min="3" max="9" width="7.85546875" style="74" bestFit="1" customWidth="1"/>
    <col min="10" max="16384" width="11.42578125" style="74"/>
  </cols>
  <sheetData>
    <row r="1" spans="1:9" x14ac:dyDescent="0.15">
      <c r="A1" s="113" t="s">
        <v>42</v>
      </c>
      <c r="B1" s="40"/>
      <c r="C1" s="40"/>
      <c r="D1" s="40"/>
      <c r="E1" s="40"/>
      <c r="F1" s="40"/>
      <c r="G1" s="40"/>
      <c r="H1" s="40"/>
    </row>
    <row r="2" spans="1:9" x14ac:dyDescent="0.15">
      <c r="A2" s="105" t="s">
        <v>214</v>
      </c>
      <c r="B2" s="106"/>
      <c r="C2" s="106"/>
      <c r="D2" s="106"/>
      <c r="E2" s="106"/>
      <c r="F2" s="106"/>
      <c r="G2" s="106"/>
      <c r="H2" s="106"/>
    </row>
    <row r="3" spans="1:9" x14ac:dyDescent="0.15">
      <c r="A3" s="114" t="s">
        <v>49</v>
      </c>
      <c r="B3" s="108">
        <v>201612</v>
      </c>
      <c r="C3" s="108">
        <v>201701</v>
      </c>
      <c r="D3" s="108">
        <v>201702</v>
      </c>
      <c r="E3" s="108">
        <v>201703</v>
      </c>
      <c r="F3" s="108">
        <v>201704</v>
      </c>
      <c r="G3" s="108">
        <v>201705</v>
      </c>
      <c r="H3" s="108">
        <v>201706</v>
      </c>
      <c r="I3" s="108">
        <v>201707</v>
      </c>
    </row>
    <row r="4" spans="1:9" x14ac:dyDescent="0.15">
      <c r="A4" s="242" t="s">
        <v>57</v>
      </c>
      <c r="B4" s="242"/>
      <c r="C4" s="242"/>
    </row>
    <row r="5" spans="1:9" x14ac:dyDescent="0.15">
      <c r="A5" s="106" t="s">
        <v>58</v>
      </c>
      <c r="B5" s="112">
        <v>94.17</v>
      </c>
      <c r="C5" s="112">
        <v>95.67</v>
      </c>
      <c r="D5" s="74">
        <v>97.01</v>
      </c>
      <c r="E5" s="74">
        <v>99.95</v>
      </c>
      <c r="F5" s="215">
        <v>100.55</v>
      </c>
      <c r="G5" s="74">
        <v>99.84</v>
      </c>
      <c r="H5" s="74">
        <v>98.71</v>
      </c>
      <c r="I5" s="74">
        <v>98.86</v>
      </c>
    </row>
    <row r="6" spans="1:9" x14ac:dyDescent="0.15">
      <c r="A6" s="106" t="s">
        <v>59</v>
      </c>
      <c r="B6" s="112">
        <v>3.9350000000000001</v>
      </c>
      <c r="C6" s="112">
        <v>4.0380000000000003</v>
      </c>
      <c r="D6" s="74">
        <v>4.1929999999999996</v>
      </c>
      <c r="E6" s="112">
        <v>4.5280000000000005</v>
      </c>
      <c r="F6" s="115">
        <v>4.4619999999999997</v>
      </c>
      <c r="G6" s="74">
        <v>4.2460000000000004</v>
      </c>
      <c r="H6" s="74">
        <v>4.2320000000000002</v>
      </c>
      <c r="I6" s="74">
        <v>4.2249999999999996</v>
      </c>
    </row>
    <row r="7" spans="1:9" x14ac:dyDescent="0.15">
      <c r="A7" s="242" t="s">
        <v>60</v>
      </c>
      <c r="B7" s="242"/>
      <c r="C7" s="242"/>
      <c r="F7" s="215"/>
    </row>
    <row r="8" spans="1:9" x14ac:dyDescent="0.15">
      <c r="A8" s="106" t="s">
        <v>58</v>
      </c>
      <c r="B8" s="112">
        <v>94.17</v>
      </c>
      <c r="C8" s="112">
        <v>95.67</v>
      </c>
      <c r="D8" s="62">
        <f>D5</f>
        <v>97.01</v>
      </c>
      <c r="E8" s="74">
        <v>99.95</v>
      </c>
      <c r="F8" s="215">
        <v>100.55</v>
      </c>
      <c r="G8" s="74">
        <v>99.84</v>
      </c>
      <c r="H8" s="74">
        <v>98.71</v>
      </c>
      <c r="I8" s="74">
        <v>98.86</v>
      </c>
    </row>
    <row r="9" spans="1:9" x14ac:dyDescent="0.15">
      <c r="A9" s="106" t="s">
        <v>59</v>
      </c>
      <c r="B9" s="112">
        <v>3.379</v>
      </c>
      <c r="C9" s="112">
        <v>3.468</v>
      </c>
      <c r="D9" s="74">
        <v>3.601</v>
      </c>
      <c r="E9" s="112">
        <v>3.8890000000000002</v>
      </c>
      <c r="F9" s="115">
        <v>3.8330000000000002</v>
      </c>
      <c r="G9" s="74">
        <v>3.6469999999999998</v>
      </c>
      <c r="H9" s="74">
        <v>3.6349999999999998</v>
      </c>
      <c r="I9" s="74">
        <v>3.629</v>
      </c>
    </row>
    <row r="10" spans="1:9" x14ac:dyDescent="0.15">
      <c r="A10" s="242" t="s">
        <v>61</v>
      </c>
      <c r="B10" s="242"/>
      <c r="C10" s="242"/>
      <c r="F10" s="215"/>
    </row>
    <row r="11" spans="1:9" x14ac:dyDescent="0.15">
      <c r="A11" s="106" t="s">
        <v>58</v>
      </c>
      <c r="B11" s="112">
        <v>94.17</v>
      </c>
      <c r="C11" s="112">
        <v>95.67</v>
      </c>
      <c r="D11" s="62">
        <f>D$5</f>
        <v>97.01</v>
      </c>
      <c r="E11" s="74">
        <v>99.95</v>
      </c>
      <c r="F11" s="215">
        <v>100.55</v>
      </c>
      <c r="G11" s="74">
        <v>99.84</v>
      </c>
      <c r="H11" s="74">
        <v>98.71</v>
      </c>
      <c r="I11" s="74">
        <v>98.86</v>
      </c>
    </row>
    <row r="12" spans="1:9" x14ac:dyDescent="0.15">
      <c r="A12" s="106" t="s">
        <v>59</v>
      </c>
      <c r="B12" s="112">
        <v>4.2889999999999997</v>
      </c>
      <c r="C12" s="112">
        <v>4.4009999999999998</v>
      </c>
      <c r="D12" s="74">
        <v>4.57</v>
      </c>
      <c r="E12" s="112">
        <v>4.9350000000000005</v>
      </c>
      <c r="F12" s="115">
        <v>4.8629999999999995</v>
      </c>
      <c r="G12" s="74">
        <v>4.6280000000000001</v>
      </c>
      <c r="H12" s="74">
        <v>4.6120000000000001</v>
      </c>
      <c r="I12" s="74">
        <v>4.6050000000000004</v>
      </c>
    </row>
    <row r="13" spans="1:9" x14ac:dyDescent="0.15">
      <c r="A13" s="242" t="s">
        <v>62</v>
      </c>
      <c r="B13" s="242"/>
      <c r="C13" s="242"/>
      <c r="F13" s="215"/>
    </row>
    <row r="14" spans="1:9" x14ac:dyDescent="0.15">
      <c r="A14" s="106" t="s">
        <v>58</v>
      </c>
      <c r="B14" s="112">
        <v>94.17</v>
      </c>
      <c r="C14" s="112">
        <v>95.67</v>
      </c>
      <c r="D14" s="62">
        <f>D$5</f>
        <v>97.01</v>
      </c>
      <c r="E14" s="74">
        <v>99.95</v>
      </c>
      <c r="F14" s="215">
        <v>100.55</v>
      </c>
      <c r="G14" s="74">
        <v>99.84</v>
      </c>
      <c r="H14" s="74">
        <v>98.71</v>
      </c>
      <c r="I14" s="74">
        <v>98.86</v>
      </c>
    </row>
    <row r="15" spans="1:9" x14ac:dyDescent="0.15">
      <c r="A15" s="106" t="s">
        <v>59</v>
      </c>
      <c r="B15" s="112">
        <v>3.379</v>
      </c>
      <c r="C15" s="112">
        <v>3.468</v>
      </c>
      <c r="D15" s="74">
        <v>3.601</v>
      </c>
      <c r="E15" s="112">
        <v>3.8890000000000002</v>
      </c>
      <c r="F15" s="115">
        <v>3.8330000000000002</v>
      </c>
      <c r="G15" s="74">
        <v>3.6469999999999998</v>
      </c>
      <c r="H15" s="74">
        <v>3.6349999999999998</v>
      </c>
      <c r="I15" s="74">
        <v>3.629</v>
      </c>
    </row>
    <row r="16" spans="1:9" x14ac:dyDescent="0.15">
      <c r="A16" s="104" t="s">
        <v>63</v>
      </c>
      <c r="F16" s="215"/>
    </row>
    <row r="17" spans="1:9" x14ac:dyDescent="0.15">
      <c r="A17" s="106" t="s">
        <v>58</v>
      </c>
      <c r="B17" s="112">
        <v>94.17</v>
      </c>
      <c r="C17" s="112">
        <v>95.67</v>
      </c>
      <c r="D17" s="62">
        <f>D$5</f>
        <v>97.01</v>
      </c>
      <c r="E17" s="74">
        <v>99.95</v>
      </c>
      <c r="F17" s="215">
        <v>100.55</v>
      </c>
      <c r="G17" s="74">
        <v>99.84</v>
      </c>
      <c r="H17" s="74">
        <v>98.71</v>
      </c>
      <c r="I17" s="74">
        <v>98.86</v>
      </c>
    </row>
    <row r="18" spans="1:9" x14ac:dyDescent="0.15">
      <c r="A18" s="106" t="s">
        <v>59</v>
      </c>
      <c r="B18" s="112">
        <v>4.05</v>
      </c>
      <c r="C18" s="112">
        <v>4.1559999999999997</v>
      </c>
      <c r="D18" s="74">
        <v>4.3049999999999997</v>
      </c>
      <c r="E18" s="112">
        <v>4.66</v>
      </c>
      <c r="F18" s="115">
        <v>4.5919999999999996</v>
      </c>
      <c r="G18" s="74">
        <v>4.37</v>
      </c>
      <c r="H18" s="74">
        <v>4.3550000000000004</v>
      </c>
      <c r="I18" s="74">
        <v>4.3479999999999999</v>
      </c>
    </row>
    <row r="19" spans="1:9" x14ac:dyDescent="0.15">
      <c r="A19" s="104" t="s">
        <v>64</v>
      </c>
      <c r="F19" s="215"/>
    </row>
    <row r="20" spans="1:9" x14ac:dyDescent="0.15">
      <c r="A20" s="106" t="s">
        <v>58</v>
      </c>
      <c r="B20" s="112">
        <v>94.17</v>
      </c>
      <c r="C20" s="112">
        <v>95.67</v>
      </c>
      <c r="D20" s="62">
        <f>D$5</f>
        <v>97.01</v>
      </c>
      <c r="E20" s="74">
        <v>99.95</v>
      </c>
      <c r="F20" s="215">
        <v>100.55</v>
      </c>
      <c r="G20" s="74">
        <v>99.84</v>
      </c>
      <c r="H20" s="74">
        <v>98.71</v>
      </c>
      <c r="I20" s="74">
        <v>98.86</v>
      </c>
    </row>
    <row r="21" spans="1:9" x14ac:dyDescent="0.15">
      <c r="A21" s="106" t="s">
        <v>65</v>
      </c>
      <c r="B21" s="112">
        <v>3.7919999999999998</v>
      </c>
      <c r="C21" s="112">
        <v>3.891</v>
      </c>
      <c r="D21" s="74">
        <v>4.04</v>
      </c>
      <c r="E21" s="112">
        <v>4.3629999999999995</v>
      </c>
      <c r="F21" s="115">
        <v>4.3</v>
      </c>
      <c r="G21" s="74">
        <v>4.0919999999999996</v>
      </c>
      <c r="H21" s="74">
        <v>4.0780000000000003</v>
      </c>
      <c r="I21" s="74">
        <v>4.0709999999999997</v>
      </c>
    </row>
    <row r="22" spans="1:9" x14ac:dyDescent="0.15">
      <c r="A22" s="104" t="s">
        <v>66</v>
      </c>
      <c r="B22" s="112"/>
      <c r="F22" s="215"/>
    </row>
    <row r="23" spans="1:9" x14ac:dyDescent="0.15">
      <c r="A23" s="106" t="s">
        <v>58</v>
      </c>
      <c r="B23" s="112">
        <v>94.17</v>
      </c>
      <c r="C23" s="112">
        <v>95.67</v>
      </c>
      <c r="D23" s="62">
        <f>D$5</f>
        <v>97.01</v>
      </c>
      <c r="E23" s="74">
        <v>99.95</v>
      </c>
      <c r="F23" s="215">
        <v>99.95</v>
      </c>
      <c r="G23" s="74">
        <v>99.84</v>
      </c>
      <c r="H23" s="74">
        <v>98.71</v>
      </c>
      <c r="I23" s="74">
        <v>98.86</v>
      </c>
    </row>
    <row r="24" spans="1:9" x14ac:dyDescent="0.15">
      <c r="A24" s="106" t="s">
        <v>59</v>
      </c>
      <c r="B24" s="112">
        <v>3.6989999999999998</v>
      </c>
      <c r="C24" s="112">
        <v>3.7960000000000003</v>
      </c>
      <c r="D24" s="74">
        <v>3.9409999999999998</v>
      </c>
      <c r="E24" s="112">
        <v>4.2560000000000002</v>
      </c>
      <c r="F24" s="115">
        <v>4.194</v>
      </c>
      <c r="G24" s="74">
        <v>3.9910000000000001</v>
      </c>
      <c r="H24" s="74">
        <v>3.9769999999999999</v>
      </c>
      <c r="I24" s="74">
        <v>3.9710000000000001</v>
      </c>
    </row>
    <row r="25" spans="1:9" x14ac:dyDescent="0.15">
      <c r="A25" s="104" t="s">
        <v>67</v>
      </c>
      <c r="C25" s="112"/>
      <c r="F25" s="215"/>
    </row>
    <row r="26" spans="1:9" x14ac:dyDescent="0.15">
      <c r="A26" s="106" t="s">
        <v>58</v>
      </c>
      <c r="B26" s="112">
        <v>94.17</v>
      </c>
      <c r="C26" s="112">
        <v>95.67</v>
      </c>
      <c r="D26" s="62">
        <f>D$5</f>
        <v>97.01</v>
      </c>
      <c r="E26" s="74">
        <v>99.95</v>
      </c>
      <c r="F26" s="215">
        <v>100.55</v>
      </c>
      <c r="G26" s="74">
        <v>99.84</v>
      </c>
      <c r="H26" s="74">
        <v>98.71</v>
      </c>
      <c r="I26" s="74">
        <v>98.86</v>
      </c>
    </row>
    <row r="27" spans="1:9" x14ac:dyDescent="0.15">
      <c r="A27" s="106" t="s">
        <v>59</v>
      </c>
      <c r="B27" s="112">
        <v>3.7549999999999999</v>
      </c>
      <c r="C27" s="112">
        <v>3.8529999999999998</v>
      </c>
      <c r="D27" s="74">
        <v>4.0010000000000003</v>
      </c>
      <c r="E27" s="112">
        <v>4.3209999999999997</v>
      </c>
      <c r="F27" s="115">
        <v>4.258</v>
      </c>
      <c r="G27" s="74">
        <v>4.0519999999999996</v>
      </c>
      <c r="H27" s="74">
        <v>4.0380000000000003</v>
      </c>
      <c r="I27" s="74">
        <v>4.032</v>
      </c>
    </row>
  </sheetData>
  <sheetProtection selectLockedCells="1" selectUnlockedCells="1"/>
  <hyperlinks>
    <hyperlink ref="A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9"/>
  <sheetViews>
    <sheetView zoomScaleNormal="100" zoomScalePageLayoutView="130" workbookViewId="0">
      <pane xSplit="2" ySplit="3" topLeftCell="C4" activePane="bottomRight" state="frozen"/>
      <selection activeCell="A35" sqref="A35"/>
      <selection pane="topRight" activeCell="A35" sqref="A35"/>
      <selection pane="bottomLeft" activeCell="A35" sqref="A35"/>
      <selection pane="bottomRight" activeCell="C5" sqref="C5"/>
    </sheetView>
  </sheetViews>
  <sheetFormatPr defaultColWidth="11.42578125" defaultRowHeight="10.5" x14ac:dyDescent="0.15"/>
  <cols>
    <col min="1" max="1" width="3" style="74" bestFit="1" customWidth="1"/>
    <col min="2" max="2" width="27" style="106" bestFit="1" customWidth="1"/>
    <col min="3" max="10" width="7.85546875" style="74" bestFit="1" customWidth="1"/>
    <col min="11" max="16384" width="11.42578125" style="74"/>
  </cols>
  <sheetData>
    <row r="1" spans="1:10" x14ac:dyDescent="0.15">
      <c r="B1" s="104" t="s">
        <v>68</v>
      </c>
      <c r="C1" s="40"/>
      <c r="D1" s="40"/>
      <c r="E1" s="40"/>
      <c r="F1" s="40"/>
      <c r="G1" s="40"/>
      <c r="H1" s="40"/>
      <c r="I1" s="40"/>
    </row>
    <row r="2" spans="1:10" x14ac:dyDescent="0.15">
      <c r="B2" s="105" t="s">
        <v>213</v>
      </c>
      <c r="C2" s="106"/>
      <c r="D2" s="106"/>
      <c r="E2" s="106"/>
      <c r="F2" s="106"/>
      <c r="G2" s="106"/>
      <c r="H2" s="106"/>
      <c r="I2" s="106"/>
    </row>
    <row r="3" spans="1:10" x14ac:dyDescent="0.15">
      <c r="B3" s="107" t="s">
        <v>69</v>
      </c>
      <c r="C3" s="108">
        <v>201612</v>
      </c>
      <c r="D3" s="108">
        <v>201701</v>
      </c>
      <c r="E3" s="108">
        <v>201702</v>
      </c>
      <c r="F3" s="108">
        <v>201703</v>
      </c>
      <c r="G3" s="108">
        <v>201704</v>
      </c>
      <c r="H3" s="108">
        <v>201705</v>
      </c>
      <c r="I3" s="108">
        <v>201706</v>
      </c>
      <c r="J3" s="108">
        <v>201707</v>
      </c>
    </row>
    <row r="4" spans="1:10" s="50" customFormat="1" x14ac:dyDescent="0.15">
      <c r="B4" s="109" t="s">
        <v>70</v>
      </c>
      <c r="C4" s="108" t="s">
        <v>50</v>
      </c>
      <c r="D4" s="110" t="s">
        <v>51</v>
      </c>
      <c r="E4" s="110" t="s">
        <v>52</v>
      </c>
      <c r="F4" s="110" t="s">
        <v>53</v>
      </c>
      <c r="G4" s="108" t="s">
        <v>54</v>
      </c>
      <c r="H4" s="108" t="s">
        <v>55</v>
      </c>
      <c r="I4" s="108" t="s">
        <v>56</v>
      </c>
      <c r="J4" s="108" t="s">
        <v>640</v>
      </c>
    </row>
    <row r="5" spans="1:10" x14ac:dyDescent="0.15">
      <c r="A5" s="74">
        <v>50</v>
      </c>
      <c r="B5" s="111" t="s">
        <v>71</v>
      </c>
      <c r="C5" s="112">
        <v>2.419</v>
      </c>
      <c r="D5" s="112">
        <v>2.4820000000000002</v>
      </c>
      <c r="E5" s="74">
        <v>2.577</v>
      </c>
      <c r="F5" s="112">
        <v>2.7829999999999999</v>
      </c>
      <c r="G5" s="112">
        <v>2.7429999999999999</v>
      </c>
      <c r="H5" s="112">
        <v>2.61</v>
      </c>
      <c r="I5" s="112">
        <v>2.601</v>
      </c>
      <c r="J5" s="112">
        <v>2.597</v>
      </c>
    </row>
    <row r="6" spans="1:10" x14ac:dyDescent="0.15">
      <c r="A6" s="74">
        <v>50</v>
      </c>
      <c r="B6" s="112" t="s">
        <v>72</v>
      </c>
      <c r="C6" s="112">
        <v>2.9169999999999998</v>
      </c>
      <c r="D6" s="112">
        <v>2.9929999999999999</v>
      </c>
      <c r="E6" s="74">
        <v>3.1080000000000001</v>
      </c>
      <c r="F6" s="112">
        <v>3.3559999999999999</v>
      </c>
      <c r="G6" s="112">
        <v>3.3069999999999999</v>
      </c>
      <c r="H6" s="112">
        <v>3.1469999999999998</v>
      </c>
      <c r="I6" s="112">
        <v>3.1360000000000001</v>
      </c>
      <c r="J6" s="112">
        <v>3.1309999999999998</v>
      </c>
    </row>
    <row r="7" spans="1:10" ht="12.75" customHeight="1" x14ac:dyDescent="0.15">
      <c r="B7" s="112" t="s">
        <v>73</v>
      </c>
      <c r="C7" s="112">
        <v>3.2149999999999999</v>
      </c>
      <c r="D7" s="112">
        <v>3.2989999999999999</v>
      </c>
      <c r="E7" s="74">
        <v>3.4249999999999998</v>
      </c>
      <c r="F7" s="112">
        <v>3.6989999999999998</v>
      </c>
      <c r="G7" s="112">
        <v>3.645</v>
      </c>
      <c r="H7" s="112">
        <v>3.4689999999999999</v>
      </c>
      <c r="I7" s="112">
        <v>3.4569999999999999</v>
      </c>
      <c r="J7" s="112">
        <v>3.4510000000000001</v>
      </c>
    </row>
    <row r="8" spans="1:10" ht="12.75" customHeight="1" x14ac:dyDescent="0.15">
      <c r="B8" s="107" t="s">
        <v>74</v>
      </c>
      <c r="C8" s="107"/>
    </row>
    <row r="9" spans="1:10" x14ac:dyDescent="0.15">
      <c r="B9" s="112" t="s">
        <v>75</v>
      </c>
      <c r="C9" s="112">
        <v>62.19</v>
      </c>
      <c r="D9" s="112">
        <v>63.18</v>
      </c>
      <c r="E9" s="74">
        <v>64.06</v>
      </c>
      <c r="F9" s="112">
        <v>66</v>
      </c>
      <c r="G9" s="112">
        <v>66.400000000000006</v>
      </c>
      <c r="H9" s="112">
        <v>65.930000000000007</v>
      </c>
      <c r="I9" s="112">
        <v>65.180000000000007</v>
      </c>
      <c r="J9" s="112">
        <v>65.28</v>
      </c>
    </row>
  </sheetData>
  <sheetProtection selectLockedCells="1" selectUnlockedCells="1"/>
  <hyperlinks>
    <hyperlink ref="B2" r:id="rId1"/>
  </hyperlinks>
  <pageMargins left="0.78749999999999998" right="0.78749999999999998" top="1.0527777777777778" bottom="1.0527777777777778" header="0.78749999999999998" footer="0.78749999999999998"/>
  <pageSetup firstPageNumber="0" orientation="portrait" horizontalDpi="300" verticalDpi="300" r:id="rId2"/>
  <headerFooter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98"/>
  <sheetViews>
    <sheetView workbookViewId="0">
      <pane xSplit="2" ySplit="1" topLeftCell="C2" activePane="bottomRight" state="frozen"/>
      <selection activeCell="A35" sqref="A35"/>
      <selection pane="topRight" activeCell="A35" sqref="A35"/>
      <selection pane="bottomLeft" activeCell="A35" sqref="A35"/>
      <selection pane="bottomRight" activeCell="C2" sqref="C2"/>
    </sheetView>
  </sheetViews>
  <sheetFormatPr defaultRowHeight="10.5" x14ac:dyDescent="0.15"/>
  <cols>
    <col min="1" max="1" width="7" style="240" bestFit="1" customWidth="1"/>
    <col min="2" max="2" width="41.140625" style="240" bestFit="1" customWidth="1"/>
    <col min="3" max="4" width="9.5703125" style="240" bestFit="1" customWidth="1"/>
    <col min="5" max="10" width="7.85546875" style="240" bestFit="1" customWidth="1"/>
    <col min="11" max="16384" width="9.140625" style="240"/>
  </cols>
  <sheetData>
    <row r="1" spans="1:10" x14ac:dyDescent="0.15">
      <c r="A1" s="105" t="s">
        <v>214</v>
      </c>
      <c r="B1" s="241" t="s">
        <v>309</v>
      </c>
      <c r="C1" s="108">
        <v>201612</v>
      </c>
      <c r="D1" s="108">
        <v>201701</v>
      </c>
      <c r="E1" s="108">
        <v>201702</v>
      </c>
      <c r="F1" s="108">
        <v>201703</v>
      </c>
      <c r="G1" s="108">
        <v>201704</v>
      </c>
      <c r="H1" s="108">
        <v>201705</v>
      </c>
      <c r="I1" s="108">
        <v>201706</v>
      </c>
      <c r="J1" s="108">
        <v>201707</v>
      </c>
    </row>
    <row r="2" spans="1:10" x14ac:dyDescent="0.15">
      <c r="B2" s="241" t="s">
        <v>334</v>
      </c>
    </row>
    <row r="3" spans="1:10" x14ac:dyDescent="0.15">
      <c r="B3" s="240" t="s">
        <v>282</v>
      </c>
      <c r="C3" s="240" t="s">
        <v>310</v>
      </c>
      <c r="D3" s="240" t="s">
        <v>283</v>
      </c>
      <c r="E3" s="240" t="s">
        <v>284</v>
      </c>
      <c r="F3" s="240" t="s">
        <v>285</v>
      </c>
      <c r="G3" s="240" t="s">
        <v>286</v>
      </c>
      <c r="H3" s="240" t="s">
        <v>55</v>
      </c>
      <c r="I3" s="240" t="s">
        <v>288</v>
      </c>
      <c r="J3" s="432" t="s">
        <v>640</v>
      </c>
    </row>
    <row r="4" spans="1:10" x14ac:dyDescent="0.15">
      <c r="A4" s="243">
        <v>75</v>
      </c>
      <c r="B4" s="240" t="s">
        <v>289</v>
      </c>
      <c r="C4" s="240">
        <v>0.79300000000000004</v>
      </c>
      <c r="D4" s="240">
        <v>0.79300000000000004</v>
      </c>
      <c r="E4" s="240">
        <v>0.79300000000000004</v>
      </c>
      <c r="F4" s="240">
        <v>0.79300000000000004</v>
      </c>
      <c r="G4" s="240">
        <v>0.79300000000000004</v>
      </c>
      <c r="H4" s="240">
        <v>0.79300000000000004</v>
      </c>
      <c r="I4" s="240">
        <v>0.79300000000000004</v>
      </c>
      <c r="J4" s="240">
        <v>0.79300000000000004</v>
      </c>
    </row>
    <row r="5" spans="1:10" x14ac:dyDescent="0.15">
      <c r="A5" s="243">
        <v>65</v>
      </c>
      <c r="B5" s="240" t="s">
        <v>290</v>
      </c>
      <c r="C5" s="240">
        <v>0.95599999999999996</v>
      </c>
      <c r="D5" s="240">
        <v>0.95599999999999996</v>
      </c>
      <c r="E5" s="240">
        <v>0.95599999999999996</v>
      </c>
      <c r="F5" s="240">
        <v>0.95599999999999996</v>
      </c>
      <c r="G5" s="240">
        <v>0.95599999999999996</v>
      </c>
      <c r="H5" s="240">
        <v>0.95599999999999996</v>
      </c>
      <c r="I5" s="240">
        <v>0.95599999999999996</v>
      </c>
      <c r="J5" s="240">
        <v>0.95599999999999996</v>
      </c>
    </row>
    <row r="6" spans="1:10" x14ac:dyDescent="0.15">
      <c r="A6" s="243">
        <v>0</v>
      </c>
    </row>
    <row r="7" spans="1:10" x14ac:dyDescent="0.15">
      <c r="A7" s="243"/>
      <c r="B7" s="240" t="s">
        <v>291</v>
      </c>
      <c r="C7" s="240">
        <v>2.802</v>
      </c>
      <c r="D7" s="240">
        <v>2.802</v>
      </c>
      <c r="E7" s="240">
        <v>2.802</v>
      </c>
      <c r="F7" s="240">
        <v>2.802</v>
      </c>
      <c r="G7" s="240">
        <v>2.802</v>
      </c>
      <c r="H7" s="240">
        <v>2.802</v>
      </c>
      <c r="I7" s="240">
        <v>2.802</v>
      </c>
      <c r="J7" s="240">
        <v>2.802</v>
      </c>
    </row>
    <row r="8" spans="1:10" x14ac:dyDescent="0.15">
      <c r="A8" s="243"/>
    </row>
    <row r="9" spans="1:10" x14ac:dyDescent="0.15">
      <c r="B9" s="241" t="s">
        <v>333</v>
      </c>
    </row>
    <row r="10" spans="1:10" x14ac:dyDescent="0.15">
      <c r="B10" s="240" t="s">
        <v>282</v>
      </c>
      <c r="C10" s="240" t="s">
        <v>310</v>
      </c>
      <c r="D10" s="240" t="s">
        <v>283</v>
      </c>
      <c r="E10" s="240" t="s">
        <v>284</v>
      </c>
      <c r="F10" s="240" t="s">
        <v>285</v>
      </c>
      <c r="G10" s="240" t="s">
        <v>286</v>
      </c>
      <c r="H10" s="240" t="s">
        <v>55</v>
      </c>
      <c r="I10" s="240" t="s">
        <v>288</v>
      </c>
      <c r="J10" s="432" t="s">
        <v>640</v>
      </c>
    </row>
    <row r="11" spans="1:10" x14ac:dyDescent="0.15">
      <c r="A11" s="243">
        <v>75</v>
      </c>
      <c r="B11" s="240" t="s">
        <v>289</v>
      </c>
      <c r="C11" s="240">
        <v>0.79300000000000004</v>
      </c>
      <c r="D11" s="240">
        <v>0.79300000000000004</v>
      </c>
      <c r="E11" s="240">
        <v>0.79300000000000004</v>
      </c>
      <c r="F11" s="240">
        <v>0.79300000000000004</v>
      </c>
      <c r="G11" s="240">
        <v>0.79300000000000004</v>
      </c>
      <c r="H11" s="240">
        <v>0.79300000000000004</v>
      </c>
      <c r="I11" s="240">
        <v>0.79300000000000004</v>
      </c>
      <c r="J11" s="240">
        <v>0.79300000000000004</v>
      </c>
    </row>
    <row r="12" spans="1:10" x14ac:dyDescent="0.15">
      <c r="A12" s="243">
        <v>65</v>
      </c>
      <c r="B12" s="240" t="s">
        <v>290</v>
      </c>
      <c r="C12" s="240">
        <v>0.95599999999999996</v>
      </c>
      <c r="D12" s="240">
        <v>0.95599999999999996</v>
      </c>
      <c r="E12" s="240">
        <v>0.95599999999999996</v>
      </c>
      <c r="F12" s="240">
        <v>0.95599999999999996</v>
      </c>
      <c r="G12" s="240">
        <v>0.95599999999999996</v>
      </c>
      <c r="H12" s="240">
        <v>0.95599999999999996</v>
      </c>
      <c r="I12" s="240">
        <v>0.95599999999999996</v>
      </c>
      <c r="J12" s="240">
        <v>0.95599999999999996</v>
      </c>
    </row>
    <row r="13" spans="1:10" x14ac:dyDescent="0.15">
      <c r="A13" s="243">
        <v>0</v>
      </c>
    </row>
    <row r="14" spans="1:10" x14ac:dyDescent="0.15">
      <c r="A14" s="243"/>
      <c r="B14" s="240" t="s">
        <v>291</v>
      </c>
      <c r="C14" s="240">
        <v>2.802</v>
      </c>
      <c r="D14" s="240">
        <v>2.802</v>
      </c>
      <c r="E14" s="240">
        <v>2.802</v>
      </c>
      <c r="F14" s="240">
        <v>2.802</v>
      </c>
      <c r="G14" s="240">
        <v>2.802</v>
      </c>
      <c r="H14" s="240">
        <v>2.802</v>
      </c>
      <c r="I14" s="240">
        <v>2.802</v>
      </c>
      <c r="J14" s="240">
        <v>2.802</v>
      </c>
    </row>
    <row r="15" spans="1:10" x14ac:dyDescent="0.15">
      <c r="A15" s="243"/>
    </row>
    <row r="16" spans="1:10" x14ac:dyDescent="0.15">
      <c r="A16" s="243"/>
      <c r="B16" s="241" t="s">
        <v>316</v>
      </c>
    </row>
    <row r="17" spans="1:10" x14ac:dyDescent="0.15">
      <c r="A17" s="243"/>
      <c r="B17" s="240" t="s">
        <v>282</v>
      </c>
      <c r="C17" s="240" t="s">
        <v>310</v>
      </c>
      <c r="D17" s="240" t="s">
        <v>283</v>
      </c>
      <c r="E17" s="240" t="s">
        <v>284</v>
      </c>
      <c r="F17" s="240" t="s">
        <v>285</v>
      </c>
      <c r="G17" s="240" t="s">
        <v>286</v>
      </c>
      <c r="H17" s="240" t="s">
        <v>287</v>
      </c>
      <c r="I17" s="240" t="s">
        <v>288</v>
      </c>
      <c r="J17" s="432" t="s">
        <v>640</v>
      </c>
    </row>
    <row r="18" spans="1:10" x14ac:dyDescent="0.15">
      <c r="A18" s="243">
        <v>100</v>
      </c>
      <c r="B18" s="240" t="s">
        <v>292</v>
      </c>
      <c r="C18" s="240">
        <v>0.69699999999999995</v>
      </c>
      <c r="D18" s="240">
        <v>0.69699999999999995</v>
      </c>
      <c r="E18" s="240">
        <v>0.69699999999999995</v>
      </c>
      <c r="F18" s="240">
        <v>0.69699999999999995</v>
      </c>
      <c r="G18" s="240">
        <v>0.69699999999999995</v>
      </c>
      <c r="H18" s="240">
        <v>0.69699999999999995</v>
      </c>
      <c r="I18" s="240">
        <v>0.69699999999999995</v>
      </c>
      <c r="J18" s="240">
        <v>0.69699999999999995</v>
      </c>
    </row>
    <row r="19" spans="1:10" x14ac:dyDescent="0.15">
      <c r="A19" s="243">
        <v>50</v>
      </c>
      <c r="B19" s="240" t="s">
        <v>293</v>
      </c>
      <c r="C19" s="240">
        <v>0.82199999999999995</v>
      </c>
      <c r="D19" s="240">
        <v>0.82199999999999995</v>
      </c>
      <c r="E19" s="240">
        <v>0.82199999999999995</v>
      </c>
      <c r="F19" s="240">
        <v>0.82199999999999995</v>
      </c>
      <c r="G19" s="240">
        <v>0.82199999999999995</v>
      </c>
      <c r="H19" s="240">
        <v>0.82199999999999995</v>
      </c>
      <c r="I19" s="240">
        <v>0.82199999999999995</v>
      </c>
      <c r="J19" s="240">
        <v>0.82199999999999995</v>
      </c>
    </row>
    <row r="20" spans="1:10" x14ac:dyDescent="0.15">
      <c r="A20" s="243">
        <v>0</v>
      </c>
    </row>
    <row r="21" spans="1:10" x14ac:dyDescent="0.15">
      <c r="A21" s="243"/>
      <c r="B21" s="240" t="s">
        <v>291</v>
      </c>
      <c r="C21" s="240">
        <v>2.802</v>
      </c>
      <c r="D21" s="240">
        <v>2.802</v>
      </c>
      <c r="E21" s="240">
        <v>2.802</v>
      </c>
      <c r="F21" s="240">
        <v>2.802</v>
      </c>
      <c r="G21" s="240">
        <v>2.802</v>
      </c>
      <c r="H21" s="240">
        <v>2.802</v>
      </c>
      <c r="I21" s="240">
        <v>2.802</v>
      </c>
      <c r="J21" s="240">
        <v>2.802</v>
      </c>
    </row>
    <row r="22" spans="1:10" x14ac:dyDescent="0.15">
      <c r="A22" s="243"/>
    </row>
    <row r="23" spans="1:10" x14ac:dyDescent="0.15">
      <c r="A23" s="243"/>
      <c r="B23" s="241" t="s">
        <v>317</v>
      </c>
    </row>
    <row r="24" spans="1:10" x14ac:dyDescent="0.15">
      <c r="A24" s="243"/>
      <c r="B24" s="240" t="s">
        <v>282</v>
      </c>
      <c r="C24" s="240" t="s">
        <v>310</v>
      </c>
      <c r="D24" s="240" t="s">
        <v>283</v>
      </c>
      <c r="E24" s="240" t="s">
        <v>284</v>
      </c>
      <c r="F24" s="240" t="s">
        <v>285</v>
      </c>
      <c r="G24" s="240" t="s">
        <v>286</v>
      </c>
      <c r="H24" s="240" t="s">
        <v>287</v>
      </c>
      <c r="I24" s="240" t="s">
        <v>288</v>
      </c>
      <c r="J24" s="432" t="s">
        <v>640</v>
      </c>
    </row>
    <row r="25" spans="1:10" x14ac:dyDescent="0.15">
      <c r="A25" s="243">
        <v>75</v>
      </c>
      <c r="B25" s="240" t="s">
        <v>289</v>
      </c>
      <c r="C25" s="240">
        <v>0.79300000000000004</v>
      </c>
      <c r="D25" s="240">
        <v>0.79300000000000004</v>
      </c>
      <c r="E25" s="240">
        <v>0.79300000000000004</v>
      </c>
      <c r="F25" s="240">
        <v>0.79300000000000004</v>
      </c>
      <c r="G25" s="240">
        <v>0.79300000000000004</v>
      </c>
      <c r="H25" s="240">
        <v>0.79300000000000004</v>
      </c>
      <c r="I25" s="240">
        <v>0.79300000000000004</v>
      </c>
      <c r="J25" s="240">
        <v>0.79300000000000004</v>
      </c>
    </row>
    <row r="26" spans="1:10" x14ac:dyDescent="0.15">
      <c r="A26" s="243">
        <v>75</v>
      </c>
      <c r="B26" s="240" t="s">
        <v>294</v>
      </c>
      <c r="C26" s="240">
        <v>0.95599999999999996</v>
      </c>
      <c r="D26" s="240">
        <v>0.95599999999999996</v>
      </c>
      <c r="E26" s="240">
        <v>0.95599999999999996</v>
      </c>
      <c r="F26" s="240">
        <v>0.95599999999999996</v>
      </c>
      <c r="G26" s="240">
        <v>0.95599999999999996</v>
      </c>
      <c r="H26" s="240">
        <v>0.95599999999999996</v>
      </c>
      <c r="I26" s="240">
        <v>0.95599999999999996</v>
      </c>
      <c r="J26" s="240">
        <v>0.95599999999999996</v>
      </c>
    </row>
    <row r="27" spans="1:10" x14ac:dyDescent="0.15">
      <c r="A27" s="243">
        <v>0</v>
      </c>
    </row>
    <row r="28" spans="1:10" x14ac:dyDescent="0.15">
      <c r="A28" s="243"/>
      <c r="B28" s="240" t="s">
        <v>291</v>
      </c>
      <c r="C28" s="240">
        <v>2.802</v>
      </c>
      <c r="D28" s="240">
        <v>2.802</v>
      </c>
      <c r="E28" s="240">
        <v>2.802</v>
      </c>
      <c r="F28" s="240">
        <v>2.802</v>
      </c>
      <c r="G28" s="240">
        <v>2.802</v>
      </c>
      <c r="H28" s="240">
        <v>2.802</v>
      </c>
      <c r="I28" s="240">
        <v>2.802</v>
      </c>
      <c r="J28" s="240">
        <v>2.802</v>
      </c>
    </row>
    <row r="29" spans="1:10" x14ac:dyDescent="0.15">
      <c r="A29" s="243"/>
    </row>
    <row r="30" spans="1:10" x14ac:dyDescent="0.15">
      <c r="A30" s="243"/>
      <c r="B30" s="241" t="s">
        <v>322</v>
      </c>
    </row>
    <row r="31" spans="1:10" x14ac:dyDescent="0.15">
      <c r="A31" s="243"/>
      <c r="B31" s="240" t="s">
        <v>282</v>
      </c>
      <c r="C31" s="240" t="s">
        <v>310</v>
      </c>
      <c r="D31" s="240" t="s">
        <v>283</v>
      </c>
      <c r="E31" s="240" t="s">
        <v>284</v>
      </c>
      <c r="F31" s="240" t="s">
        <v>285</v>
      </c>
      <c r="G31" s="240" t="s">
        <v>286</v>
      </c>
      <c r="H31" s="240" t="s">
        <v>287</v>
      </c>
      <c r="I31" s="240" t="s">
        <v>288</v>
      </c>
      <c r="J31" s="432" t="s">
        <v>640</v>
      </c>
    </row>
    <row r="32" spans="1:10" x14ac:dyDescent="0.15">
      <c r="A32" s="243">
        <v>125</v>
      </c>
      <c r="B32" s="240" t="s">
        <v>295</v>
      </c>
      <c r="C32" s="240">
        <v>0.69699999999999995</v>
      </c>
      <c r="D32" s="240">
        <v>0.69699999999999995</v>
      </c>
      <c r="E32" s="240">
        <v>0.69699999999999995</v>
      </c>
      <c r="F32" s="240">
        <v>0.69699999999999995</v>
      </c>
      <c r="G32" s="240">
        <v>0.69699999999999995</v>
      </c>
      <c r="H32" s="240">
        <v>0.69699999999999995</v>
      </c>
      <c r="I32" s="240">
        <v>0.69699999999999995</v>
      </c>
      <c r="J32" s="240">
        <v>0.69699999999999995</v>
      </c>
    </row>
    <row r="33" spans="1:10" x14ac:dyDescent="0.15">
      <c r="A33" s="243">
        <v>100</v>
      </c>
      <c r="B33" s="240" t="s">
        <v>296</v>
      </c>
      <c r="C33" s="240">
        <v>0.82199999999999995</v>
      </c>
      <c r="D33" s="240">
        <v>0.82199999999999995</v>
      </c>
      <c r="E33" s="240">
        <v>0.82199999999999995</v>
      </c>
      <c r="F33" s="240">
        <v>0.82199999999999995</v>
      </c>
      <c r="G33" s="240">
        <v>0.82199999999999995</v>
      </c>
      <c r="H33" s="240">
        <v>0.82199999999999995</v>
      </c>
      <c r="I33" s="240">
        <v>0.82199999999999995</v>
      </c>
      <c r="J33" s="240">
        <v>0.82199999999999995</v>
      </c>
    </row>
    <row r="34" spans="1:10" x14ac:dyDescent="0.15">
      <c r="A34" s="243">
        <v>0</v>
      </c>
    </row>
    <row r="35" spans="1:10" x14ac:dyDescent="0.15">
      <c r="A35" s="243"/>
      <c r="B35" s="240" t="s">
        <v>291</v>
      </c>
      <c r="C35" s="240">
        <v>2.802</v>
      </c>
      <c r="D35" s="240">
        <v>2.802</v>
      </c>
      <c r="E35" s="240">
        <v>2.802</v>
      </c>
      <c r="F35" s="240">
        <v>2.802</v>
      </c>
      <c r="G35" s="240">
        <v>2.802</v>
      </c>
      <c r="H35" s="240">
        <v>2.802</v>
      </c>
      <c r="I35" s="240">
        <v>2.802</v>
      </c>
      <c r="J35" s="240">
        <v>2.802</v>
      </c>
    </row>
    <row r="36" spans="1:10" x14ac:dyDescent="0.15">
      <c r="A36" s="243"/>
    </row>
    <row r="37" spans="1:10" x14ac:dyDescent="0.15">
      <c r="A37" s="243"/>
      <c r="B37" s="241" t="s">
        <v>327</v>
      </c>
    </row>
    <row r="38" spans="1:10" x14ac:dyDescent="0.15">
      <c r="A38" s="243"/>
      <c r="B38" s="240" t="s">
        <v>282</v>
      </c>
      <c r="C38" s="240" t="s">
        <v>310</v>
      </c>
      <c r="D38" s="240" t="s">
        <v>283</v>
      </c>
      <c r="E38" s="240" t="s">
        <v>284</v>
      </c>
      <c r="F38" s="240" t="s">
        <v>285</v>
      </c>
      <c r="G38" s="240" t="s">
        <v>286</v>
      </c>
      <c r="H38" s="240" t="s">
        <v>287</v>
      </c>
      <c r="I38" s="240" t="s">
        <v>288</v>
      </c>
      <c r="J38" s="432" t="s">
        <v>640</v>
      </c>
    </row>
    <row r="39" spans="1:10" x14ac:dyDescent="0.15">
      <c r="A39" s="243">
        <v>75</v>
      </c>
      <c r="B39" s="240" t="s">
        <v>289</v>
      </c>
      <c r="C39" s="240">
        <v>0.79300000000000004</v>
      </c>
      <c r="D39" s="240">
        <v>0.79300000000000004</v>
      </c>
      <c r="E39" s="240">
        <v>0.79300000000000004</v>
      </c>
      <c r="F39" s="240">
        <v>0.79300000000000004</v>
      </c>
      <c r="G39" s="240">
        <v>0.79300000000000004</v>
      </c>
      <c r="H39" s="240">
        <v>0.79300000000000004</v>
      </c>
      <c r="I39" s="240">
        <v>0.79300000000000004</v>
      </c>
      <c r="J39" s="240">
        <v>0.79300000000000004</v>
      </c>
    </row>
    <row r="40" spans="1:10" x14ac:dyDescent="0.15">
      <c r="A40" s="243">
        <v>100</v>
      </c>
      <c r="B40" s="240" t="s">
        <v>297</v>
      </c>
      <c r="C40" s="240">
        <v>0.95599999999999996</v>
      </c>
      <c r="D40" s="240">
        <v>0.95599999999999996</v>
      </c>
      <c r="E40" s="240">
        <v>0.95599999999999996</v>
      </c>
      <c r="F40" s="240">
        <v>0.95599999999999996</v>
      </c>
      <c r="G40" s="240">
        <v>0.95599999999999996</v>
      </c>
      <c r="H40" s="240">
        <v>0.95599999999999996</v>
      </c>
      <c r="I40" s="240">
        <v>0.95599999999999996</v>
      </c>
      <c r="J40" s="240">
        <v>0.95599999999999996</v>
      </c>
    </row>
    <row r="41" spans="1:10" x14ac:dyDescent="0.15">
      <c r="A41" s="243">
        <v>0</v>
      </c>
    </row>
    <row r="42" spans="1:10" x14ac:dyDescent="0.15">
      <c r="A42" s="243"/>
      <c r="B42" s="240" t="s">
        <v>291</v>
      </c>
      <c r="C42" s="240">
        <v>2.802</v>
      </c>
      <c r="D42" s="240">
        <v>2.802</v>
      </c>
      <c r="E42" s="240">
        <v>2.802</v>
      </c>
      <c r="F42" s="240">
        <v>2.802</v>
      </c>
      <c r="G42" s="240">
        <v>2.802</v>
      </c>
      <c r="H42" s="240">
        <v>2.802</v>
      </c>
      <c r="I42" s="240">
        <v>2.802</v>
      </c>
      <c r="J42" s="240">
        <v>2.802</v>
      </c>
    </row>
    <row r="43" spans="1:10" x14ac:dyDescent="0.15">
      <c r="A43" s="243"/>
    </row>
    <row r="44" spans="1:10" x14ac:dyDescent="0.15">
      <c r="A44" s="243"/>
      <c r="B44" s="241" t="s">
        <v>321</v>
      </c>
    </row>
    <row r="45" spans="1:10" x14ac:dyDescent="0.15">
      <c r="A45" s="243"/>
      <c r="B45" s="240" t="s">
        <v>282</v>
      </c>
      <c r="C45" s="240" t="s">
        <v>310</v>
      </c>
      <c r="D45" s="240" t="s">
        <v>283</v>
      </c>
      <c r="E45" s="240" t="s">
        <v>284</v>
      </c>
      <c r="F45" s="240" t="s">
        <v>285</v>
      </c>
      <c r="G45" s="240" t="s">
        <v>286</v>
      </c>
      <c r="H45" s="240" t="s">
        <v>287</v>
      </c>
      <c r="I45" s="240" t="s">
        <v>288</v>
      </c>
      <c r="J45" s="240" t="s">
        <v>640</v>
      </c>
    </row>
    <row r="46" spans="1:10" x14ac:dyDescent="0.15">
      <c r="A46" s="243">
        <v>150</v>
      </c>
      <c r="B46" s="240" t="s">
        <v>298</v>
      </c>
      <c r="C46" s="240">
        <v>0.69699999999999995</v>
      </c>
      <c r="D46" s="240">
        <v>0.69699999999999995</v>
      </c>
      <c r="E46" s="240">
        <v>0.69699999999999995</v>
      </c>
      <c r="F46" s="240">
        <v>0.69699999999999995</v>
      </c>
      <c r="G46" s="240">
        <v>0.69699999999999995</v>
      </c>
      <c r="H46" s="240">
        <v>0.69699999999999995</v>
      </c>
      <c r="I46" s="240">
        <v>0.69699999999999995</v>
      </c>
      <c r="J46" s="240">
        <v>0.69699999999999995</v>
      </c>
    </row>
    <row r="47" spans="1:10" x14ac:dyDescent="0.15">
      <c r="A47" s="243">
        <v>150</v>
      </c>
      <c r="B47" s="240" t="s">
        <v>299</v>
      </c>
      <c r="C47" s="240">
        <v>0.82199999999999995</v>
      </c>
      <c r="D47" s="240">
        <v>0.82199999999999995</v>
      </c>
      <c r="E47" s="240">
        <v>0.82199999999999995</v>
      </c>
      <c r="F47" s="240">
        <v>0.82199999999999995</v>
      </c>
      <c r="G47" s="240">
        <v>0.82199999999999995</v>
      </c>
      <c r="H47" s="240">
        <v>0.82199999999999995</v>
      </c>
      <c r="I47" s="240">
        <v>0.82199999999999995</v>
      </c>
      <c r="J47" s="240">
        <v>0.82199999999999995</v>
      </c>
    </row>
    <row r="48" spans="1:10" x14ac:dyDescent="0.15">
      <c r="A48" s="243">
        <v>150</v>
      </c>
      <c r="B48" s="240" t="s">
        <v>300</v>
      </c>
      <c r="C48" s="240">
        <v>1.05</v>
      </c>
      <c r="D48" s="240">
        <v>1.05</v>
      </c>
      <c r="E48" s="240">
        <v>1.05</v>
      </c>
      <c r="F48" s="240">
        <v>1.05</v>
      </c>
      <c r="G48" s="240">
        <v>1.05</v>
      </c>
      <c r="H48" s="240">
        <v>1.05</v>
      </c>
      <c r="I48" s="240">
        <v>1.05</v>
      </c>
      <c r="J48" s="240">
        <v>1.05</v>
      </c>
    </row>
    <row r="49" spans="1:10" x14ac:dyDescent="0.15">
      <c r="A49" s="243"/>
      <c r="B49" s="240" t="s">
        <v>291</v>
      </c>
      <c r="C49" s="240">
        <v>2.802</v>
      </c>
      <c r="D49" s="240">
        <v>2.802</v>
      </c>
      <c r="E49" s="240">
        <v>2.802</v>
      </c>
      <c r="F49" s="240">
        <v>2.802</v>
      </c>
      <c r="G49" s="240">
        <v>2.802</v>
      </c>
      <c r="H49" s="240">
        <v>2.802</v>
      </c>
      <c r="I49" s="240">
        <v>2.802</v>
      </c>
      <c r="J49" s="240">
        <v>2.802</v>
      </c>
    </row>
    <row r="50" spans="1:10" x14ac:dyDescent="0.15">
      <c r="A50" s="243"/>
    </row>
    <row r="51" spans="1:10" x14ac:dyDescent="0.15">
      <c r="A51" s="243"/>
      <c r="B51" s="241" t="s">
        <v>326</v>
      </c>
    </row>
    <row r="52" spans="1:10" x14ac:dyDescent="0.15">
      <c r="A52" s="243"/>
      <c r="B52" s="240" t="s">
        <v>282</v>
      </c>
      <c r="C52" s="240" t="s">
        <v>310</v>
      </c>
      <c r="D52" s="240" t="s">
        <v>283</v>
      </c>
      <c r="E52" s="240" t="s">
        <v>284</v>
      </c>
      <c r="F52" s="240" t="s">
        <v>285</v>
      </c>
      <c r="G52" s="240" t="s">
        <v>286</v>
      </c>
      <c r="H52" s="240" t="s">
        <v>287</v>
      </c>
      <c r="I52" s="240" t="s">
        <v>288</v>
      </c>
      <c r="J52" s="240" t="s">
        <v>640</v>
      </c>
    </row>
    <row r="53" spans="1:10" x14ac:dyDescent="0.15">
      <c r="A53" s="243">
        <v>75</v>
      </c>
      <c r="B53" s="240" t="s">
        <v>289</v>
      </c>
      <c r="C53" s="240">
        <v>0.79300000000000004</v>
      </c>
      <c r="D53" s="240">
        <v>0.79300000000000004</v>
      </c>
      <c r="E53" s="240">
        <v>0.79300000000000004</v>
      </c>
      <c r="F53" s="240">
        <v>0.79300000000000004</v>
      </c>
      <c r="G53" s="240">
        <v>0.79300000000000004</v>
      </c>
      <c r="H53" s="240">
        <v>0.79300000000000004</v>
      </c>
      <c r="I53" s="240">
        <v>0.79300000000000004</v>
      </c>
      <c r="J53" s="240">
        <v>0.79300000000000004</v>
      </c>
    </row>
    <row r="54" spans="1:10" x14ac:dyDescent="0.15">
      <c r="A54" s="243">
        <v>100</v>
      </c>
      <c r="B54" s="240" t="s">
        <v>297</v>
      </c>
      <c r="C54" s="240">
        <v>0.95599999999999996</v>
      </c>
      <c r="D54" s="240">
        <v>0.95599999999999996</v>
      </c>
      <c r="E54" s="240">
        <v>0.95599999999999996</v>
      </c>
      <c r="F54" s="240">
        <v>0.95599999999999996</v>
      </c>
      <c r="G54" s="240">
        <v>0.95599999999999996</v>
      </c>
      <c r="H54" s="240">
        <v>0.95599999999999996</v>
      </c>
      <c r="I54" s="240">
        <v>0.95599999999999996</v>
      </c>
      <c r="J54" s="240">
        <v>0.95599999999999996</v>
      </c>
    </row>
    <row r="55" spans="1:10" x14ac:dyDescent="0.15">
      <c r="A55" s="243">
        <v>0</v>
      </c>
    </row>
    <row r="56" spans="1:10" x14ac:dyDescent="0.15">
      <c r="A56" s="243"/>
      <c r="B56" s="240" t="s">
        <v>291</v>
      </c>
      <c r="C56" s="240">
        <v>2.802</v>
      </c>
      <c r="D56" s="240">
        <v>2.802</v>
      </c>
      <c r="E56" s="240">
        <v>2.802</v>
      </c>
      <c r="F56" s="240">
        <v>2.802</v>
      </c>
      <c r="G56" s="240">
        <v>2.802</v>
      </c>
      <c r="H56" s="240">
        <v>2.802</v>
      </c>
      <c r="I56" s="240">
        <v>2.802</v>
      </c>
      <c r="J56" s="240">
        <v>2.802</v>
      </c>
    </row>
    <row r="57" spans="1:10" x14ac:dyDescent="0.15">
      <c r="A57" s="243"/>
    </row>
    <row r="58" spans="1:10" x14ac:dyDescent="0.15">
      <c r="A58" s="243"/>
      <c r="B58" s="241" t="s">
        <v>319</v>
      </c>
    </row>
    <row r="59" spans="1:10" x14ac:dyDescent="0.15">
      <c r="A59" s="243"/>
      <c r="B59" s="240" t="s">
        <v>282</v>
      </c>
      <c r="C59" s="240" t="s">
        <v>310</v>
      </c>
      <c r="D59" s="240" t="s">
        <v>283</v>
      </c>
      <c r="E59" s="240" t="s">
        <v>284</v>
      </c>
      <c r="F59" s="240" t="s">
        <v>285</v>
      </c>
      <c r="G59" s="240" t="s">
        <v>286</v>
      </c>
      <c r="H59" s="240" t="s">
        <v>287</v>
      </c>
      <c r="I59" s="240" t="s">
        <v>288</v>
      </c>
      <c r="J59" s="240" t="s">
        <v>640</v>
      </c>
    </row>
    <row r="60" spans="1:10" x14ac:dyDescent="0.15">
      <c r="A60" s="243">
        <v>175</v>
      </c>
      <c r="B60" s="240" t="s">
        <v>301</v>
      </c>
      <c r="C60" s="240">
        <v>0.69699999999999995</v>
      </c>
      <c r="D60" s="240">
        <v>0.69699999999999995</v>
      </c>
      <c r="E60" s="240">
        <v>0.69699999999999995</v>
      </c>
      <c r="F60" s="240">
        <v>0.69699999999999995</v>
      </c>
      <c r="G60" s="240">
        <v>0.69699999999999995</v>
      </c>
      <c r="H60" s="240">
        <v>0.69699999999999995</v>
      </c>
      <c r="I60" s="240">
        <v>0.69699999999999995</v>
      </c>
      <c r="J60" s="240">
        <v>0.69699999999999995</v>
      </c>
    </row>
    <row r="61" spans="1:10" x14ac:dyDescent="0.15">
      <c r="A61" s="243">
        <v>225</v>
      </c>
      <c r="B61" s="240" t="s">
        <v>302</v>
      </c>
      <c r="C61" s="240">
        <v>0.82199999999999995</v>
      </c>
      <c r="D61" s="240">
        <v>0.82199999999999995</v>
      </c>
      <c r="E61" s="240">
        <v>0.82199999999999995</v>
      </c>
      <c r="F61" s="240">
        <v>0.82199999999999995</v>
      </c>
      <c r="G61" s="240">
        <v>0.82199999999999995</v>
      </c>
      <c r="H61" s="240">
        <v>0.82199999999999995</v>
      </c>
      <c r="I61" s="240">
        <v>0.82199999999999995</v>
      </c>
      <c r="J61" s="240">
        <v>0.82199999999999995</v>
      </c>
    </row>
    <row r="62" spans="1:10" x14ac:dyDescent="0.15">
      <c r="A62" s="243">
        <v>200</v>
      </c>
      <c r="B62" s="240" t="s">
        <v>303</v>
      </c>
      <c r="C62" s="240">
        <v>1.05</v>
      </c>
      <c r="D62" s="240">
        <v>1.05</v>
      </c>
      <c r="E62" s="240">
        <v>1.05</v>
      </c>
      <c r="F62" s="240">
        <v>1.05</v>
      </c>
      <c r="G62" s="240">
        <v>1.05</v>
      </c>
      <c r="H62" s="240">
        <v>1.05</v>
      </c>
      <c r="I62" s="240">
        <v>1.05</v>
      </c>
      <c r="J62" s="240">
        <v>1.05</v>
      </c>
    </row>
    <row r="63" spans="1:10" x14ac:dyDescent="0.15">
      <c r="A63" s="243"/>
      <c r="B63" s="240" t="s">
        <v>291</v>
      </c>
      <c r="C63" s="240">
        <v>2.802</v>
      </c>
      <c r="D63" s="240">
        <v>2.802</v>
      </c>
      <c r="E63" s="240">
        <v>2.802</v>
      </c>
      <c r="F63" s="240">
        <v>2.802</v>
      </c>
      <c r="G63" s="240">
        <v>2.802</v>
      </c>
      <c r="H63" s="240">
        <v>2.802</v>
      </c>
      <c r="I63" s="240">
        <v>2.802</v>
      </c>
      <c r="J63" s="240">
        <v>2.802</v>
      </c>
    </row>
    <row r="64" spans="1:10" x14ac:dyDescent="0.15">
      <c r="A64" s="243"/>
    </row>
    <row r="65" spans="1:10" x14ac:dyDescent="0.15">
      <c r="A65" s="243"/>
      <c r="B65" s="241" t="s">
        <v>325</v>
      </c>
    </row>
    <row r="66" spans="1:10" x14ac:dyDescent="0.15">
      <c r="A66" s="243"/>
      <c r="B66" s="240" t="s">
        <v>282</v>
      </c>
      <c r="C66" s="240" t="s">
        <v>310</v>
      </c>
      <c r="D66" s="240" t="s">
        <v>283</v>
      </c>
      <c r="E66" s="240" t="s">
        <v>284</v>
      </c>
      <c r="F66" s="240" t="s">
        <v>285</v>
      </c>
      <c r="G66" s="240" t="s">
        <v>286</v>
      </c>
      <c r="H66" s="240" t="s">
        <v>287</v>
      </c>
      <c r="I66" s="240" t="s">
        <v>288</v>
      </c>
      <c r="J66" s="240" t="s">
        <v>640</v>
      </c>
    </row>
    <row r="67" spans="1:10" x14ac:dyDescent="0.15">
      <c r="A67" s="243">
        <v>75</v>
      </c>
      <c r="B67" s="240" t="s">
        <v>289</v>
      </c>
      <c r="C67" s="240">
        <v>0.79300000000000004</v>
      </c>
      <c r="D67" s="240">
        <v>0.79300000000000004</v>
      </c>
      <c r="E67" s="240">
        <v>0.79300000000000004</v>
      </c>
      <c r="F67" s="240">
        <v>0.79300000000000004</v>
      </c>
      <c r="G67" s="240">
        <v>0.79300000000000004</v>
      </c>
      <c r="H67" s="240">
        <v>0.79300000000000004</v>
      </c>
      <c r="I67" s="240">
        <v>0.79300000000000004</v>
      </c>
      <c r="J67" s="240">
        <v>0.79300000000000004</v>
      </c>
    </row>
    <row r="68" spans="1:10" x14ac:dyDescent="0.15">
      <c r="A68" s="243">
        <v>125</v>
      </c>
      <c r="B68" s="240" t="s">
        <v>304</v>
      </c>
      <c r="C68" s="240">
        <v>0.95599999999999996</v>
      </c>
      <c r="D68" s="240">
        <v>0.95599999999999996</v>
      </c>
      <c r="E68" s="240">
        <v>0.95599999999999996</v>
      </c>
      <c r="F68" s="240">
        <v>0.95599999999999996</v>
      </c>
      <c r="G68" s="240">
        <v>0.95599999999999996</v>
      </c>
      <c r="H68" s="240">
        <v>0.95599999999999996</v>
      </c>
      <c r="I68" s="240">
        <v>0.95599999999999996</v>
      </c>
      <c r="J68" s="240">
        <v>0.95599999999999996</v>
      </c>
    </row>
    <row r="69" spans="1:10" x14ac:dyDescent="0.15">
      <c r="A69" s="243">
        <v>0</v>
      </c>
    </row>
    <row r="70" spans="1:10" x14ac:dyDescent="0.15">
      <c r="A70" s="243"/>
      <c r="B70" s="240" t="s">
        <v>291</v>
      </c>
      <c r="C70" s="240">
        <v>2.802</v>
      </c>
      <c r="D70" s="240">
        <v>2.802</v>
      </c>
      <c r="E70" s="240">
        <v>2.802</v>
      </c>
      <c r="F70" s="240">
        <v>2.802</v>
      </c>
      <c r="G70" s="240">
        <v>2.802</v>
      </c>
      <c r="H70" s="240">
        <v>2.802</v>
      </c>
      <c r="I70" s="240">
        <v>2.802</v>
      </c>
      <c r="J70" s="240">
        <v>2.802</v>
      </c>
    </row>
    <row r="71" spans="1:10" x14ac:dyDescent="0.15">
      <c r="A71" s="243"/>
    </row>
    <row r="72" spans="1:10" x14ac:dyDescent="0.15">
      <c r="A72" s="243"/>
      <c r="B72" s="241" t="s">
        <v>318</v>
      </c>
    </row>
    <row r="73" spans="1:10" x14ac:dyDescent="0.15">
      <c r="A73" s="243"/>
      <c r="B73" s="240" t="s">
        <v>282</v>
      </c>
      <c r="C73" s="240" t="s">
        <v>310</v>
      </c>
      <c r="D73" s="240" t="s">
        <v>283</v>
      </c>
      <c r="E73" s="240" t="s">
        <v>284</v>
      </c>
      <c r="F73" s="240" t="s">
        <v>285</v>
      </c>
      <c r="G73" s="240" t="s">
        <v>286</v>
      </c>
      <c r="H73" s="240" t="s">
        <v>287</v>
      </c>
      <c r="I73" s="240" t="s">
        <v>288</v>
      </c>
      <c r="J73" s="240" t="s">
        <v>640</v>
      </c>
    </row>
    <row r="74" spans="1:10" x14ac:dyDescent="0.15">
      <c r="A74" s="243">
        <v>300</v>
      </c>
      <c r="B74" s="240" t="s">
        <v>305</v>
      </c>
      <c r="C74" s="240">
        <v>0.58299999999999996</v>
      </c>
      <c r="D74" s="240">
        <v>0.58299999999999996</v>
      </c>
      <c r="E74" s="240">
        <v>0.58299999999999996</v>
      </c>
      <c r="F74" s="240">
        <v>0.58299999999999996</v>
      </c>
      <c r="G74" s="240">
        <v>0.58299999999999996</v>
      </c>
      <c r="H74" s="240">
        <v>0.58299999999999996</v>
      </c>
      <c r="I74" s="240">
        <v>0.58299999999999996</v>
      </c>
      <c r="J74" s="240">
        <v>0.58299999999999996</v>
      </c>
    </row>
    <row r="75" spans="1:10" x14ac:dyDescent="0.15">
      <c r="A75" s="243">
        <v>450</v>
      </c>
      <c r="B75" s="240" t="s">
        <v>306</v>
      </c>
      <c r="C75" s="240">
        <v>0.72599999999999998</v>
      </c>
      <c r="D75" s="240">
        <v>0.72599999999999998</v>
      </c>
      <c r="E75" s="240">
        <v>0.72599999999999998</v>
      </c>
      <c r="F75" s="240">
        <v>0.72599999999999998</v>
      </c>
      <c r="G75" s="240">
        <v>0.72599999999999998</v>
      </c>
      <c r="H75" s="240">
        <v>0.72599999999999998</v>
      </c>
      <c r="I75" s="240">
        <v>0.72599999999999998</v>
      </c>
      <c r="J75" s="240">
        <v>0.72599999999999998</v>
      </c>
    </row>
    <row r="76" spans="1:10" x14ac:dyDescent="0.15">
      <c r="A76" s="243">
        <v>150</v>
      </c>
      <c r="B76" s="240" t="s">
        <v>307</v>
      </c>
      <c r="C76" s="240">
        <v>0.94799999999999995</v>
      </c>
      <c r="D76" s="240">
        <v>0.94799999999999995</v>
      </c>
      <c r="E76" s="240">
        <v>0.94799999999999995</v>
      </c>
      <c r="F76" s="240">
        <v>0.94799999999999995</v>
      </c>
      <c r="G76" s="240">
        <v>0.94799999999999995</v>
      </c>
      <c r="H76" s="240">
        <v>0.94799999999999995</v>
      </c>
      <c r="I76" s="240">
        <v>0.94799999999999995</v>
      </c>
      <c r="J76" s="240">
        <v>0.94799999999999995</v>
      </c>
    </row>
    <row r="77" spans="1:10" x14ac:dyDescent="0.15">
      <c r="A77" s="243"/>
      <c r="B77" s="240" t="s">
        <v>291</v>
      </c>
      <c r="C77" s="240">
        <v>2.802</v>
      </c>
      <c r="D77" s="240">
        <v>2.802</v>
      </c>
      <c r="E77" s="240">
        <v>2.802</v>
      </c>
      <c r="F77" s="240">
        <v>2.802</v>
      </c>
      <c r="G77" s="240">
        <v>2.802</v>
      </c>
      <c r="H77" s="240">
        <v>2.802</v>
      </c>
      <c r="I77" s="240">
        <v>2.802</v>
      </c>
      <c r="J77" s="240">
        <v>2.802</v>
      </c>
    </row>
    <row r="78" spans="1:10" x14ac:dyDescent="0.15">
      <c r="A78" s="243"/>
    </row>
    <row r="79" spans="1:10" x14ac:dyDescent="0.15">
      <c r="A79" s="243"/>
      <c r="B79" s="241" t="s">
        <v>324</v>
      </c>
    </row>
    <row r="80" spans="1:10" x14ac:dyDescent="0.15">
      <c r="A80" s="243"/>
      <c r="B80" s="240" t="s">
        <v>282</v>
      </c>
      <c r="C80" s="240" t="s">
        <v>310</v>
      </c>
      <c r="D80" s="240" t="s">
        <v>283</v>
      </c>
      <c r="E80" s="240" t="s">
        <v>284</v>
      </c>
      <c r="F80" s="240" t="s">
        <v>285</v>
      </c>
      <c r="G80" s="240" t="s">
        <v>286</v>
      </c>
      <c r="H80" s="240" t="s">
        <v>287</v>
      </c>
      <c r="I80" s="240" t="s">
        <v>288</v>
      </c>
      <c r="J80" s="240" t="s">
        <v>640</v>
      </c>
    </row>
    <row r="81" spans="1:10" x14ac:dyDescent="0.15">
      <c r="A81" s="243">
        <v>75</v>
      </c>
      <c r="B81" s="240" t="s">
        <v>289</v>
      </c>
      <c r="C81" s="240">
        <v>0.79300000000000004</v>
      </c>
      <c r="D81" s="240">
        <v>0.79300000000000004</v>
      </c>
      <c r="E81" s="240">
        <v>0.79300000000000004</v>
      </c>
      <c r="F81" s="240">
        <v>0.79300000000000004</v>
      </c>
      <c r="G81" s="240">
        <v>0.79300000000000004</v>
      </c>
      <c r="H81" s="240">
        <v>0.79300000000000004</v>
      </c>
      <c r="I81" s="240">
        <v>0.79300000000000004</v>
      </c>
      <c r="J81" s="240">
        <v>0.79300000000000004</v>
      </c>
    </row>
    <row r="82" spans="1:10" x14ac:dyDescent="0.15">
      <c r="A82" s="243">
        <v>125</v>
      </c>
      <c r="B82" s="240" t="s">
        <v>304</v>
      </c>
      <c r="C82" s="240">
        <v>0.95599999999999996</v>
      </c>
      <c r="D82" s="240">
        <v>0.95599999999999996</v>
      </c>
      <c r="E82" s="240">
        <v>0.95599999999999996</v>
      </c>
      <c r="F82" s="240">
        <v>0.95599999999999996</v>
      </c>
      <c r="G82" s="240">
        <v>0.95599999999999996</v>
      </c>
      <c r="H82" s="240">
        <v>0.95599999999999996</v>
      </c>
      <c r="I82" s="240">
        <v>0.95599999999999996</v>
      </c>
      <c r="J82" s="240">
        <v>0.95599999999999996</v>
      </c>
    </row>
    <row r="83" spans="1:10" x14ac:dyDescent="0.15">
      <c r="A83" s="243">
        <v>0</v>
      </c>
    </row>
    <row r="84" spans="1:10" x14ac:dyDescent="0.15">
      <c r="A84" s="243"/>
      <c r="B84" s="240" t="s">
        <v>291</v>
      </c>
      <c r="C84" s="240">
        <v>2.802</v>
      </c>
      <c r="D84" s="240">
        <v>2.802</v>
      </c>
      <c r="E84" s="240">
        <v>2.802</v>
      </c>
      <c r="F84" s="240">
        <v>2.802</v>
      </c>
      <c r="G84" s="240">
        <v>2.802</v>
      </c>
      <c r="H84" s="240">
        <v>2.802</v>
      </c>
      <c r="I84" s="240">
        <v>2.802</v>
      </c>
      <c r="J84" s="240">
        <v>2.802</v>
      </c>
    </row>
    <row r="85" spans="1:10" x14ac:dyDescent="0.15">
      <c r="A85" s="243"/>
    </row>
    <row r="86" spans="1:10" x14ac:dyDescent="0.15">
      <c r="A86" s="243"/>
      <c r="B86" s="241" t="s">
        <v>320</v>
      </c>
    </row>
    <row r="87" spans="1:10" x14ac:dyDescent="0.15">
      <c r="A87" s="243"/>
      <c r="B87" s="240" t="s">
        <v>282</v>
      </c>
      <c r="C87" s="240" t="s">
        <v>310</v>
      </c>
      <c r="D87" s="240" t="s">
        <v>283</v>
      </c>
      <c r="E87" s="240" t="s">
        <v>284</v>
      </c>
      <c r="F87" s="240" t="s">
        <v>285</v>
      </c>
      <c r="G87" s="240" t="s">
        <v>286</v>
      </c>
      <c r="H87" s="240" t="s">
        <v>287</v>
      </c>
      <c r="I87" s="240" t="s">
        <v>288</v>
      </c>
      <c r="J87" s="240" t="s">
        <v>640</v>
      </c>
    </row>
    <row r="88" spans="1:10" x14ac:dyDescent="0.15">
      <c r="A88" s="243">
        <v>300</v>
      </c>
      <c r="B88" s="240" t="s">
        <v>305</v>
      </c>
      <c r="C88" s="240">
        <v>0.58299999999999996</v>
      </c>
      <c r="D88" s="240">
        <v>0.58299999999999996</v>
      </c>
      <c r="E88" s="240">
        <v>0.58299999999999996</v>
      </c>
      <c r="F88" s="240">
        <v>0.58299999999999996</v>
      </c>
      <c r="G88" s="240">
        <v>0.58299999999999996</v>
      </c>
      <c r="H88" s="240">
        <v>0.58299999999999996</v>
      </c>
      <c r="I88" s="240">
        <v>0.58299999999999996</v>
      </c>
      <c r="J88" s="240">
        <v>0.58299999999999996</v>
      </c>
    </row>
    <row r="89" spans="1:10" x14ac:dyDescent="0.15">
      <c r="A89" s="243">
        <v>900</v>
      </c>
      <c r="B89" s="240" t="s">
        <v>308</v>
      </c>
      <c r="C89" s="240">
        <v>0.72599999999999998</v>
      </c>
      <c r="D89" s="240">
        <v>0.72599999999999998</v>
      </c>
      <c r="E89" s="240">
        <v>0.72599999999999998</v>
      </c>
      <c r="F89" s="240">
        <v>0.72599999999999998</v>
      </c>
      <c r="G89" s="240">
        <v>0.72599999999999998</v>
      </c>
      <c r="H89" s="240">
        <v>0.72599999999999998</v>
      </c>
      <c r="I89" s="240">
        <v>0.72599999999999998</v>
      </c>
      <c r="J89" s="240">
        <v>0.72599999999999998</v>
      </c>
    </row>
    <row r="90" spans="1:10" x14ac:dyDescent="0.15">
      <c r="A90" s="243">
        <v>1300</v>
      </c>
      <c r="B90" s="240" t="s">
        <v>311</v>
      </c>
      <c r="C90" s="240">
        <v>1.768</v>
      </c>
      <c r="D90" s="240">
        <v>1.768</v>
      </c>
      <c r="E90" s="240">
        <v>1.768</v>
      </c>
      <c r="F90" s="240">
        <v>1.768</v>
      </c>
      <c r="G90" s="240">
        <v>1.768</v>
      </c>
      <c r="H90" s="240">
        <v>1.768</v>
      </c>
      <c r="I90" s="240">
        <v>1.768</v>
      </c>
      <c r="J90" s="240">
        <v>1.768</v>
      </c>
    </row>
    <row r="91" spans="1:10" x14ac:dyDescent="0.15">
      <c r="A91" s="243"/>
      <c r="B91" s="240" t="s">
        <v>291</v>
      </c>
      <c r="C91" s="240">
        <v>2.802</v>
      </c>
      <c r="D91" s="240">
        <v>2.802</v>
      </c>
      <c r="E91" s="240">
        <v>2.802</v>
      </c>
      <c r="F91" s="240">
        <v>2.802</v>
      </c>
      <c r="G91" s="240">
        <v>2.802</v>
      </c>
      <c r="H91" s="240">
        <v>2.802</v>
      </c>
      <c r="I91" s="240">
        <v>2.802</v>
      </c>
      <c r="J91" s="240">
        <v>2.802</v>
      </c>
    </row>
    <row r="92" spans="1:10" x14ac:dyDescent="0.15">
      <c r="A92" s="243"/>
    </row>
    <row r="93" spans="1:10" x14ac:dyDescent="0.15">
      <c r="A93" s="243"/>
      <c r="B93" s="241" t="s">
        <v>323</v>
      </c>
    </row>
    <row r="94" spans="1:10" x14ac:dyDescent="0.15">
      <c r="A94" s="243"/>
      <c r="B94" s="240" t="s">
        <v>282</v>
      </c>
      <c r="C94" s="240" t="s">
        <v>310</v>
      </c>
      <c r="D94" s="240" t="s">
        <v>283</v>
      </c>
      <c r="E94" s="240" t="s">
        <v>284</v>
      </c>
      <c r="F94" s="240" t="s">
        <v>285</v>
      </c>
      <c r="G94" s="240" t="s">
        <v>286</v>
      </c>
      <c r="H94" s="240" t="s">
        <v>287</v>
      </c>
      <c r="I94" s="240" t="s">
        <v>288</v>
      </c>
      <c r="J94" s="240" t="s">
        <v>640</v>
      </c>
    </row>
    <row r="95" spans="1:10" x14ac:dyDescent="0.15">
      <c r="A95" s="243">
        <v>75</v>
      </c>
      <c r="B95" s="240" t="s">
        <v>312</v>
      </c>
      <c r="C95" s="240">
        <v>0.79300000000000004</v>
      </c>
      <c r="D95" s="240">
        <v>0.79300000000000004</v>
      </c>
      <c r="E95" s="240">
        <v>0.79300000000000004</v>
      </c>
      <c r="F95" s="240">
        <v>0.79300000000000004</v>
      </c>
      <c r="G95" s="240">
        <v>0.79300000000000004</v>
      </c>
      <c r="H95" s="240">
        <v>0.79300000000000004</v>
      </c>
      <c r="I95" s="240">
        <v>0.79300000000000004</v>
      </c>
      <c r="J95" s="240">
        <v>0.79300000000000004</v>
      </c>
    </row>
    <row r="96" spans="1:10" x14ac:dyDescent="0.15">
      <c r="A96" s="243">
        <v>125</v>
      </c>
      <c r="B96" s="240" t="s">
        <v>304</v>
      </c>
      <c r="C96" s="240">
        <v>0.95599999999999996</v>
      </c>
      <c r="D96" s="240">
        <v>0.95599999999999996</v>
      </c>
      <c r="E96" s="240">
        <v>0.95599999999999996</v>
      </c>
      <c r="F96" s="240">
        <v>0.95599999999999996</v>
      </c>
      <c r="G96" s="240">
        <v>0.95599999999999996</v>
      </c>
      <c r="H96" s="240">
        <v>0.95599999999999996</v>
      </c>
      <c r="I96" s="240">
        <v>0.95599999999999996</v>
      </c>
      <c r="J96" s="240">
        <v>0.95599999999999996</v>
      </c>
    </row>
    <row r="97" spans="1:10" x14ac:dyDescent="0.15">
      <c r="A97" s="243">
        <v>0</v>
      </c>
    </row>
    <row r="98" spans="1:10" x14ac:dyDescent="0.15">
      <c r="A98" s="243"/>
      <c r="B98" s="240" t="s">
        <v>291</v>
      </c>
      <c r="C98" s="240">
        <v>2.802</v>
      </c>
      <c r="D98" s="240">
        <v>2.802</v>
      </c>
      <c r="E98" s="240">
        <v>2.802</v>
      </c>
      <c r="F98" s="240">
        <v>2.802</v>
      </c>
      <c r="G98" s="240">
        <v>2.802</v>
      </c>
      <c r="H98" s="240">
        <v>2.802</v>
      </c>
      <c r="I98" s="240">
        <v>2.802</v>
      </c>
      <c r="J98" s="240">
        <v>2.802</v>
      </c>
    </row>
  </sheetData>
  <hyperlinks>
    <hyperlink ref="A1" r:id="rId1"/>
  </hyperlinks>
  <pageMargins left="0.7" right="0.7" top="0.75" bottom="0.75" header="0.3" footer="0.3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9"/>
  <sheetViews>
    <sheetView workbookViewId="0">
      <selection sqref="A1:A12"/>
    </sheetView>
  </sheetViews>
  <sheetFormatPr defaultRowHeight="10.5" x14ac:dyDescent="0.15"/>
  <cols>
    <col min="1" max="1" width="3.5703125" style="70" bestFit="1" customWidth="1"/>
    <col min="2" max="2" width="32" style="26" bestFit="1" customWidth="1"/>
    <col min="3" max="3" width="64.85546875" style="26" bestFit="1" customWidth="1"/>
    <col min="4" max="4" width="18.7109375" style="26" bestFit="1" customWidth="1"/>
    <col min="5" max="16384" width="9.140625" style="26"/>
  </cols>
  <sheetData>
    <row r="1" spans="1:4" s="70" customFormat="1" ht="12.75" customHeight="1" x14ac:dyDescent="0.15">
      <c r="A1" s="639" t="s">
        <v>179</v>
      </c>
      <c r="B1" s="83" t="s">
        <v>180</v>
      </c>
      <c r="C1" s="235" t="s">
        <v>181</v>
      </c>
      <c r="D1" s="84" t="s">
        <v>280</v>
      </c>
    </row>
    <row r="2" spans="1:4" ht="10.5" customHeight="1" x14ac:dyDescent="0.15">
      <c r="A2" s="640"/>
      <c r="B2" s="238" t="s">
        <v>151</v>
      </c>
      <c r="C2" s="80" t="s">
        <v>57</v>
      </c>
      <c r="D2" s="81">
        <v>1</v>
      </c>
    </row>
    <row r="3" spans="1:4" x14ac:dyDescent="0.15">
      <c r="A3" s="640"/>
      <c r="B3" s="238" t="s">
        <v>152</v>
      </c>
      <c r="C3" s="80" t="s">
        <v>60</v>
      </c>
      <c r="D3" s="81">
        <v>1</v>
      </c>
    </row>
    <row r="4" spans="1:4" x14ac:dyDescent="0.15">
      <c r="A4" s="640"/>
      <c r="B4" s="238" t="s">
        <v>154</v>
      </c>
      <c r="C4" s="80" t="s">
        <v>61</v>
      </c>
      <c r="D4" s="81">
        <v>3</v>
      </c>
    </row>
    <row r="5" spans="1:4" x14ac:dyDescent="0.15">
      <c r="A5" s="640"/>
      <c r="B5" s="238" t="s">
        <v>155</v>
      </c>
      <c r="C5" s="80" t="s">
        <v>62</v>
      </c>
      <c r="D5" s="81">
        <v>3</v>
      </c>
    </row>
    <row r="6" spans="1:4" x14ac:dyDescent="0.15">
      <c r="A6" s="640"/>
      <c r="B6" s="238" t="s">
        <v>76</v>
      </c>
      <c r="C6" s="80" t="s">
        <v>63</v>
      </c>
      <c r="D6" s="81">
        <v>7</v>
      </c>
    </row>
    <row r="7" spans="1:4" x14ac:dyDescent="0.15">
      <c r="A7" s="640"/>
      <c r="B7" s="238" t="s">
        <v>153</v>
      </c>
      <c r="C7" s="80" t="s">
        <v>64</v>
      </c>
      <c r="D7" s="81">
        <v>4</v>
      </c>
    </row>
    <row r="8" spans="1:4" x14ac:dyDescent="0.15">
      <c r="A8" s="640"/>
      <c r="B8" s="238" t="s">
        <v>263</v>
      </c>
      <c r="C8" s="80" t="s">
        <v>66</v>
      </c>
      <c r="D8" s="81">
        <v>5</v>
      </c>
    </row>
    <row r="9" spans="1:4" s="215" customFormat="1" x14ac:dyDescent="0.15">
      <c r="A9" s="640"/>
      <c r="B9" s="238" t="s">
        <v>264</v>
      </c>
      <c r="C9" s="80" t="s">
        <v>66</v>
      </c>
      <c r="D9" s="81">
        <v>6</v>
      </c>
    </row>
    <row r="10" spans="1:4" x14ac:dyDescent="0.15">
      <c r="A10" s="640"/>
      <c r="B10" s="238" t="s">
        <v>265</v>
      </c>
      <c r="C10" s="80" t="s">
        <v>67</v>
      </c>
      <c r="D10" s="81">
        <v>8</v>
      </c>
    </row>
    <row r="11" spans="1:4" s="215" customFormat="1" x14ac:dyDescent="0.15">
      <c r="A11" s="640"/>
      <c r="B11" s="238" t="s">
        <v>266</v>
      </c>
      <c r="C11" s="80" t="s">
        <v>67</v>
      </c>
      <c r="D11" s="81">
        <v>9</v>
      </c>
    </row>
    <row r="12" spans="1:4" x14ac:dyDescent="0.15">
      <c r="A12" s="641"/>
      <c r="B12" s="239"/>
      <c r="C12" s="32"/>
      <c r="D12" s="82"/>
    </row>
    <row r="14" spans="1:4" x14ac:dyDescent="0.15">
      <c r="A14" s="639" t="s">
        <v>182</v>
      </c>
      <c r="B14" s="84" t="s">
        <v>180</v>
      </c>
    </row>
    <row r="15" spans="1:4" s="70" customFormat="1" x14ac:dyDescent="0.15">
      <c r="A15" s="640"/>
      <c r="B15" s="81" t="s">
        <v>126</v>
      </c>
    </row>
    <row r="16" spans="1:4" s="70" customFormat="1" x14ac:dyDescent="0.15">
      <c r="A16" s="640"/>
      <c r="B16" s="81" t="s">
        <v>68</v>
      </c>
    </row>
    <row r="17" spans="1:2" x14ac:dyDescent="0.15">
      <c r="A17" s="641"/>
      <c r="B17" s="82"/>
    </row>
    <row r="18" spans="1:2" s="215" customFormat="1" x14ac:dyDescent="0.15"/>
    <row r="19" spans="1:2" s="215" customFormat="1" x14ac:dyDescent="0.15">
      <c r="A19" s="639" t="s">
        <v>279</v>
      </c>
      <c r="B19" s="84" t="s">
        <v>180</v>
      </c>
    </row>
    <row r="20" spans="1:2" s="215" customFormat="1" x14ac:dyDescent="0.15">
      <c r="A20" s="640"/>
      <c r="B20" s="237">
        <v>1</v>
      </c>
    </row>
    <row r="21" spans="1:2" s="215" customFormat="1" x14ac:dyDescent="0.15">
      <c r="A21" s="640"/>
      <c r="B21" s="81" t="s">
        <v>43</v>
      </c>
    </row>
    <row r="22" spans="1:2" s="215" customFormat="1" x14ac:dyDescent="0.15">
      <c r="A22" s="640"/>
      <c r="B22" s="81" t="s">
        <v>44</v>
      </c>
    </row>
    <row r="23" spans="1:2" s="215" customFormat="1" x14ac:dyDescent="0.15">
      <c r="A23" s="640"/>
      <c r="B23" s="81" t="s">
        <v>45</v>
      </c>
    </row>
    <row r="24" spans="1:2" s="215" customFormat="1" x14ac:dyDescent="0.15">
      <c r="A24" s="640"/>
      <c r="B24" s="81" t="s">
        <v>46</v>
      </c>
    </row>
    <row r="25" spans="1:2" s="215" customFormat="1" x14ac:dyDescent="0.15">
      <c r="A25" s="640"/>
      <c r="B25" s="81" t="s">
        <v>47</v>
      </c>
    </row>
    <row r="26" spans="1:2" s="215" customFormat="1" x14ac:dyDescent="0.15">
      <c r="A26" s="640"/>
      <c r="B26" s="81" t="s">
        <v>48</v>
      </c>
    </row>
    <row r="27" spans="1:2" s="215" customFormat="1" x14ac:dyDescent="0.15">
      <c r="A27" s="641"/>
      <c r="B27" s="82"/>
    </row>
    <row r="29" spans="1:2" x14ac:dyDescent="0.15">
      <c r="A29" s="642" t="s">
        <v>257</v>
      </c>
      <c r="B29" s="213">
        <v>1</v>
      </c>
    </row>
    <row r="30" spans="1:2" x14ac:dyDescent="0.15">
      <c r="A30" s="643"/>
      <c r="B30" s="212">
        <v>2</v>
      </c>
    </row>
    <row r="31" spans="1:2" s="215" customFormat="1" x14ac:dyDescent="0.15">
      <c r="A31" s="644"/>
      <c r="B31" s="211">
        <v>3</v>
      </c>
    </row>
    <row r="33" spans="1:4" x14ac:dyDescent="0.15">
      <c r="A33" s="635" t="s">
        <v>271</v>
      </c>
      <c r="B33" s="83" t="s">
        <v>261</v>
      </c>
      <c r="C33" s="84" t="s">
        <v>269</v>
      </c>
    </row>
    <row r="34" spans="1:4" x14ac:dyDescent="0.15">
      <c r="A34" s="637"/>
      <c r="B34" s="80" t="s">
        <v>267</v>
      </c>
      <c r="C34" s="81">
        <v>1</v>
      </c>
    </row>
    <row r="35" spans="1:4" s="215" customFormat="1" x14ac:dyDescent="0.15">
      <c r="A35" s="637"/>
      <c r="B35" s="80" t="s">
        <v>268</v>
      </c>
      <c r="C35" s="81">
        <v>2</v>
      </c>
    </row>
    <row r="36" spans="1:4" s="215" customFormat="1" x14ac:dyDescent="0.15">
      <c r="A36" s="637"/>
      <c r="B36" s="80"/>
      <c r="C36" s="81"/>
    </row>
    <row r="37" spans="1:4" x14ac:dyDescent="0.15">
      <c r="A37" s="638"/>
      <c r="B37" s="32"/>
      <c r="C37" s="82"/>
    </row>
    <row r="39" spans="1:4" x14ac:dyDescent="0.15">
      <c r="A39" s="635" t="s">
        <v>272</v>
      </c>
      <c r="B39" s="235" t="s">
        <v>262</v>
      </c>
      <c r="C39" s="84" t="s">
        <v>270</v>
      </c>
    </row>
    <row r="40" spans="1:4" x14ac:dyDescent="0.15">
      <c r="A40" s="637"/>
      <c r="B40" s="80">
        <v>0</v>
      </c>
      <c r="C40" s="81">
        <v>1</v>
      </c>
    </row>
    <row r="41" spans="1:4" x14ac:dyDescent="0.15">
      <c r="A41" s="637"/>
      <c r="B41" s="80">
        <v>5</v>
      </c>
      <c r="C41" s="81">
        <v>2</v>
      </c>
    </row>
    <row r="42" spans="1:4" x14ac:dyDescent="0.15">
      <c r="A42" s="637"/>
      <c r="B42" s="80">
        <v>10</v>
      </c>
      <c r="C42" s="81">
        <v>3</v>
      </c>
    </row>
    <row r="43" spans="1:4" x14ac:dyDescent="0.15">
      <c r="A43" s="637"/>
      <c r="B43" s="80">
        <v>15</v>
      </c>
      <c r="C43" s="81">
        <v>4</v>
      </c>
    </row>
    <row r="44" spans="1:4" x14ac:dyDescent="0.15">
      <c r="A44" s="637"/>
      <c r="B44" s="80">
        <v>20</v>
      </c>
      <c r="C44" s="81">
        <v>5</v>
      </c>
    </row>
    <row r="45" spans="1:4" s="215" customFormat="1" x14ac:dyDescent="0.15">
      <c r="A45" s="637"/>
      <c r="B45" s="80">
        <v>25</v>
      </c>
      <c r="C45" s="81">
        <v>6</v>
      </c>
    </row>
    <row r="46" spans="1:4" x14ac:dyDescent="0.15">
      <c r="A46" s="638"/>
      <c r="B46" s="32"/>
      <c r="C46" s="82"/>
    </row>
    <row r="48" spans="1:4" x14ac:dyDescent="0.15">
      <c r="A48" s="635" t="s">
        <v>647</v>
      </c>
      <c r="B48" s="440" t="s">
        <v>643</v>
      </c>
      <c r="C48" s="441" t="s">
        <v>645</v>
      </c>
      <c r="D48" s="441" t="s">
        <v>646</v>
      </c>
    </row>
    <row r="49" spans="1:4" x14ac:dyDescent="0.15">
      <c r="A49" s="637"/>
      <c r="B49" s="451">
        <v>1</v>
      </c>
      <c r="C49" s="442">
        <v>250</v>
      </c>
      <c r="D49" s="443">
        <f>C49*12</f>
        <v>3000</v>
      </c>
    </row>
    <row r="50" spans="1:4" x14ac:dyDescent="0.15">
      <c r="A50" s="637"/>
      <c r="B50" s="451" t="s">
        <v>43</v>
      </c>
      <c r="C50" s="442">
        <v>300</v>
      </c>
      <c r="D50" s="443">
        <f t="shared" ref="D50:D55" si="0">C50*12</f>
        <v>3600</v>
      </c>
    </row>
    <row r="51" spans="1:4" x14ac:dyDescent="0.15">
      <c r="A51" s="637"/>
      <c r="B51" s="451" t="s">
        <v>44</v>
      </c>
      <c r="C51" s="442">
        <v>400</v>
      </c>
      <c r="D51" s="443">
        <f t="shared" si="0"/>
        <v>4800</v>
      </c>
    </row>
    <row r="52" spans="1:4" x14ac:dyDescent="0.15">
      <c r="A52" s="637"/>
      <c r="B52" s="451" t="s">
        <v>45</v>
      </c>
      <c r="C52" s="442">
        <v>850</v>
      </c>
      <c r="D52" s="443">
        <f t="shared" si="0"/>
        <v>10200</v>
      </c>
    </row>
    <row r="53" spans="1:4" x14ac:dyDescent="0.15">
      <c r="A53" s="637"/>
      <c r="B53" s="451" t="s">
        <v>46</v>
      </c>
      <c r="C53" s="442">
        <v>1000</v>
      </c>
      <c r="D53" s="443">
        <f t="shared" si="0"/>
        <v>12000</v>
      </c>
    </row>
    <row r="54" spans="1:4" x14ac:dyDescent="0.15">
      <c r="A54" s="637"/>
      <c r="B54" s="451" t="s">
        <v>47</v>
      </c>
      <c r="C54" s="442">
        <v>2000</v>
      </c>
      <c r="D54" s="443">
        <f t="shared" si="0"/>
        <v>24000</v>
      </c>
    </row>
    <row r="55" spans="1:4" x14ac:dyDescent="0.15">
      <c r="A55" s="638"/>
      <c r="B55" s="452" t="s">
        <v>48</v>
      </c>
      <c r="C55" s="444">
        <v>2500</v>
      </c>
      <c r="D55" s="445">
        <f t="shared" si="0"/>
        <v>30000</v>
      </c>
    </row>
    <row r="57" spans="1:4" x14ac:dyDescent="0.15">
      <c r="A57" s="635" t="s">
        <v>26</v>
      </c>
      <c r="B57" s="440" t="s">
        <v>756</v>
      </c>
      <c r="C57" s="441" t="s">
        <v>26</v>
      </c>
    </row>
    <row r="58" spans="1:4" s="215" customFormat="1" x14ac:dyDescent="0.15">
      <c r="A58" s="636"/>
      <c r="B58" s="238" t="s">
        <v>692</v>
      </c>
      <c r="C58" s="81" t="s">
        <v>693</v>
      </c>
    </row>
    <row r="59" spans="1:4" x14ac:dyDescent="0.15">
      <c r="A59" s="637"/>
      <c r="B59" s="238" t="s">
        <v>694</v>
      </c>
      <c r="C59" s="81" t="s">
        <v>695</v>
      </c>
    </row>
    <row r="60" spans="1:4" x14ac:dyDescent="0.15">
      <c r="A60" s="637"/>
      <c r="B60" s="238" t="s">
        <v>696</v>
      </c>
      <c r="C60" s="81" t="s">
        <v>697</v>
      </c>
    </row>
    <row r="61" spans="1:4" x14ac:dyDescent="0.15">
      <c r="A61" s="637"/>
      <c r="B61" s="238" t="s">
        <v>698</v>
      </c>
      <c r="C61" s="81" t="s">
        <v>699</v>
      </c>
    </row>
    <row r="62" spans="1:4" x14ac:dyDescent="0.15">
      <c r="A62" s="637"/>
      <c r="B62" s="238" t="s">
        <v>700</v>
      </c>
      <c r="C62" s="81" t="s">
        <v>701</v>
      </c>
    </row>
    <row r="63" spans="1:4" x14ac:dyDescent="0.15">
      <c r="A63" s="637"/>
      <c r="B63" s="238" t="s">
        <v>702</v>
      </c>
      <c r="C63" s="81" t="s">
        <v>703</v>
      </c>
    </row>
    <row r="64" spans="1:4" x14ac:dyDescent="0.15">
      <c r="A64" s="637"/>
      <c r="B64" s="238" t="s">
        <v>704</v>
      </c>
      <c r="C64" s="81" t="s">
        <v>705</v>
      </c>
    </row>
    <row r="65" spans="1:3" x14ac:dyDescent="0.15">
      <c r="A65" s="637"/>
      <c r="B65" s="238" t="s">
        <v>706</v>
      </c>
      <c r="C65" s="81" t="s">
        <v>707</v>
      </c>
    </row>
    <row r="66" spans="1:3" x14ac:dyDescent="0.15">
      <c r="A66" s="637"/>
      <c r="B66" s="238" t="s">
        <v>708</v>
      </c>
      <c r="C66" s="81" t="s">
        <v>709</v>
      </c>
    </row>
    <row r="67" spans="1:3" x14ac:dyDescent="0.15">
      <c r="A67" s="637"/>
      <c r="B67" s="238" t="s">
        <v>710</v>
      </c>
      <c r="C67" s="81" t="s">
        <v>711</v>
      </c>
    </row>
    <row r="68" spans="1:3" x14ac:dyDescent="0.15">
      <c r="A68" s="637"/>
      <c r="B68" s="238" t="s">
        <v>712</v>
      </c>
      <c r="C68" s="81" t="s">
        <v>713</v>
      </c>
    </row>
    <row r="69" spans="1:3" x14ac:dyDescent="0.15">
      <c r="A69" s="637"/>
      <c r="B69" s="238" t="s">
        <v>714</v>
      </c>
      <c r="C69" s="81" t="s">
        <v>715</v>
      </c>
    </row>
    <row r="70" spans="1:3" x14ac:dyDescent="0.15">
      <c r="A70" s="637"/>
      <c r="B70" s="238" t="s">
        <v>716</v>
      </c>
      <c r="C70" s="81" t="s">
        <v>717</v>
      </c>
    </row>
    <row r="71" spans="1:3" x14ac:dyDescent="0.15">
      <c r="A71" s="637"/>
      <c r="B71" s="238" t="s">
        <v>718</v>
      </c>
      <c r="C71" s="81" t="s">
        <v>719</v>
      </c>
    </row>
    <row r="72" spans="1:3" x14ac:dyDescent="0.15">
      <c r="A72" s="637"/>
      <c r="B72" s="238" t="s">
        <v>720</v>
      </c>
      <c r="C72" s="81" t="s">
        <v>721</v>
      </c>
    </row>
    <row r="73" spans="1:3" x14ac:dyDescent="0.15">
      <c r="A73" s="637"/>
      <c r="B73" s="238" t="s">
        <v>722</v>
      </c>
      <c r="C73" s="81" t="s">
        <v>723</v>
      </c>
    </row>
    <row r="74" spans="1:3" x14ac:dyDescent="0.15">
      <c r="A74" s="637"/>
      <c r="B74" s="238" t="s">
        <v>724</v>
      </c>
      <c r="C74" s="81" t="s">
        <v>725</v>
      </c>
    </row>
    <row r="75" spans="1:3" x14ac:dyDescent="0.15">
      <c r="A75" s="637"/>
      <c r="B75" s="238" t="s">
        <v>726</v>
      </c>
      <c r="C75" s="81" t="s">
        <v>727</v>
      </c>
    </row>
    <row r="76" spans="1:3" x14ac:dyDescent="0.15">
      <c r="A76" s="637"/>
      <c r="B76" s="238" t="s">
        <v>728</v>
      </c>
      <c r="C76" s="81" t="s">
        <v>729</v>
      </c>
    </row>
    <row r="77" spans="1:3" x14ac:dyDescent="0.15">
      <c r="A77" s="637"/>
      <c r="B77" s="238" t="s">
        <v>730</v>
      </c>
      <c r="C77" s="81" t="s">
        <v>731</v>
      </c>
    </row>
    <row r="78" spans="1:3" x14ac:dyDescent="0.15">
      <c r="A78" s="637"/>
      <c r="B78" s="238" t="s">
        <v>732</v>
      </c>
      <c r="C78" s="81" t="s">
        <v>733</v>
      </c>
    </row>
    <row r="79" spans="1:3" x14ac:dyDescent="0.15">
      <c r="A79" s="637"/>
      <c r="B79" s="238" t="s">
        <v>734</v>
      </c>
      <c r="C79" s="81" t="s">
        <v>735</v>
      </c>
    </row>
    <row r="80" spans="1:3" x14ac:dyDescent="0.15">
      <c r="A80" s="637"/>
      <c r="B80" s="238" t="s">
        <v>736</v>
      </c>
      <c r="C80" s="81" t="s">
        <v>737</v>
      </c>
    </row>
    <row r="81" spans="1:3" x14ac:dyDescent="0.15">
      <c r="A81" s="637"/>
      <c r="B81" s="238" t="s">
        <v>738</v>
      </c>
      <c r="C81" s="81" t="s">
        <v>739</v>
      </c>
    </row>
    <row r="82" spans="1:3" x14ac:dyDescent="0.15">
      <c r="A82" s="637"/>
      <c r="B82" s="238" t="s">
        <v>740</v>
      </c>
      <c r="C82" s="81" t="s">
        <v>741</v>
      </c>
    </row>
    <row r="83" spans="1:3" x14ac:dyDescent="0.15">
      <c r="A83" s="637"/>
      <c r="B83" s="238" t="s">
        <v>742</v>
      </c>
      <c r="C83" s="81" t="s">
        <v>743</v>
      </c>
    </row>
    <row r="84" spans="1:3" x14ac:dyDescent="0.15">
      <c r="A84" s="637"/>
      <c r="B84" s="238" t="s">
        <v>744</v>
      </c>
      <c r="C84" s="81" t="s">
        <v>745</v>
      </c>
    </row>
    <row r="85" spans="1:3" x14ac:dyDescent="0.15">
      <c r="A85" s="637"/>
      <c r="B85" s="238" t="s">
        <v>746</v>
      </c>
      <c r="C85" s="81" t="s">
        <v>747</v>
      </c>
    </row>
    <row r="86" spans="1:3" x14ac:dyDescent="0.15">
      <c r="A86" s="637"/>
      <c r="B86" s="238" t="s">
        <v>748</v>
      </c>
      <c r="C86" s="81" t="s">
        <v>749</v>
      </c>
    </row>
    <row r="87" spans="1:3" x14ac:dyDescent="0.15">
      <c r="A87" s="637"/>
      <c r="B87" s="238" t="s">
        <v>750</v>
      </c>
      <c r="C87" s="81" t="s">
        <v>751</v>
      </c>
    </row>
    <row r="88" spans="1:3" x14ac:dyDescent="0.15">
      <c r="A88" s="637"/>
      <c r="B88" s="238" t="s">
        <v>752</v>
      </c>
      <c r="C88" s="81" t="s">
        <v>753</v>
      </c>
    </row>
    <row r="89" spans="1:3" x14ac:dyDescent="0.15">
      <c r="A89" s="638"/>
      <c r="B89" s="239" t="s">
        <v>754</v>
      </c>
      <c r="C89" s="82" t="s">
        <v>755</v>
      </c>
    </row>
  </sheetData>
  <mergeCells count="8">
    <mergeCell ref="A57:A89"/>
    <mergeCell ref="A48:A55"/>
    <mergeCell ref="A39:A46"/>
    <mergeCell ref="A1:A12"/>
    <mergeCell ref="A14:A17"/>
    <mergeCell ref="A29:A31"/>
    <mergeCell ref="A33:A37"/>
    <mergeCell ref="A19:A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116</vt:i4>
      </vt:variant>
    </vt:vector>
  </HeadingPairs>
  <TitlesOfParts>
    <vt:vector size="130" baseType="lpstr">
      <vt:lpstr>Inputs_MySOL</vt:lpstr>
      <vt:lpstr>Inputs</vt:lpstr>
      <vt:lpstr>Proposal_Eng</vt:lpstr>
      <vt:lpstr>Proposal_Esp</vt:lpstr>
      <vt:lpstr>ContractData</vt:lpstr>
      <vt:lpstr>SalesSupport</vt:lpstr>
      <vt:lpstr>Unit_Internal</vt:lpstr>
      <vt:lpstr>Model</vt:lpstr>
      <vt:lpstr>Savings</vt:lpstr>
      <vt:lpstr>Components</vt:lpstr>
      <vt:lpstr>CFE_History_DAC</vt:lpstr>
      <vt:lpstr>CFE_History_Tarifa2</vt:lpstr>
      <vt:lpstr>CFE_History_Tarifa1</vt:lpstr>
      <vt:lpstr>ListData</vt:lpstr>
      <vt:lpstr>CFE_CargoFijo</vt:lpstr>
      <vt:lpstr>CFE_Hilos</vt:lpstr>
      <vt:lpstr>CFE_Limite</vt:lpstr>
      <vt:lpstr>CFE_RateCategory</vt:lpstr>
      <vt:lpstr>CFE_RatePeriod</vt:lpstr>
      <vt:lpstr>CFE_RatePreTaxes</vt:lpstr>
      <vt:lpstr>CFE_RateWithDAP</vt:lpstr>
      <vt:lpstr>CFE_Region</vt:lpstr>
      <vt:lpstr>CFE_YrIncreasePct</vt:lpstr>
      <vt:lpstr>CorpTaxRate</vt:lpstr>
      <vt:lpstr>Cust_Address</vt:lpstr>
      <vt:lpstr>Cust_Bank</vt:lpstr>
      <vt:lpstr>Cust_BankAcct</vt:lpstr>
      <vt:lpstr>Cust_CC_Expiry</vt:lpstr>
      <vt:lpstr>Cust_CC_No</vt:lpstr>
      <vt:lpstr>Cust_CC_SecCode</vt:lpstr>
      <vt:lpstr>Cust_CC_Type</vt:lpstr>
      <vt:lpstr>Cust_CfeServNum</vt:lpstr>
      <vt:lpstr>Cust_City</vt:lpstr>
      <vt:lpstr>Cust_Co_DeedDated</vt:lpstr>
      <vt:lpstr>Cust_Co_DeedNo</vt:lpstr>
      <vt:lpstr>Cust_Co_DeedNotaryFolioNo</vt:lpstr>
      <vt:lpstr>Cust_Co_DeedNotaryLoc</vt:lpstr>
      <vt:lpstr>Cust_Co_DeedNotaryName</vt:lpstr>
      <vt:lpstr>Cust_Co_DeedNotaryNo</vt:lpstr>
      <vt:lpstr>Cust_Co_DeedNotaryRegLoc</vt:lpstr>
      <vt:lpstr>Cust_Co_Rep</vt:lpstr>
      <vt:lpstr>Cust_Co_Rep_DeedDated</vt:lpstr>
      <vt:lpstr>Cust_Co_Rep_DeedNo</vt:lpstr>
      <vt:lpstr>Cust_Co_Rep_DeedNotaryFolioNo</vt:lpstr>
      <vt:lpstr>Cust_Co_Rep_DeedNotaryLoc</vt:lpstr>
      <vt:lpstr>Cust_Co_Rep_DeedNotaryName</vt:lpstr>
      <vt:lpstr>Cust_Co_Rep_DeedNotaryNo</vt:lpstr>
      <vt:lpstr>Cust_Co_Rep_DeedNotaryRegLoc</vt:lpstr>
      <vt:lpstr>Cust_Company</vt:lpstr>
      <vt:lpstr>Cust_Email</vt:lpstr>
      <vt:lpstr>Cust_FinalPymtAtTermEnd</vt:lpstr>
      <vt:lpstr>Cust_FirstName</vt:lpstr>
      <vt:lpstr>Cust_Ind_ID</vt:lpstr>
      <vt:lpstr>Cust_Ind_Natl</vt:lpstr>
      <vt:lpstr>Cust_InitialPymt</vt:lpstr>
      <vt:lpstr>Cust_LastName</vt:lpstr>
      <vt:lpstr>Cust_LastName2</vt:lpstr>
      <vt:lpstr>Cust_LeaseTermYears</vt:lpstr>
      <vt:lpstr>Cust_SavingsRate</vt:lpstr>
      <vt:lpstr>Cust_State</vt:lpstr>
      <vt:lpstr>Cust_Telephone</vt:lpstr>
      <vt:lpstr>Cust_Zip</vt:lpstr>
      <vt:lpstr>CustUsage_kWhPerYear</vt:lpstr>
      <vt:lpstr>CustUsage_LimitBasicoNonSummer</vt:lpstr>
      <vt:lpstr>CustUsage_LimitBasicoSummer</vt:lpstr>
      <vt:lpstr>DAP</vt:lpstr>
      <vt:lpstr>EqInv_Equity</vt:lpstr>
      <vt:lpstr>EqInv_ReqIRR</vt:lpstr>
      <vt:lpstr>FinYrIncr</vt:lpstr>
      <vt:lpstr>InflationRate</vt:lpstr>
      <vt:lpstr>InverterLossPct</vt:lpstr>
      <vt:lpstr>IVA</vt:lpstr>
      <vt:lpstr>JO</vt:lpstr>
      <vt:lpstr>JO_Co_DeedDated</vt:lpstr>
      <vt:lpstr>JO_Co_DeedNo</vt:lpstr>
      <vt:lpstr>JO_Co_DeedNotaryFolioNo</vt:lpstr>
      <vt:lpstr>JO_Co_DeedNotaryLoc</vt:lpstr>
      <vt:lpstr>JO_Co_DeedNotaryName</vt:lpstr>
      <vt:lpstr>JO_Co_DeedNotaryNo</vt:lpstr>
      <vt:lpstr>JO_Co_DeedNotaryRegLoc</vt:lpstr>
      <vt:lpstr>JO_Co_Rep</vt:lpstr>
      <vt:lpstr>JO_Co_Rep_DeedDated</vt:lpstr>
      <vt:lpstr>JO_Co_Rep_DeedNo</vt:lpstr>
      <vt:lpstr>JO_Co_Rep_DeedNotaryLoc</vt:lpstr>
      <vt:lpstr>JO_Co_Rep_DeedNotaryName</vt:lpstr>
      <vt:lpstr>JO_Co_Rep_DeedNotaryNo</vt:lpstr>
      <vt:lpstr>JO_Email</vt:lpstr>
      <vt:lpstr>JO_Ind_ID</vt:lpstr>
      <vt:lpstr>JO_Ind_Natl</vt:lpstr>
      <vt:lpstr>MXNperUSD</vt:lpstr>
      <vt:lpstr>MySol_TotalRate</vt:lpstr>
      <vt:lpstr>OpExpensePerKwUSD</vt:lpstr>
      <vt:lpstr>Panel_PTC</vt:lpstr>
      <vt:lpstr>Panel_STC</vt:lpstr>
      <vt:lpstr>priceEGaugeUSD</vt:lpstr>
      <vt:lpstr>Proposal_Eng!Print_Area</vt:lpstr>
      <vt:lpstr>Proposal_Esp!Print_Area</vt:lpstr>
      <vt:lpstr>PVPanelDefault</vt:lpstr>
      <vt:lpstr>Rng_InverterLookupByPhase</vt:lpstr>
      <vt:lpstr>Rng_Inverters</vt:lpstr>
      <vt:lpstr>Rng_Optimizers</vt:lpstr>
      <vt:lpstr>Rng_PVPanels</vt:lpstr>
      <vt:lpstr>Rng_SysMon</vt:lpstr>
      <vt:lpstr>Rng_SysMon_NonMicro</vt:lpstr>
      <vt:lpstr>Scenario_InitialPymt</vt:lpstr>
      <vt:lpstr>Scenario_InitialPymt_Label</vt:lpstr>
      <vt:lpstr>Scenario_Variable</vt:lpstr>
      <vt:lpstr>Scenario_Variable_Label</vt:lpstr>
      <vt:lpstr>SolarSvcProvider</vt:lpstr>
      <vt:lpstr>Sys_Factor</vt:lpstr>
      <vt:lpstr>Sys_FundPricePerWatt</vt:lpstr>
      <vt:lpstr>Sys_FundPriceTotal</vt:lpstr>
      <vt:lpstr>Sys_kWhPerYear</vt:lpstr>
      <vt:lpstr>Sys_NumPanels</vt:lpstr>
      <vt:lpstr>Sys_OtherLossPct</vt:lpstr>
      <vt:lpstr>Sys_SizeWatts</vt:lpstr>
      <vt:lpstr>Sys_SunHours</vt:lpstr>
      <vt:lpstr>Sys_YrDegradationRate</vt:lpstr>
      <vt:lpstr>SysMonDefault_NonMicro</vt:lpstr>
      <vt:lpstr>SysSpec_CommAcc_Units</vt:lpstr>
      <vt:lpstr>SysSpec_Inverter</vt:lpstr>
      <vt:lpstr>SysSpec_Inverters_Units</vt:lpstr>
      <vt:lpstr>SysSpec_Optimizers_Units</vt:lpstr>
      <vt:lpstr>SysSpec_PV</vt:lpstr>
      <vt:lpstr>SysSpec_PV_Units</vt:lpstr>
      <vt:lpstr>SysSpec_SysMon_Units</vt:lpstr>
      <vt:lpstr>SysSpec_SysMonitor</vt:lpstr>
      <vt:lpstr>Table_DataStart</vt:lpstr>
      <vt:lpstr>Table_XAxisStart</vt:lpstr>
      <vt:lpstr>Table_YAxisStart</vt:lpstr>
    </vt:vector>
  </TitlesOfParts>
  <Company>Director General Mexenova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Vazquez</dc:creator>
  <cp:lastModifiedBy>Ben Rogers</cp:lastModifiedBy>
  <cp:lastPrinted>2017-07-27T23:06:29Z</cp:lastPrinted>
  <dcterms:created xsi:type="dcterms:W3CDTF">2017-04-20T00:13:46Z</dcterms:created>
  <dcterms:modified xsi:type="dcterms:W3CDTF">2017-07-28T16:36:20Z</dcterms:modified>
</cp:coreProperties>
</file>
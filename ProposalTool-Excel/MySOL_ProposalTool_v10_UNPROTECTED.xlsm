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oge\Google Drive\ProjectFinance\ProposalTool\"/>
    </mc:Choice>
  </mc:AlternateContent>
  <bookViews>
    <workbookView xWindow="0" yWindow="0" windowWidth="20490" windowHeight="9105" tabRatio="751" activeTab="1"/>
  </bookViews>
  <sheets>
    <sheet name="Inputs_MySOL" sheetId="19" r:id="rId1"/>
    <sheet name="Inputs" sheetId="22" r:id="rId2"/>
    <sheet name="Proposal_Eng" sheetId="26" r:id="rId3"/>
    <sheet name="Proposal_Esp" sheetId="25" r:id="rId4"/>
    <sheet name="ContractData" sheetId="31" r:id="rId5"/>
    <sheet name="SalesSupport" sheetId="32" r:id="rId6"/>
    <sheet name="Model" sheetId="30" r:id="rId7"/>
    <sheet name="Savings" sheetId="4" r:id="rId8"/>
    <sheet name="Unit_Internal" sheetId="1" r:id="rId9"/>
    <sheet name="Components" sheetId="15" r:id="rId10"/>
    <sheet name="CFE_History_DAC" sheetId="9" r:id="rId11"/>
    <sheet name="CFE_History_Tarifa2" sheetId="18" r:id="rId12"/>
    <sheet name="CFE_History_Tarifa1" sheetId="29" r:id="rId13"/>
    <sheet name="Irradiance" sheetId="33" r:id="rId14"/>
    <sheet name="ListData" sheetId="17" r:id="rId15"/>
  </sheets>
  <functionGroups builtInGroupCount="18"/>
  <definedNames>
    <definedName name="_xlnm._FilterDatabase" localSheetId="13" hidden="1">Irradiance!$C$1:$C$649</definedName>
    <definedName name="_Order1" hidden="1">255</definedName>
    <definedName name="_Order2" hidden="1">255</definedName>
    <definedName name="AddToFinalPymt_OM">Inputs_MySOL!$G$37</definedName>
    <definedName name="BlendedReqIRR">Inputs_MySOL!$B$15</definedName>
    <definedName name="CFE_CargoFijo">Inputs!$B$21</definedName>
    <definedName name="CFE_Hilos">Inputs!$B$16</definedName>
    <definedName name="CFE_Limite">Inputs!$B$18</definedName>
    <definedName name="CFE_RateCategory">Inputs!$B$17</definedName>
    <definedName name="CFE_RatePeriod">Inputs!$B$20</definedName>
    <definedName name="CFE_RatePreTaxes">Inputs!$B$22</definedName>
    <definedName name="CFE_RateWithDAP">Inputs_MySOL!$G$4</definedName>
    <definedName name="CFE_Region">Inputs!$B$19</definedName>
    <definedName name="CFE_YrIncreasePct">Inputs_MySOL!$B$6</definedName>
    <definedName name="CorpTaxRate">Inputs_MySOL!$B$5</definedName>
    <definedName name="Cust_Address">Inputs!$B$10</definedName>
    <definedName name="Cust_Bank">ContractData!$C$12</definedName>
    <definedName name="Cust_BankAcct">ContractData!$C$13</definedName>
    <definedName name="Cust_CC_Expiry">ContractData!$C$16</definedName>
    <definedName name="Cust_CC_No">ContractData!$C$15</definedName>
    <definedName name="Cust_CC_SecCode">ContractData!$C$17</definedName>
    <definedName name="Cust_CC_Type">ContractData!$C$14</definedName>
    <definedName name="Cust_CfeServNum">Inputs!$B$5</definedName>
    <definedName name="Cust_City">Inputs!$B$12</definedName>
    <definedName name="Cust_Co_DeedDated">ContractData!$C$31</definedName>
    <definedName name="Cust_Co_DeedNo">ContractData!$C$30</definedName>
    <definedName name="Cust_Co_DeedNotaryFolioNo">ContractData!$C$36</definedName>
    <definedName name="Cust_Co_DeedNotaryLoc">ContractData!$C$33</definedName>
    <definedName name="Cust_Co_DeedNotaryName">ContractData!$C$34</definedName>
    <definedName name="Cust_Co_DeedNotaryNo">ContractData!$C$32</definedName>
    <definedName name="Cust_Co_DeedNotaryRegLoc">ContractData!$C$35</definedName>
    <definedName name="Cust_Co_Rep">ContractData!$C$37</definedName>
    <definedName name="Cust_Co_Rep_DeedDated">ContractData!$C$39</definedName>
    <definedName name="Cust_Co_Rep_DeedNo">ContractData!$C$38</definedName>
    <definedName name="Cust_Co_Rep_DeedNotaryFolioNo">ContractData!$C$44</definedName>
    <definedName name="Cust_Co_Rep_DeedNotaryLoc">ContractData!$C$41</definedName>
    <definedName name="Cust_Co_Rep_DeedNotaryName">ContractData!$C$42</definedName>
    <definedName name="Cust_Co_Rep_DeedNotaryNo">ContractData!$C$40</definedName>
    <definedName name="Cust_Co_Rep_DeedNotaryRegLoc">ContractData!$C$43</definedName>
    <definedName name="Cust_Colonia">Inputs!$B$11</definedName>
    <definedName name="Cust_Company">Inputs!$B$6</definedName>
    <definedName name="Cust_Email">ContractData!$C$7</definedName>
    <definedName name="Cust_FirstName">Inputs!$B$7</definedName>
    <definedName name="Cust_Ind_ID">ContractData!$C$27</definedName>
    <definedName name="Cust_Ind_Natl">ContractData!$C$26</definedName>
    <definedName name="Cust_InitialPymt">Inputs_MySOL!$B$31</definedName>
    <definedName name="Cust_LastName">Inputs!$B$8</definedName>
    <definedName name="Cust_LastName2">Inputs!$B$9</definedName>
    <definedName name="Cust_LeaseTermYears">Inputs!$U$3</definedName>
    <definedName name="Cust_NominalPymtAtTermEnd">Inputs_MySOL!$B$21</definedName>
    <definedName name="Cust_SavingsRate">Inputs!$U$4</definedName>
    <definedName name="Cust_State">Inputs!$B$13</definedName>
    <definedName name="Cust_Telephone">ContractData!$C$6</definedName>
    <definedName name="Cust_TotalPymtAtTermEnd">Inputs_MySOL!$B$22</definedName>
    <definedName name="Cust_Zip">Inputs!$B$14</definedName>
    <definedName name="CustUsage_kWhPerYear">Inputs!$B$32</definedName>
    <definedName name="CustUsage_LimitBasicoNonSummer">Savings!$AV$3</definedName>
    <definedName name="CustUsage_LimitBasicoSummer">Savings!$AQ$3</definedName>
    <definedName name="CustUsage_LimitIntermedioNonSummer">Savings!$AW$3</definedName>
    <definedName name="CustUsage_LimitIntermedioSummer">Savings!$AR$3</definedName>
    <definedName name="DAP">Inputs!$B$23</definedName>
    <definedName name="DebtInv_Pct">Inputs_MySOL!$B$8</definedName>
    <definedName name="DebtInv_PctCashFlow">Model!$C$30</definedName>
    <definedName name="DebtInv_ReqIRR">Inputs_MySOL!$B$14</definedName>
    <definedName name="EqInv_Equity">Inputs_MySOL!$B$17</definedName>
    <definedName name="EqInv_Pct">Inputs_MySOL!$B$9</definedName>
    <definedName name="EqInv_PctCashFlow">Model!$C$29</definedName>
    <definedName name="EqInv_ReqIRR">Inputs_MySOL!$D$39</definedName>
    <definedName name="FinYrIncr">Inputs_MySOL!$B$12</definedName>
    <definedName name="ImportDutyOnPVPanels">Inputs_MySOL!$B$27</definedName>
    <definedName name="InclUpfront_EGauge">Inputs_MySOL!$B$33</definedName>
    <definedName name="InclUpfront_OM">Inputs_MySOL!$B$34</definedName>
    <definedName name="InflationRate">Inputs_MySOL!$B$4</definedName>
    <definedName name="InverterLossPct">Inputs_MySOL!$G$15</definedName>
    <definedName name="IVA">Inputs_MySOL!$B$3</definedName>
    <definedName name="JO">ContractData!$C$49</definedName>
    <definedName name="JO_Co_DeedDated">ContractData!$C$58</definedName>
    <definedName name="JO_Co_DeedNo">ContractData!$C$57</definedName>
    <definedName name="JO_Co_DeedNotaryFolioNo">ContractData!$C$63</definedName>
    <definedName name="JO_Co_DeedNotaryLoc">ContractData!$C$60</definedName>
    <definedName name="JO_Co_DeedNotaryName">ContractData!$C$61</definedName>
    <definedName name="JO_Co_DeedNotaryNo">ContractData!$C$59</definedName>
    <definedName name="JO_Co_DeedNotaryRegLoc">ContractData!$C$62</definedName>
    <definedName name="JO_Co_Rep">ContractData!$C$64</definedName>
    <definedName name="JO_Co_Rep_DeedDated">ContractData!$C$66</definedName>
    <definedName name="JO_Co_Rep_DeedNo">ContractData!$C$65</definedName>
    <definedName name="JO_Co_Rep_DeedNotaryLoc">ContractData!$C$68</definedName>
    <definedName name="JO_Co_Rep_DeedNotaryName">ContractData!$C$69</definedName>
    <definedName name="JO_Co_Rep_DeedNotaryNo">ContractData!$C$67</definedName>
    <definedName name="JO_Email">ContractData!$C$50</definedName>
    <definedName name="JO_Ind_ID">ContractData!$C$54</definedName>
    <definedName name="JO_Ind_Natl">ContractData!$C$53</definedName>
    <definedName name="MXNperUSD">Inputs_MySOL!$B$2</definedName>
    <definedName name="MySOL_Equity">Inputs_MySOL!$B$18</definedName>
    <definedName name="MySOL_Pct">Inputs_MySOL!$B$10</definedName>
    <definedName name="MySOL_PctCashFlow">Model!$C$31</definedName>
    <definedName name="MySol_TotalRate">Inputs_MySOL!$G$7</definedName>
    <definedName name="OpExpenseAsPctOfCost">Inputs_MySOL!$B$25</definedName>
    <definedName name="OpExpensePerKwMXN">Inputs_MySOL!$B$24</definedName>
    <definedName name="OpExpensePerKwUSD">Inputs_MySOL!$B$23</definedName>
    <definedName name="Panel_PTC">Inputs_MySOL!$G$13</definedName>
    <definedName name="Panel_STC">Inputs_MySOL!$G$12</definedName>
    <definedName name="priceEGaugeUSD">Components!$D$104</definedName>
    <definedName name="_xlnm.Print_Area" localSheetId="2">Proposal_Eng!$A$1:$G$53,Proposal_Eng!$A$65:$G$143,Proposal_Eng!$A$149:$G$227,Proposal_Eng!$A$230:$G$289</definedName>
    <definedName name="_xlnm.Print_Area" localSheetId="3">Proposal_Esp!$A$1:$G$53,Proposal_Esp!$A$65:$G$143,Proposal_Esp!$A$149:$G$227,Proposal_Esp!$A$230:$G$289</definedName>
    <definedName name="PVPanelDefault">Inputs_MySOL!$B$36</definedName>
    <definedName name="Rng_InverterLookupByPhase">Components!$P$24:$R$26</definedName>
    <definedName name="Rng_Inverters">Components!$A$24:$A$95</definedName>
    <definedName name="Rng_IrradianceCols">Irradiance!$A$1:$Q$1</definedName>
    <definedName name="Rng_IrradianceData">Irradiance!$A$2:$Q$649</definedName>
    <definedName name="Rng_IrradianceKeys">Irradiance!$A$2:$A$649</definedName>
    <definedName name="Rng_LeaseTerms">Inputs!$L$2:$R$2</definedName>
    <definedName name="Rng_MonthlyUsage">Inputs!$B$36:$B$47</definedName>
    <definedName name="Rng_Optimizers">Components!$A$17:$A$22</definedName>
    <definedName name="Rng_PVPanels">Components!$A$2:$A$15</definedName>
    <definedName name="Rng_SavingsRates">Inputs!$K$3:$K$23</definedName>
    <definedName name="Rng_ScenarioData">Inputs!$L$3:$R$23</definedName>
    <definedName name="Rng_SysMon">Components!$A$97:$A$102</definedName>
    <definedName name="Rng_SysMon_NonMicro">Components!$R$99</definedName>
    <definedName name="SavingsRate_Incr">Inputs!$F$31</definedName>
    <definedName name="SavingsRate_Max">Inputs!$F$30</definedName>
    <definedName name="SavingsRate_Min">Inputs!$F$29</definedName>
    <definedName name="Scenario_InitialPymt">Inputs!$F$27</definedName>
    <definedName name="Scenario_InitialPymt_Label">Inputs!$D$27</definedName>
    <definedName name="Scenario_Variable">Inputs!$F$26</definedName>
    <definedName name="Scenario_Variable_Label">Inputs!$K$1</definedName>
    <definedName name="SolarSvcProvider">Inputs!$B$3</definedName>
    <definedName name="Sys_Azimuth">Inputs!$B$26</definedName>
    <definedName name="Sys_CostOfBOSElectricalMXN">Unit_Internal!$E$38</definedName>
    <definedName name="Sys_CostOfBOSMechanicalMXN">Unit_Internal!$E$39</definedName>
    <definedName name="Sys_CostOfComponentsMXN">Unit_Internal!$E$35</definedName>
    <definedName name="Sys_CostOfLaborMXN">Unit_Internal!$E$37</definedName>
    <definedName name="Sys_Factor">Inputs_MySOL!$G$19</definedName>
    <definedName name="Sys_FundPricePerWatt">Inputs_MySOL!$G$23</definedName>
    <definedName name="Sys_FundPriceTotal">Inputs_MySOL!$G$24</definedName>
    <definedName name="Sys_kWhPerYear">Inputs_MySOL!$G$18</definedName>
    <definedName name="Sys_NumPanels">Inputs_MySOL!$G$11</definedName>
    <definedName name="Sys_OtherLossPct">Inputs!$B$30</definedName>
    <definedName name="Sys_SizeWatts">Inputs_MySOL!$G$17</definedName>
    <definedName name="Sys_SunHours">Inputs!$B$29</definedName>
    <definedName name="Sys_SunHoursAvailableTilts">ListData!$F$72</definedName>
    <definedName name="Sys_SunHoursCity">Inputs!$B$25</definedName>
    <definedName name="Sys_Tilt">Inputs!$B$27</definedName>
    <definedName name="Sys_YrDegradationRate">Inputs_MySOL!$B$20</definedName>
    <definedName name="SysMonDefault_NonMicro">Components!$A$99</definedName>
    <definedName name="SysSpec_CommAcc_Units">Inputs!$I$9</definedName>
    <definedName name="SysSpec_Inverter">Inputs!$F$5</definedName>
    <definedName name="SysSpec_Inverters_Units">Inputs!$I$5</definedName>
    <definedName name="SysSpec_Optimizers_Units">Inputs!$I$6</definedName>
    <definedName name="SysSpec_PV">Inputs!$F$4</definedName>
    <definedName name="SysSpec_PV_Units">Inputs!$I$4</definedName>
    <definedName name="SysSpec_SysMon_Units">Inputs!$I$7</definedName>
    <definedName name="SysSpec_SysMonitor">Inputs!$F$7</definedName>
    <definedName name="Table_DataStart">Inputs!$L$3</definedName>
    <definedName name="Table_XAxisStart">Inputs!$L$2</definedName>
    <definedName name="Table_YAxisStart">Inputs!$K$3</definedName>
  </definedNames>
  <calcPr calcId="152511"/>
</workbook>
</file>

<file path=xl/calcChain.xml><?xml version="1.0" encoding="utf-8"?>
<calcChain xmlns="http://schemas.openxmlformats.org/spreadsheetml/2006/main">
  <c r="A164" i="33" l="1"/>
  <c r="A165" i="33"/>
  <c r="A166" i="33"/>
  <c r="A167" i="33"/>
  <c r="A168" i="33"/>
  <c r="A169" i="33"/>
  <c r="A170" i="33"/>
  <c r="A171" i="33"/>
  <c r="A172" i="33"/>
  <c r="A173" i="33"/>
  <c r="A174" i="33"/>
  <c r="A175" i="33"/>
  <c r="A176" i="33"/>
  <c r="A177" i="33"/>
  <c r="A178" i="33"/>
  <c r="A179" i="33"/>
  <c r="A180" i="33"/>
  <c r="A181" i="33"/>
  <c r="A182" i="33"/>
  <c r="A183" i="33"/>
  <c r="A184" i="33"/>
  <c r="A185" i="33"/>
  <c r="A186" i="33"/>
  <c r="A187" i="33"/>
  <c r="A188" i="33"/>
  <c r="A189" i="33"/>
  <c r="A190" i="33"/>
  <c r="A191" i="33"/>
  <c r="A192" i="33"/>
  <c r="A193" i="33"/>
  <c r="A194" i="33"/>
  <c r="A195" i="33"/>
  <c r="A196" i="33"/>
  <c r="A197" i="33"/>
  <c r="A198" i="33"/>
  <c r="A199" i="33"/>
  <c r="A200" i="33"/>
  <c r="A201" i="33"/>
  <c r="A202" i="33"/>
  <c r="A203" i="33"/>
  <c r="A204" i="33"/>
  <c r="A205" i="33"/>
  <c r="A206" i="33"/>
  <c r="A207" i="33"/>
  <c r="A208" i="33"/>
  <c r="A209" i="33"/>
  <c r="A210" i="33"/>
  <c r="A211" i="33"/>
  <c r="A212" i="33"/>
  <c r="A213" i="33"/>
  <c r="A214" i="33"/>
  <c r="A215" i="33"/>
  <c r="A216" i="33"/>
  <c r="A217" i="33"/>
  <c r="A245" i="33"/>
  <c r="A246" i="33"/>
  <c r="A247" i="33"/>
  <c r="A248" i="33"/>
  <c r="A249" i="33"/>
  <c r="A250" i="33"/>
  <c r="A251" i="33"/>
  <c r="A252" i="33"/>
  <c r="A253" i="33"/>
  <c r="A254" i="33"/>
  <c r="A255" i="33"/>
  <c r="A256" i="33"/>
  <c r="A257" i="33"/>
  <c r="A258" i="33"/>
  <c r="A259" i="33"/>
  <c r="A260" i="33"/>
  <c r="A261" i="33"/>
  <c r="A262" i="33"/>
  <c r="A263" i="33"/>
  <c r="A264" i="33"/>
  <c r="A265" i="33"/>
  <c r="A266" i="33"/>
  <c r="A267" i="33"/>
  <c r="A268" i="33"/>
  <c r="A269" i="33"/>
  <c r="A270" i="33"/>
  <c r="A271" i="33"/>
  <c r="A272" i="33"/>
  <c r="A273" i="33"/>
  <c r="A274" i="33"/>
  <c r="A275" i="33"/>
  <c r="A276" i="33"/>
  <c r="A277" i="33"/>
  <c r="A278" i="33"/>
  <c r="A279" i="33"/>
  <c r="A280" i="33"/>
  <c r="A281" i="33"/>
  <c r="A282" i="33"/>
  <c r="A283" i="33"/>
  <c r="A284" i="33"/>
  <c r="A285" i="33"/>
  <c r="A286" i="33"/>
  <c r="A287" i="33"/>
  <c r="A288" i="33"/>
  <c r="A289" i="33"/>
  <c r="A290" i="33"/>
  <c r="A291" i="33"/>
  <c r="A292" i="33"/>
  <c r="A293" i="33"/>
  <c r="A294" i="33"/>
  <c r="A295" i="33"/>
  <c r="A296" i="33"/>
  <c r="A297" i="33"/>
  <c r="A298" i="33"/>
  <c r="A299" i="33"/>
  <c r="A300" i="33"/>
  <c r="A301" i="33"/>
  <c r="A302" i="33"/>
  <c r="A303" i="33"/>
  <c r="A304" i="33"/>
  <c r="A305" i="33"/>
  <c r="A306" i="33"/>
  <c r="A307" i="33"/>
  <c r="A308" i="33"/>
  <c r="A309" i="33"/>
  <c r="A310" i="33"/>
  <c r="A311" i="33"/>
  <c r="A312" i="33"/>
  <c r="A313" i="33"/>
  <c r="A314" i="33"/>
  <c r="A315" i="33"/>
  <c r="A316" i="33"/>
  <c r="A317" i="33"/>
  <c r="A318" i="33"/>
  <c r="A319" i="33"/>
  <c r="A320" i="33"/>
  <c r="A321" i="33"/>
  <c r="A322" i="33"/>
  <c r="A323" i="33"/>
  <c r="A324" i="33"/>
  <c r="A325" i="33"/>
  <c r="A326" i="33"/>
  <c r="A327" i="33"/>
  <c r="A328" i="33"/>
  <c r="A329" i="33"/>
  <c r="A330" i="33"/>
  <c r="A331" i="33"/>
  <c r="A332" i="33"/>
  <c r="A333" i="33"/>
  <c r="A334" i="33"/>
  <c r="A335" i="33"/>
  <c r="A336" i="33"/>
  <c r="A337" i="33"/>
  <c r="A338" i="33"/>
  <c r="A339" i="33"/>
  <c r="A340" i="33"/>
  <c r="A341" i="33"/>
  <c r="A342" i="33"/>
  <c r="A343" i="33"/>
  <c r="A344" i="33"/>
  <c r="A345" i="33"/>
  <c r="A346" i="33"/>
  <c r="A347" i="33"/>
  <c r="A348" i="33"/>
  <c r="A349" i="33"/>
  <c r="A350" i="33"/>
  <c r="A351" i="33"/>
  <c r="A352" i="33"/>
  <c r="A353" i="33"/>
  <c r="A354" i="33"/>
  <c r="A355" i="33"/>
  <c r="A356" i="33"/>
  <c r="A357" i="33"/>
  <c r="A358" i="33"/>
  <c r="A359" i="33"/>
  <c r="A360" i="33"/>
  <c r="A361" i="33"/>
  <c r="A362" i="33"/>
  <c r="A363" i="33"/>
  <c r="A364" i="33"/>
  <c r="A365" i="33"/>
  <c r="A366" i="33"/>
  <c r="A367" i="33"/>
  <c r="A368" i="33"/>
  <c r="A369" i="33"/>
  <c r="A370" i="33"/>
  <c r="A371" i="33"/>
  <c r="A372" i="33"/>
  <c r="A373" i="33"/>
  <c r="A374" i="33"/>
  <c r="A375" i="33"/>
  <c r="A376" i="33"/>
  <c r="A377" i="33"/>
  <c r="A378" i="33"/>
  <c r="A379" i="33"/>
  <c r="A407" i="33"/>
  <c r="A408" i="33"/>
  <c r="A409" i="33"/>
  <c r="A410" i="33"/>
  <c r="A411" i="33"/>
  <c r="A412" i="33"/>
  <c r="A413" i="33"/>
  <c r="A414" i="33"/>
  <c r="A415" i="33"/>
  <c r="A416" i="33"/>
  <c r="A417" i="33"/>
  <c r="A418" i="33"/>
  <c r="A419" i="33"/>
  <c r="A420" i="33"/>
  <c r="A421" i="33"/>
  <c r="A422" i="33"/>
  <c r="A423" i="33"/>
  <c r="A424" i="33"/>
  <c r="A425" i="33"/>
  <c r="A426" i="33"/>
  <c r="A427" i="33"/>
  <c r="A428" i="33"/>
  <c r="A429" i="33"/>
  <c r="A430" i="33"/>
  <c r="A431" i="33"/>
  <c r="A432" i="33"/>
  <c r="A433" i="33"/>
  <c r="A461" i="33"/>
  <c r="A462" i="33"/>
  <c r="A463" i="33"/>
  <c r="A464" i="33"/>
  <c r="A465" i="33"/>
  <c r="A466" i="33"/>
  <c r="A467" i="33"/>
  <c r="A468" i="33"/>
  <c r="A469" i="33"/>
  <c r="A470" i="33"/>
  <c r="A471" i="33"/>
  <c r="A472" i="33"/>
  <c r="A473" i="33"/>
  <c r="A474" i="33"/>
  <c r="A475" i="33"/>
  <c r="A476" i="33"/>
  <c r="A477" i="33"/>
  <c r="A478" i="33"/>
  <c r="A479" i="33"/>
  <c r="A480" i="33"/>
  <c r="A481" i="33"/>
  <c r="A482" i="33"/>
  <c r="A483" i="33"/>
  <c r="A484" i="33"/>
  <c r="A485" i="33"/>
  <c r="A486" i="33"/>
  <c r="A487" i="33"/>
  <c r="A488" i="33"/>
  <c r="A489" i="33"/>
  <c r="A490" i="33"/>
  <c r="A491" i="33"/>
  <c r="A492" i="33"/>
  <c r="A493" i="33"/>
  <c r="A494" i="33"/>
  <c r="A495" i="33"/>
  <c r="A496" i="33"/>
  <c r="A497" i="33"/>
  <c r="A498" i="33"/>
  <c r="A499" i="33"/>
  <c r="A500" i="33"/>
  <c r="A501" i="33"/>
  <c r="A502" i="33"/>
  <c r="A503" i="33"/>
  <c r="A504" i="33"/>
  <c r="A505" i="33"/>
  <c r="A506" i="33"/>
  <c r="A507" i="33"/>
  <c r="A508" i="33"/>
  <c r="A509" i="33"/>
  <c r="A510" i="33"/>
  <c r="A511" i="33"/>
  <c r="A512" i="33"/>
  <c r="A513" i="33"/>
  <c r="A514" i="33"/>
  <c r="A542" i="33"/>
  <c r="A543" i="33"/>
  <c r="A544" i="33"/>
  <c r="A545" i="33"/>
  <c r="A546" i="33"/>
  <c r="A547" i="33"/>
  <c r="A548" i="33"/>
  <c r="A549" i="33"/>
  <c r="A550" i="33"/>
  <c r="A551" i="33"/>
  <c r="A552" i="33"/>
  <c r="A553" i="33"/>
  <c r="A554" i="33"/>
  <c r="A555" i="33"/>
  <c r="A556" i="33"/>
  <c r="A557" i="33"/>
  <c r="A558" i="33"/>
  <c r="A559" i="33"/>
  <c r="A560" i="33"/>
  <c r="A561" i="33"/>
  <c r="A562" i="33"/>
  <c r="A563" i="33"/>
  <c r="A564" i="33"/>
  <c r="A565" i="33"/>
  <c r="A566" i="33"/>
  <c r="A567" i="33"/>
  <c r="A568" i="33"/>
  <c r="A569" i="33"/>
  <c r="A570" i="33"/>
  <c r="A571" i="33"/>
  <c r="A572" i="33"/>
  <c r="A573" i="33"/>
  <c r="A574" i="33"/>
  <c r="A575" i="33"/>
  <c r="A576" i="33"/>
  <c r="A577" i="33"/>
  <c r="A578" i="33"/>
  <c r="A579" i="33"/>
  <c r="A580" i="33"/>
  <c r="A581" i="33"/>
  <c r="A582" i="33"/>
  <c r="A583" i="33"/>
  <c r="A584" i="33"/>
  <c r="A585" i="33"/>
  <c r="A586" i="33"/>
  <c r="A587" i="33"/>
  <c r="A588" i="33"/>
  <c r="A589" i="33"/>
  <c r="A590" i="33"/>
  <c r="A591" i="33"/>
  <c r="A592" i="33"/>
  <c r="A593" i="33"/>
  <c r="A594" i="33"/>
  <c r="A595" i="33"/>
  <c r="Q595" i="33"/>
  <c r="Q594" i="33"/>
  <c r="Q593" i="33"/>
  <c r="Q592" i="33"/>
  <c r="Q591" i="33"/>
  <c r="Q590" i="33"/>
  <c r="Q589" i="33"/>
  <c r="Q588" i="33"/>
  <c r="Q587" i="33"/>
  <c r="Q586" i="33"/>
  <c r="Q585" i="33"/>
  <c r="Q584" i="33"/>
  <c r="Q583" i="33"/>
  <c r="Q582" i="33"/>
  <c r="Q581" i="33"/>
  <c r="Q580" i="33"/>
  <c r="Q579" i="33"/>
  <c r="Q578" i="33"/>
  <c r="Q577" i="33"/>
  <c r="Q576" i="33"/>
  <c r="Q575" i="33"/>
  <c r="Q574" i="33"/>
  <c r="Q573" i="33"/>
  <c r="Q572" i="33"/>
  <c r="Q571" i="33"/>
  <c r="Q570" i="33"/>
  <c r="Q569" i="33"/>
  <c r="Q568" i="33"/>
  <c r="Q567" i="33"/>
  <c r="Q566" i="33"/>
  <c r="Q565" i="33"/>
  <c r="Q564" i="33"/>
  <c r="Q563" i="33"/>
  <c r="Q562" i="33"/>
  <c r="Q561" i="33"/>
  <c r="Q560" i="33"/>
  <c r="Q559" i="33"/>
  <c r="Q558" i="33"/>
  <c r="Q557" i="33"/>
  <c r="Q556" i="33"/>
  <c r="Q555" i="33"/>
  <c r="Q554" i="33"/>
  <c r="Q553" i="33"/>
  <c r="Q552" i="33"/>
  <c r="Q551" i="33"/>
  <c r="Q550" i="33"/>
  <c r="Q549" i="33"/>
  <c r="Q548" i="33"/>
  <c r="Q547" i="33"/>
  <c r="Q546" i="33"/>
  <c r="Q545" i="33"/>
  <c r="Q544" i="33"/>
  <c r="Q543" i="33"/>
  <c r="Q542" i="33"/>
  <c r="Q514" i="33"/>
  <c r="Q513" i="33"/>
  <c r="Q512" i="33"/>
  <c r="Q511" i="33"/>
  <c r="Q510" i="33"/>
  <c r="Q509" i="33"/>
  <c r="Q508" i="33"/>
  <c r="Q507" i="33"/>
  <c r="Q506" i="33"/>
  <c r="Q505" i="33"/>
  <c r="Q504" i="33"/>
  <c r="Q503" i="33"/>
  <c r="Q502" i="33"/>
  <c r="Q501" i="33"/>
  <c r="Q500" i="33"/>
  <c r="Q499" i="33"/>
  <c r="Q498" i="33"/>
  <c r="Q497" i="33"/>
  <c r="Q496" i="33"/>
  <c r="Q495" i="33"/>
  <c r="Q494" i="33"/>
  <c r="Q493" i="33"/>
  <c r="Q492" i="33"/>
  <c r="Q491" i="33"/>
  <c r="Q490" i="33"/>
  <c r="Q489" i="33"/>
  <c r="Q488" i="33"/>
  <c r="Q487" i="33"/>
  <c r="Q486" i="33"/>
  <c r="Q485" i="33"/>
  <c r="Q484" i="33"/>
  <c r="Q483" i="33"/>
  <c r="Q482" i="33"/>
  <c r="Q481" i="33"/>
  <c r="Q480" i="33"/>
  <c r="Q479" i="33"/>
  <c r="Q478" i="33"/>
  <c r="Q477" i="33"/>
  <c r="Q476" i="33"/>
  <c r="Q475" i="33"/>
  <c r="Q474" i="33"/>
  <c r="Q473" i="33"/>
  <c r="Q472" i="33"/>
  <c r="Q471" i="33"/>
  <c r="Q470" i="33"/>
  <c r="Q469" i="33"/>
  <c r="Q468" i="33"/>
  <c r="Q467" i="33"/>
  <c r="Q466" i="33"/>
  <c r="Q465" i="33"/>
  <c r="Q464" i="33"/>
  <c r="Q463" i="33"/>
  <c r="Q462" i="33"/>
  <c r="Q461" i="33"/>
  <c r="Q433" i="33"/>
  <c r="Q432" i="33"/>
  <c r="Q431" i="33"/>
  <c r="Q430" i="33"/>
  <c r="Q429" i="33"/>
  <c r="Q428" i="33"/>
  <c r="Q427" i="33"/>
  <c r="Q426" i="33"/>
  <c r="Q425" i="33"/>
  <c r="Q424" i="33"/>
  <c r="Q423" i="33"/>
  <c r="Q422" i="33"/>
  <c r="Q421" i="33"/>
  <c r="Q420" i="33"/>
  <c r="Q419" i="33"/>
  <c r="Q418" i="33"/>
  <c r="Q417" i="33"/>
  <c r="Q416" i="33"/>
  <c r="Q415" i="33"/>
  <c r="Q414" i="33"/>
  <c r="Q413" i="33"/>
  <c r="Q412" i="33"/>
  <c r="Q411" i="33"/>
  <c r="Q410" i="33"/>
  <c r="Q409" i="33"/>
  <c r="Q408" i="33"/>
  <c r="Q407" i="33"/>
  <c r="Q379" i="33"/>
  <c r="Q378" i="33"/>
  <c r="Q377" i="33"/>
  <c r="Q376" i="33"/>
  <c r="Q375" i="33"/>
  <c r="Q374" i="33"/>
  <c r="Q373" i="33"/>
  <c r="Q372" i="33"/>
  <c r="Q371" i="33"/>
  <c r="Q370" i="33"/>
  <c r="Q369" i="33"/>
  <c r="Q368" i="33"/>
  <c r="Q367" i="33"/>
  <c r="Q366" i="33"/>
  <c r="Q365" i="33"/>
  <c r="Q364" i="33"/>
  <c r="Q363" i="33"/>
  <c r="Q362" i="33"/>
  <c r="Q361" i="33"/>
  <c r="Q360" i="33"/>
  <c r="Q359" i="33"/>
  <c r="Q358" i="33"/>
  <c r="Q357" i="33"/>
  <c r="Q356" i="33"/>
  <c r="Q355" i="33"/>
  <c r="Q354" i="33"/>
  <c r="Q353" i="33"/>
  <c r="Q352" i="33"/>
  <c r="Q351" i="33"/>
  <c r="Q350" i="33"/>
  <c r="Q349" i="33"/>
  <c r="Q348" i="33"/>
  <c r="Q347" i="33"/>
  <c r="Q346" i="33"/>
  <c r="Q345" i="33"/>
  <c r="Q344" i="33"/>
  <c r="Q343" i="33"/>
  <c r="Q342" i="33"/>
  <c r="Q341" i="33"/>
  <c r="Q340" i="33"/>
  <c r="Q339" i="33"/>
  <c r="Q338" i="33"/>
  <c r="Q337" i="33"/>
  <c r="Q336" i="33"/>
  <c r="Q335" i="33"/>
  <c r="Q334" i="33"/>
  <c r="Q333" i="33"/>
  <c r="Q332" i="33"/>
  <c r="Q331" i="33"/>
  <c r="Q330" i="33"/>
  <c r="Q329" i="33"/>
  <c r="Q328" i="33"/>
  <c r="Q327" i="33"/>
  <c r="Q326" i="33"/>
  <c r="Q325" i="33"/>
  <c r="Q324" i="33"/>
  <c r="Q323" i="33"/>
  <c r="Q322" i="33"/>
  <c r="Q321" i="33"/>
  <c r="Q320" i="33"/>
  <c r="Q319" i="33"/>
  <c r="Q318" i="33"/>
  <c r="Q317" i="33"/>
  <c r="Q316" i="33"/>
  <c r="Q315" i="33"/>
  <c r="Q314" i="33"/>
  <c r="Q313" i="33"/>
  <c r="Q312" i="33"/>
  <c r="Q311" i="33"/>
  <c r="Q310" i="33"/>
  <c r="Q309" i="33"/>
  <c r="Q308" i="33"/>
  <c r="Q307" i="33"/>
  <c r="Q306" i="33"/>
  <c r="Q305" i="33"/>
  <c r="Q304" i="33"/>
  <c r="Q303" i="33"/>
  <c r="Q302" i="33"/>
  <c r="Q301" i="33"/>
  <c r="Q300" i="33"/>
  <c r="Q299" i="33"/>
  <c r="Q298" i="33"/>
  <c r="Q297" i="33"/>
  <c r="Q296" i="33"/>
  <c r="Q295" i="33"/>
  <c r="Q294" i="33"/>
  <c r="Q293" i="33"/>
  <c r="Q292" i="33"/>
  <c r="Q291" i="33"/>
  <c r="Q290" i="33"/>
  <c r="Q289" i="33"/>
  <c r="Q288" i="33"/>
  <c r="Q287" i="33"/>
  <c r="Q286" i="33"/>
  <c r="Q285" i="33"/>
  <c r="Q284" i="33"/>
  <c r="Q283" i="33"/>
  <c r="Q282" i="33"/>
  <c r="Q281" i="33"/>
  <c r="Q280" i="33"/>
  <c r="Q279" i="33"/>
  <c r="Q278" i="33"/>
  <c r="Q277" i="33"/>
  <c r="Q276" i="33"/>
  <c r="Q275" i="33"/>
  <c r="Q274" i="33"/>
  <c r="Q273" i="33"/>
  <c r="Q272" i="33"/>
  <c r="Q271" i="33"/>
  <c r="Q270" i="33"/>
  <c r="Q269" i="33"/>
  <c r="Q268" i="33"/>
  <c r="Q267" i="33"/>
  <c r="Q266" i="33"/>
  <c r="Q265" i="33"/>
  <c r="Q264" i="33"/>
  <c r="Q263" i="33"/>
  <c r="Q262" i="33"/>
  <c r="Q261" i="33"/>
  <c r="Q260" i="33"/>
  <c r="Q259" i="33"/>
  <c r="Q258" i="33"/>
  <c r="Q257" i="33"/>
  <c r="Q256" i="33"/>
  <c r="Q255" i="33"/>
  <c r="Q254" i="33"/>
  <c r="Q253" i="33"/>
  <c r="Q252" i="33"/>
  <c r="Q251" i="33"/>
  <c r="Q250" i="33"/>
  <c r="Q249" i="33"/>
  <c r="Q248" i="33"/>
  <c r="Q247" i="33"/>
  <c r="Q246" i="33"/>
  <c r="Q245" i="33"/>
  <c r="Q217" i="33"/>
  <c r="Q216" i="33"/>
  <c r="Q215" i="33"/>
  <c r="Q214" i="33"/>
  <c r="Q213" i="33"/>
  <c r="Q212" i="33"/>
  <c r="Q211" i="33"/>
  <c r="Q210" i="33"/>
  <c r="Q209" i="33"/>
  <c r="Q208" i="33"/>
  <c r="Q207" i="33"/>
  <c r="Q206" i="33"/>
  <c r="Q205" i="33"/>
  <c r="Q204" i="33"/>
  <c r="Q203" i="33"/>
  <c r="Q202" i="33"/>
  <c r="Q201" i="33"/>
  <c r="Q200" i="33"/>
  <c r="Q199" i="33"/>
  <c r="Q198" i="33"/>
  <c r="Q197" i="33"/>
  <c r="Q196" i="33"/>
  <c r="Q195" i="33"/>
  <c r="Q194" i="33"/>
  <c r="Q193" i="33"/>
  <c r="Q192" i="33"/>
  <c r="Q191" i="33"/>
  <c r="Q190" i="33"/>
  <c r="Q189" i="33"/>
  <c r="Q188" i="33"/>
  <c r="Q187" i="33"/>
  <c r="Q186" i="33"/>
  <c r="Q185" i="33"/>
  <c r="Q184" i="33"/>
  <c r="Q183" i="33"/>
  <c r="Q182" i="33"/>
  <c r="Q181" i="33"/>
  <c r="Q180" i="33"/>
  <c r="Q179" i="33"/>
  <c r="Q178" i="33"/>
  <c r="Q177" i="33"/>
  <c r="Q176" i="33"/>
  <c r="Q175" i="33"/>
  <c r="Q174" i="33"/>
  <c r="Q173" i="33"/>
  <c r="Q172" i="33"/>
  <c r="Q171" i="33"/>
  <c r="Q170" i="33"/>
  <c r="Q169" i="33"/>
  <c r="Q168" i="33"/>
  <c r="Q167" i="33"/>
  <c r="Q166" i="33"/>
  <c r="Q165" i="33"/>
  <c r="Q164" i="33"/>
  <c r="D8" i="32" l="1"/>
  <c r="D7" i="32"/>
  <c r="D6" i="32"/>
  <c r="D5" i="32"/>
  <c r="D4" i="32"/>
  <c r="B31" i="19"/>
  <c r="A3" i="33" l="1"/>
  <c r="A4" i="33"/>
  <c r="A5" i="33"/>
  <c r="A6" i="33"/>
  <c r="A7" i="33"/>
  <c r="A8" i="33"/>
  <c r="A9" i="33"/>
  <c r="A10" i="33"/>
  <c r="A11" i="33"/>
  <c r="A12" i="33"/>
  <c r="A13" i="33"/>
  <c r="A14" i="33"/>
  <c r="A15" i="33"/>
  <c r="A16" i="33"/>
  <c r="A17" i="33"/>
  <c r="A18" i="33"/>
  <c r="A19" i="33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51" i="33"/>
  <c r="A152" i="33"/>
  <c r="A153" i="33"/>
  <c r="A154" i="33"/>
  <c r="A155" i="33"/>
  <c r="A156" i="33"/>
  <c r="A157" i="33"/>
  <c r="A158" i="33"/>
  <c r="A159" i="33"/>
  <c r="A160" i="33"/>
  <c r="A161" i="33"/>
  <c r="A162" i="33"/>
  <c r="A163" i="33"/>
  <c r="A218" i="33"/>
  <c r="A219" i="33"/>
  <c r="A220" i="33"/>
  <c r="A221" i="33"/>
  <c r="A222" i="33"/>
  <c r="A223" i="33"/>
  <c r="A224" i="33"/>
  <c r="A225" i="33"/>
  <c r="A226" i="33"/>
  <c r="A227" i="33"/>
  <c r="A228" i="33"/>
  <c r="A229" i="33"/>
  <c r="A230" i="33"/>
  <c r="A231" i="33"/>
  <c r="A232" i="33"/>
  <c r="A233" i="33"/>
  <c r="A234" i="33"/>
  <c r="A235" i="33"/>
  <c r="A236" i="33"/>
  <c r="A237" i="33"/>
  <c r="A238" i="33"/>
  <c r="A239" i="33"/>
  <c r="A240" i="33"/>
  <c r="A241" i="33"/>
  <c r="A242" i="33"/>
  <c r="A243" i="33"/>
  <c r="A244" i="33"/>
  <c r="A380" i="33"/>
  <c r="A381" i="33"/>
  <c r="A382" i="33"/>
  <c r="A383" i="33"/>
  <c r="A384" i="33"/>
  <c r="A385" i="33"/>
  <c r="A386" i="33"/>
  <c r="A387" i="33"/>
  <c r="A388" i="33"/>
  <c r="A389" i="33"/>
  <c r="A390" i="33"/>
  <c r="A391" i="33"/>
  <c r="A392" i="33"/>
  <c r="A393" i="33"/>
  <c r="A394" i="33"/>
  <c r="A395" i="33"/>
  <c r="A396" i="33"/>
  <c r="A397" i="33"/>
  <c r="A398" i="33"/>
  <c r="A399" i="33"/>
  <c r="A400" i="33"/>
  <c r="A401" i="33"/>
  <c r="A402" i="33"/>
  <c r="A403" i="33"/>
  <c r="A404" i="33"/>
  <c r="A405" i="33"/>
  <c r="A406" i="33"/>
  <c r="A434" i="33"/>
  <c r="A435" i="33"/>
  <c r="A436" i="33"/>
  <c r="A437" i="33"/>
  <c r="A438" i="33"/>
  <c r="A439" i="33"/>
  <c r="A440" i="33"/>
  <c r="A441" i="33"/>
  <c r="A442" i="33"/>
  <c r="A443" i="33"/>
  <c r="A444" i="33"/>
  <c r="A445" i="33"/>
  <c r="A446" i="33"/>
  <c r="A447" i="33"/>
  <c r="A448" i="33"/>
  <c r="A449" i="33"/>
  <c r="A450" i="33"/>
  <c r="A451" i="33"/>
  <c r="A452" i="33"/>
  <c r="A453" i="33"/>
  <c r="A454" i="33"/>
  <c r="A455" i="33"/>
  <c r="A456" i="33"/>
  <c r="A457" i="33"/>
  <c r="A458" i="33"/>
  <c r="A459" i="33"/>
  <c r="A460" i="33"/>
  <c r="A515" i="33"/>
  <c r="A516" i="33"/>
  <c r="A517" i="33"/>
  <c r="A518" i="33"/>
  <c r="A519" i="33"/>
  <c r="A520" i="33"/>
  <c r="A521" i="33"/>
  <c r="A522" i="33"/>
  <c r="A523" i="33"/>
  <c r="A524" i="33"/>
  <c r="A525" i="33"/>
  <c r="A526" i="33"/>
  <c r="A527" i="33"/>
  <c r="A528" i="33"/>
  <c r="A529" i="33"/>
  <c r="A530" i="33"/>
  <c r="A531" i="33"/>
  <c r="A532" i="33"/>
  <c r="A533" i="33"/>
  <c r="A534" i="33"/>
  <c r="A535" i="33"/>
  <c r="A536" i="33"/>
  <c r="A537" i="33"/>
  <c r="A538" i="33"/>
  <c r="A539" i="33"/>
  <c r="A540" i="33"/>
  <c r="A541" i="33"/>
  <c r="A596" i="33"/>
  <c r="A597" i="33"/>
  <c r="A598" i="33"/>
  <c r="A599" i="33"/>
  <c r="A600" i="33"/>
  <c r="A601" i="33"/>
  <c r="A602" i="33"/>
  <c r="A603" i="33"/>
  <c r="A604" i="33"/>
  <c r="A605" i="33"/>
  <c r="A606" i="33"/>
  <c r="A607" i="33"/>
  <c r="A608" i="33"/>
  <c r="A609" i="33"/>
  <c r="A610" i="33"/>
  <c r="A611" i="33"/>
  <c r="A612" i="33"/>
  <c r="A613" i="33"/>
  <c r="A614" i="33"/>
  <c r="A615" i="33"/>
  <c r="A616" i="33"/>
  <c r="A617" i="33"/>
  <c r="A618" i="33"/>
  <c r="A619" i="33"/>
  <c r="A620" i="33"/>
  <c r="A621" i="33"/>
  <c r="A622" i="33"/>
  <c r="A623" i="33"/>
  <c r="A624" i="33"/>
  <c r="A625" i="33"/>
  <c r="A626" i="33"/>
  <c r="A627" i="33"/>
  <c r="A628" i="33"/>
  <c r="A629" i="33"/>
  <c r="A630" i="33"/>
  <c r="A631" i="33"/>
  <c r="A632" i="33"/>
  <c r="A633" i="33"/>
  <c r="A634" i="33"/>
  <c r="A635" i="33"/>
  <c r="A636" i="33"/>
  <c r="A637" i="33"/>
  <c r="A638" i="33"/>
  <c r="A639" i="33"/>
  <c r="A640" i="33"/>
  <c r="A641" i="33"/>
  <c r="A642" i="33"/>
  <c r="A643" i="33"/>
  <c r="A644" i="33"/>
  <c r="A645" i="33"/>
  <c r="A646" i="33"/>
  <c r="A647" i="33"/>
  <c r="A648" i="33"/>
  <c r="A649" i="33"/>
  <c r="A2" i="33"/>
  <c r="B28" i="22" s="1"/>
  <c r="B32" i="22" l="1"/>
  <c r="R18" i="32" l="1"/>
  <c r="R17" i="32"/>
  <c r="R16" i="32"/>
  <c r="R15" i="32"/>
  <c r="R13" i="32"/>
  <c r="R10" i="32"/>
  <c r="R9" i="32"/>
  <c r="R8" i="32"/>
  <c r="R7" i="32"/>
  <c r="R6" i="32"/>
  <c r="R5" i="32"/>
  <c r="E136" i="25"/>
  <c r="E135" i="25"/>
  <c r="E134" i="25"/>
  <c r="E133" i="25"/>
  <c r="E131" i="25"/>
  <c r="E128" i="25"/>
  <c r="E127" i="25"/>
  <c r="E136" i="26"/>
  <c r="E135" i="26"/>
  <c r="E134" i="26"/>
  <c r="E133" i="26"/>
  <c r="E131" i="26"/>
  <c r="E128" i="26"/>
  <c r="E127" i="26"/>
  <c r="GA55" i="30"/>
  <c r="FZ55" i="30"/>
  <c r="FY55" i="30"/>
  <c r="FX55" i="30"/>
  <c r="FW55" i="30"/>
  <c r="FV55" i="30"/>
  <c r="FU55" i="30"/>
  <c r="FT55" i="30"/>
  <c r="FS55" i="30"/>
  <c r="FR55" i="30"/>
  <c r="FQ55" i="30"/>
  <c r="FP55" i="30"/>
  <c r="FO55" i="30"/>
  <c r="FN55" i="30"/>
  <c r="FM55" i="30"/>
  <c r="FL55" i="30"/>
  <c r="FK55" i="30"/>
  <c r="FJ55" i="30"/>
  <c r="FI55" i="30"/>
  <c r="FH55" i="30"/>
  <c r="FG55" i="30"/>
  <c r="FF55" i="30"/>
  <c r="FE55" i="30"/>
  <c r="FD55" i="30"/>
  <c r="FC55" i="30"/>
  <c r="FB55" i="30"/>
  <c r="FA55" i="30"/>
  <c r="EZ55" i="30"/>
  <c r="EY55" i="30"/>
  <c r="EX55" i="30"/>
  <c r="EW55" i="30"/>
  <c r="EV55" i="30"/>
  <c r="EU55" i="30"/>
  <c r="ET55" i="30"/>
  <c r="ES55" i="30"/>
  <c r="ER55" i="30"/>
  <c r="EQ55" i="30"/>
  <c r="EP55" i="30"/>
  <c r="EO55" i="30"/>
  <c r="EN55" i="30"/>
  <c r="EM55" i="30"/>
  <c r="EL55" i="30"/>
  <c r="EK55" i="30"/>
  <c r="EJ55" i="30"/>
  <c r="EI55" i="30"/>
  <c r="EH55" i="30"/>
  <c r="EG55" i="30"/>
  <c r="EF55" i="30"/>
  <c r="EE55" i="30"/>
  <c r="ED55" i="30"/>
  <c r="EC55" i="30"/>
  <c r="EB55" i="30"/>
  <c r="EA55" i="30"/>
  <c r="DZ55" i="30"/>
  <c r="DY55" i="30"/>
  <c r="DX55" i="30"/>
  <c r="DW55" i="30"/>
  <c r="DV55" i="30"/>
  <c r="DU55" i="30"/>
  <c r="DT55" i="30"/>
  <c r="DS55" i="30"/>
  <c r="DR55" i="30"/>
  <c r="DQ55" i="30"/>
  <c r="DP55" i="30"/>
  <c r="DO55" i="30"/>
  <c r="DN55" i="30"/>
  <c r="DM55" i="30"/>
  <c r="DL55" i="30"/>
  <c r="DK55" i="30"/>
  <c r="DJ55" i="30"/>
  <c r="DI55" i="30"/>
  <c r="DH55" i="30"/>
  <c r="DG55" i="30"/>
  <c r="DF55" i="30"/>
  <c r="DE55" i="30"/>
  <c r="DD55" i="30"/>
  <c r="DC55" i="30"/>
  <c r="DB55" i="30"/>
  <c r="DA55" i="30"/>
  <c r="CZ55" i="30"/>
  <c r="CY55" i="30"/>
  <c r="CX55" i="30"/>
  <c r="CW55" i="30"/>
  <c r="CV55" i="30"/>
  <c r="CU55" i="30"/>
  <c r="CT55" i="30"/>
  <c r="CS55" i="30"/>
  <c r="CR55" i="30"/>
  <c r="CQ55" i="30"/>
  <c r="CP55" i="30"/>
  <c r="CO55" i="30"/>
  <c r="CN55" i="30"/>
  <c r="CM55" i="30"/>
  <c r="CL55" i="30"/>
  <c r="CK55" i="30"/>
  <c r="CJ55" i="30"/>
  <c r="CI55" i="30"/>
  <c r="CH55" i="30"/>
  <c r="CG55" i="30"/>
  <c r="CF55" i="30"/>
  <c r="CE55" i="30"/>
  <c r="CD55" i="30"/>
  <c r="CC55" i="30"/>
  <c r="CB55" i="30"/>
  <c r="CA55" i="30"/>
  <c r="BZ55" i="30"/>
  <c r="BY55" i="30"/>
  <c r="BX55" i="30"/>
  <c r="BW55" i="30"/>
  <c r="BV55" i="30"/>
  <c r="BU55" i="30"/>
  <c r="BT55" i="30"/>
  <c r="BS55" i="30"/>
  <c r="BR55" i="30"/>
  <c r="BQ55" i="30"/>
  <c r="BP55" i="30"/>
  <c r="BO55" i="30"/>
  <c r="BN55" i="30"/>
  <c r="BM55" i="30"/>
  <c r="BL55" i="30"/>
  <c r="BK55" i="30"/>
  <c r="L19" i="32" l="1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AE15" i="32" l="1"/>
  <c r="AE14" i="32"/>
  <c r="AE13" i="32"/>
  <c r="AE12" i="32"/>
  <c r="AE11" i="32"/>
  <c r="AE10" i="32"/>
  <c r="AE9" i="32"/>
  <c r="AE8" i="32"/>
  <c r="AE7" i="32"/>
  <c r="AE6" i="32"/>
  <c r="AE5" i="32"/>
  <c r="AE4" i="32"/>
  <c r="AZ4" i="4"/>
  <c r="AZ3" i="4"/>
  <c r="AE19" i="32" l="1"/>
  <c r="D40" i="19" l="1"/>
  <c r="D42" i="19"/>
  <c r="G5" i="26"/>
  <c r="G5" i="25"/>
  <c r="C8" i="31"/>
  <c r="L30" i="9"/>
  <c r="L31" i="9" s="1"/>
  <c r="K30" i="9"/>
  <c r="K31" i="9" s="1"/>
  <c r="J30" i="9"/>
  <c r="J31" i="9" s="1"/>
  <c r="J34" i="9" s="1"/>
  <c r="I30" i="9"/>
  <c r="I2" i="9" s="1"/>
  <c r="I1" i="9" s="1"/>
  <c r="H30" i="9"/>
  <c r="H31" i="9" s="1"/>
  <c r="G30" i="9"/>
  <c r="G31" i="9" s="1"/>
  <c r="F30" i="9"/>
  <c r="F2" i="9" s="1"/>
  <c r="F1" i="9" s="1"/>
  <c r="E30" i="9"/>
  <c r="E2" i="9" s="1"/>
  <c r="E1" i="9" s="1"/>
  <c r="D30" i="9"/>
  <c r="D31" i="9" s="1"/>
  <c r="C30" i="9"/>
  <c r="C31" i="9" s="1"/>
  <c r="B30" i="9"/>
  <c r="B31" i="9" s="1"/>
  <c r="B34" i="9" s="1"/>
  <c r="G23" i="9"/>
  <c r="G20" i="9"/>
  <c r="G17" i="9"/>
  <c r="G26" i="9"/>
  <c r="G14" i="9"/>
  <c r="G11" i="9"/>
  <c r="G8" i="9"/>
  <c r="K2" i="9"/>
  <c r="K1" i="9" s="1"/>
  <c r="J2" i="9"/>
  <c r="J1" i="9" s="1"/>
  <c r="B2" i="9" l="1"/>
  <c r="B1" i="9" s="1"/>
  <c r="C2" i="9"/>
  <c r="C1" i="9" s="1"/>
  <c r="F31" i="9"/>
  <c r="E31" i="9"/>
  <c r="E33" i="9" s="1"/>
  <c r="B33" i="9"/>
  <c r="G2" i="9"/>
  <c r="G1" i="9" s="1"/>
  <c r="I31" i="9"/>
  <c r="I33" i="9" s="1"/>
  <c r="J33" i="9"/>
  <c r="C36" i="9"/>
  <c r="C37" i="9"/>
  <c r="C33" i="9"/>
  <c r="C34" i="9"/>
  <c r="G36" i="9"/>
  <c r="G34" i="9"/>
  <c r="G37" i="9"/>
  <c r="G33" i="9"/>
  <c r="K36" i="9"/>
  <c r="K37" i="9"/>
  <c r="K33" i="9"/>
  <c r="K34" i="9"/>
  <c r="D37" i="9"/>
  <c r="D33" i="9"/>
  <c r="D34" i="9"/>
  <c r="D36" i="9"/>
  <c r="H37" i="9"/>
  <c r="H33" i="9"/>
  <c r="H34" i="9"/>
  <c r="H36" i="9"/>
  <c r="L37" i="9"/>
  <c r="L33" i="9"/>
  <c r="L34" i="9"/>
  <c r="L36" i="9"/>
  <c r="I37" i="9"/>
  <c r="I36" i="9"/>
  <c r="B37" i="9"/>
  <c r="F37" i="9"/>
  <c r="J37" i="9"/>
  <c r="D2" i="9"/>
  <c r="D1" i="9" s="1"/>
  <c r="H2" i="9"/>
  <c r="H1" i="9" s="1"/>
  <c r="L2" i="9"/>
  <c r="L1" i="9" s="1"/>
  <c r="I34" i="9"/>
  <c r="B36" i="9"/>
  <c r="F36" i="9"/>
  <c r="J36" i="9"/>
  <c r="E34" i="9" l="1"/>
  <c r="E36" i="9"/>
  <c r="E37" i="9"/>
  <c r="F34" i="9"/>
  <c r="F48" i="9" s="1"/>
  <c r="F33" i="9"/>
  <c r="O91" i="29"/>
  <c r="P91" i="29" s="1"/>
  <c r="O90" i="29"/>
  <c r="P90" i="29" s="1"/>
  <c r="O89" i="29"/>
  <c r="P89" i="29" s="1"/>
  <c r="O88" i="29"/>
  <c r="P88" i="29" s="1"/>
  <c r="O77" i="29"/>
  <c r="P77" i="29" s="1"/>
  <c r="O76" i="29"/>
  <c r="P76" i="29" s="1"/>
  <c r="O75" i="29"/>
  <c r="P75" i="29" s="1"/>
  <c r="O74" i="29"/>
  <c r="P74" i="29" s="1"/>
  <c r="O63" i="29"/>
  <c r="P63" i="29" s="1"/>
  <c r="O62" i="29"/>
  <c r="P62" i="29" s="1"/>
  <c r="O61" i="29"/>
  <c r="P61" i="29" s="1"/>
  <c r="O60" i="29"/>
  <c r="P60" i="29" s="1"/>
  <c r="O98" i="29"/>
  <c r="P98" i="29" s="1"/>
  <c r="O96" i="29"/>
  <c r="P96" i="29" s="1"/>
  <c r="O95" i="29"/>
  <c r="P95" i="29" s="1"/>
  <c r="O84" i="29"/>
  <c r="P84" i="29" s="1"/>
  <c r="O82" i="29"/>
  <c r="P82" i="29" s="1"/>
  <c r="O81" i="29"/>
  <c r="P81" i="29" s="1"/>
  <c r="O70" i="29"/>
  <c r="P70" i="29" s="1"/>
  <c r="O68" i="29"/>
  <c r="P68" i="29" s="1"/>
  <c r="O67" i="29"/>
  <c r="P67" i="29" s="1"/>
  <c r="O56" i="29"/>
  <c r="P56" i="29" s="1"/>
  <c r="O54" i="29"/>
  <c r="P54" i="29" s="1"/>
  <c r="O53" i="29"/>
  <c r="P53" i="29" s="1"/>
  <c r="O48" i="29"/>
  <c r="P48" i="29" s="1"/>
  <c r="O49" i="29"/>
  <c r="P49" i="29" s="1"/>
  <c r="O47" i="29"/>
  <c r="P47" i="29" s="1"/>
  <c r="O46" i="29"/>
  <c r="P46" i="29" s="1"/>
  <c r="O42" i="29"/>
  <c r="P42" i="29" s="1"/>
  <c r="O40" i="29"/>
  <c r="P40" i="29" s="1"/>
  <c r="O39" i="29"/>
  <c r="P39" i="29" s="1"/>
  <c r="O35" i="29"/>
  <c r="P35" i="29" s="1"/>
  <c r="O33" i="29"/>
  <c r="P33" i="29" s="1"/>
  <c r="O32" i="29"/>
  <c r="P32" i="29" s="1"/>
  <c r="O28" i="29"/>
  <c r="P28" i="29" s="1"/>
  <c r="O26" i="29"/>
  <c r="P26" i="29" s="1"/>
  <c r="O25" i="29"/>
  <c r="P25" i="29" s="1"/>
  <c r="O21" i="29"/>
  <c r="P21" i="29" s="1"/>
  <c r="O19" i="29"/>
  <c r="P19" i="29" s="1"/>
  <c r="O18" i="29"/>
  <c r="P18" i="29" s="1"/>
  <c r="O14" i="29"/>
  <c r="P14" i="29" s="1"/>
  <c r="O12" i="29"/>
  <c r="P12" i="29" s="1"/>
  <c r="O11" i="29"/>
  <c r="P11" i="29" s="1"/>
  <c r="O7" i="29"/>
  <c r="P7" i="29" s="1"/>
  <c r="O5" i="29"/>
  <c r="P5" i="29" s="1"/>
  <c r="O4" i="29"/>
  <c r="P4" i="29" s="1"/>
  <c r="O9" i="18"/>
  <c r="P9" i="18" s="1"/>
  <c r="O7" i="18"/>
  <c r="O6" i="18"/>
  <c r="O5" i="18"/>
  <c r="N24" i="9"/>
  <c r="N23" i="9"/>
  <c r="O23" i="9" s="1"/>
  <c r="N21" i="9"/>
  <c r="N20" i="9"/>
  <c r="O20" i="9" s="1"/>
  <c r="N18" i="9"/>
  <c r="N17" i="9"/>
  <c r="O17" i="9" s="1"/>
  <c r="N27" i="9"/>
  <c r="N26" i="9"/>
  <c r="O26" i="9" s="1"/>
  <c r="N47" i="9"/>
  <c r="L48" i="9"/>
  <c r="K48" i="9"/>
  <c r="J48" i="9"/>
  <c r="I48" i="9"/>
  <c r="H48" i="9"/>
  <c r="G48" i="9"/>
  <c r="E48" i="9"/>
  <c r="D48" i="9"/>
  <c r="C48" i="9"/>
  <c r="B48" i="9"/>
  <c r="R43" i="9"/>
  <c r="S43" i="9"/>
  <c r="G4" i="25" l="1"/>
  <c r="N26" i="15" l="1"/>
  <c r="N2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E26" i="15"/>
  <c r="E2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L94" i="15"/>
  <c r="N94" i="15" s="1"/>
  <c r="L93" i="15"/>
  <c r="N93" i="15" s="1"/>
  <c r="L92" i="15"/>
  <c r="E92" i="15" s="1"/>
  <c r="L91" i="15"/>
  <c r="E91" i="15" s="1"/>
  <c r="L90" i="15"/>
  <c r="N90" i="15" s="1"/>
  <c r="L89" i="15"/>
  <c r="N89" i="15" s="1"/>
  <c r="L88" i="15"/>
  <c r="E88" i="15" s="1"/>
  <c r="L87" i="15"/>
  <c r="E87" i="15" s="1"/>
  <c r="L86" i="15"/>
  <c r="N86" i="15" s="1"/>
  <c r="L85" i="15"/>
  <c r="N85" i="15" s="1"/>
  <c r="L84" i="15"/>
  <c r="E84" i="15" s="1"/>
  <c r="L83" i="15"/>
  <c r="E83" i="15" s="1"/>
  <c r="L82" i="15"/>
  <c r="N82" i="15" s="1"/>
  <c r="L81" i="15"/>
  <c r="N81" i="15" s="1"/>
  <c r="L80" i="15"/>
  <c r="E80" i="15" s="1"/>
  <c r="L79" i="15"/>
  <c r="E79" i="15" s="1"/>
  <c r="L78" i="15"/>
  <c r="N78" i="15" s="1"/>
  <c r="L77" i="15"/>
  <c r="N77" i="15" s="1"/>
  <c r="L76" i="15"/>
  <c r="E76" i="15" s="1"/>
  <c r="L75" i="15"/>
  <c r="E75" i="15" s="1"/>
  <c r="L74" i="15"/>
  <c r="N74" i="15" s="1"/>
  <c r="L73" i="15"/>
  <c r="N73" i="15" s="1"/>
  <c r="L72" i="15"/>
  <c r="E72" i="15" s="1"/>
  <c r="L71" i="15"/>
  <c r="E71" i="15" s="1"/>
  <c r="L70" i="15"/>
  <c r="N70" i="15" s="1"/>
  <c r="L69" i="15"/>
  <c r="N69" i="15" s="1"/>
  <c r="L68" i="15"/>
  <c r="E68" i="15" s="1"/>
  <c r="L67" i="15"/>
  <c r="E67" i="15" s="1"/>
  <c r="L66" i="15"/>
  <c r="N66" i="15" s="1"/>
  <c r="L65" i="15"/>
  <c r="N65" i="15" s="1"/>
  <c r="L64" i="15"/>
  <c r="E64" i="15" s="1"/>
  <c r="L63" i="15"/>
  <c r="E63" i="15" s="1"/>
  <c r="L62" i="15"/>
  <c r="N62" i="15" s="1"/>
  <c r="L61" i="15"/>
  <c r="N61" i="15" s="1"/>
  <c r="L47" i="15"/>
  <c r="E47" i="15" s="1"/>
  <c r="L46" i="15"/>
  <c r="N46" i="15" s="1"/>
  <c r="L45" i="15"/>
  <c r="N45" i="15" s="1"/>
  <c r="L44" i="15"/>
  <c r="E44" i="15" s="1"/>
  <c r="L43" i="15"/>
  <c r="E43" i="15" s="1"/>
  <c r="L42" i="15"/>
  <c r="E42" i="15" s="1"/>
  <c r="L41" i="15"/>
  <c r="N41" i="15" s="1"/>
  <c r="L40" i="15"/>
  <c r="E40" i="15" s="1"/>
  <c r="L39" i="15"/>
  <c r="E39" i="15" s="1"/>
  <c r="L38" i="15"/>
  <c r="N38" i="15" s="1"/>
  <c r="L37" i="15"/>
  <c r="N37" i="15" s="1"/>
  <c r="L36" i="15"/>
  <c r="E36" i="15" s="1"/>
  <c r="L35" i="15"/>
  <c r="E35" i="15" s="1"/>
  <c r="L34" i="15"/>
  <c r="N34" i="15" s="1"/>
  <c r="L33" i="15"/>
  <c r="N33" i="15" s="1"/>
  <c r="L32" i="15"/>
  <c r="E32" i="15" s="1"/>
  <c r="L31" i="15"/>
  <c r="E31" i="15" s="1"/>
  <c r="L30" i="15"/>
  <c r="E30" i="15" s="1"/>
  <c r="L29" i="15"/>
  <c r="N29" i="15" s="1"/>
  <c r="L28" i="15"/>
  <c r="E28" i="15" s="1"/>
  <c r="L25" i="15"/>
  <c r="N25" i="15" s="1"/>
  <c r="L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N76" i="15" l="1"/>
  <c r="E90" i="15"/>
  <c r="E78" i="15"/>
  <c r="E62" i="15"/>
  <c r="N92" i="15"/>
  <c r="N32" i="15"/>
  <c r="E89" i="15"/>
  <c r="E74" i="15"/>
  <c r="N88" i="15"/>
  <c r="N72" i="15"/>
  <c r="N44" i="15"/>
  <c r="N28" i="15"/>
  <c r="E94" i="15"/>
  <c r="E86" i="15"/>
  <c r="E70" i="15"/>
  <c r="N84" i="15"/>
  <c r="N68" i="15"/>
  <c r="N40" i="15"/>
  <c r="E93" i="15"/>
  <c r="E82" i="15"/>
  <c r="E66" i="15"/>
  <c r="N80" i="15"/>
  <c r="N64" i="15"/>
  <c r="N36" i="15"/>
  <c r="E46" i="15"/>
  <c r="E34" i="15"/>
  <c r="E85" i="15"/>
  <c r="E81" i="15"/>
  <c r="E77" i="15"/>
  <c r="E73" i="15"/>
  <c r="E69" i="15"/>
  <c r="E65" i="15"/>
  <c r="E61" i="15"/>
  <c r="E45" i="15"/>
  <c r="E41" i="15"/>
  <c r="E37" i="15"/>
  <c r="E33" i="15"/>
  <c r="E29" i="15"/>
  <c r="E25" i="15"/>
  <c r="N91" i="15"/>
  <c r="N87" i="15"/>
  <c r="N83" i="15"/>
  <c r="N79" i="15"/>
  <c r="N75" i="15"/>
  <c r="N71" i="15"/>
  <c r="N67" i="15"/>
  <c r="N63" i="15"/>
  <c r="N47" i="15"/>
  <c r="N43" i="15"/>
  <c r="N39" i="15"/>
  <c r="N35" i="15"/>
  <c r="N31" i="15"/>
  <c r="E38" i="15"/>
  <c r="N42" i="15"/>
  <c r="N30" i="15"/>
  <c r="N2" i="18"/>
  <c r="M2" i="18"/>
  <c r="L2" i="18"/>
  <c r="K2" i="18"/>
  <c r="J2" i="18"/>
  <c r="I2" i="18"/>
  <c r="H2" i="18"/>
  <c r="G2" i="18"/>
  <c r="F2" i="18"/>
  <c r="E2" i="18"/>
  <c r="D2" i="18"/>
  <c r="C2" i="18"/>
  <c r="F4" i="18" l="1"/>
  <c r="F1" i="18"/>
  <c r="J4" i="18"/>
  <c r="J1" i="18"/>
  <c r="N4" i="18"/>
  <c r="N1" i="18"/>
  <c r="C4" i="18"/>
  <c r="C1" i="18"/>
  <c r="G4" i="18"/>
  <c r="G1" i="18"/>
  <c r="K4" i="18"/>
  <c r="K1" i="18"/>
  <c r="D4" i="18"/>
  <c r="D1" i="18"/>
  <c r="H4" i="18"/>
  <c r="H1" i="18"/>
  <c r="L4" i="18"/>
  <c r="L1" i="18"/>
  <c r="E4" i="18"/>
  <c r="E1" i="18"/>
  <c r="I4" i="18"/>
  <c r="I1" i="18"/>
  <c r="M4" i="18"/>
  <c r="M1" i="18"/>
  <c r="Z10" i="32"/>
  <c r="A119" i="26"/>
  <c r="A119" i="25"/>
  <c r="G67" i="25"/>
  <c r="G67" i="26"/>
  <c r="P7" i="18" l="1"/>
  <c r="P6" i="18"/>
  <c r="P5" i="18"/>
  <c r="Q30" i="33"/>
  <c r="Q31" i="33"/>
  <c r="Q32" i="33"/>
  <c r="Q33" i="33"/>
  <c r="Q34" i="33"/>
  <c r="Q35" i="33"/>
  <c r="Q36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51" i="33"/>
  <c r="Q52" i="33"/>
  <c r="Q53" i="33"/>
  <c r="Q54" i="33"/>
  <c r="Q55" i="33"/>
  <c r="Q434" i="33"/>
  <c r="Q435" i="33"/>
  <c r="Q436" i="33"/>
  <c r="Q437" i="33"/>
  <c r="Q438" i="33"/>
  <c r="Q439" i="33"/>
  <c r="Q440" i="33"/>
  <c r="Q441" i="33"/>
  <c r="Q442" i="33"/>
  <c r="Q443" i="33"/>
  <c r="Q444" i="33"/>
  <c r="Q445" i="33"/>
  <c r="Q446" i="33"/>
  <c r="Q447" i="33"/>
  <c r="Q448" i="33"/>
  <c r="Q449" i="33"/>
  <c r="Q450" i="33"/>
  <c r="Q451" i="33"/>
  <c r="Q452" i="33"/>
  <c r="Q453" i="33"/>
  <c r="Q454" i="33"/>
  <c r="Q455" i="33"/>
  <c r="Q456" i="33"/>
  <c r="Q457" i="33"/>
  <c r="Q458" i="33"/>
  <c r="Q459" i="33"/>
  <c r="Q460" i="33"/>
  <c r="Q56" i="33"/>
  <c r="Q57" i="33"/>
  <c r="Q58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73" i="33"/>
  <c r="Q74" i="33"/>
  <c r="Q75" i="33"/>
  <c r="Q76" i="33"/>
  <c r="Q77" i="33"/>
  <c r="Q78" i="33"/>
  <c r="Q79" i="33"/>
  <c r="Q80" i="33"/>
  <c r="Q81" i="33"/>
  <c r="Q82" i="33"/>
  <c r="Q218" i="33"/>
  <c r="Q219" i="33"/>
  <c r="Q220" i="33"/>
  <c r="Q221" i="33"/>
  <c r="Q222" i="33"/>
  <c r="Q223" i="33"/>
  <c r="Q224" i="33"/>
  <c r="Q225" i="33"/>
  <c r="Q226" i="33"/>
  <c r="Q227" i="33"/>
  <c r="Q228" i="33"/>
  <c r="Q229" i="33"/>
  <c r="Q230" i="33"/>
  <c r="Q231" i="33"/>
  <c r="Q232" i="33"/>
  <c r="Q233" i="33"/>
  <c r="Q234" i="33"/>
  <c r="Q235" i="33"/>
  <c r="Q236" i="33"/>
  <c r="Q237" i="33"/>
  <c r="Q238" i="33"/>
  <c r="Q239" i="33"/>
  <c r="Q240" i="33"/>
  <c r="Q241" i="33"/>
  <c r="Q242" i="33"/>
  <c r="Q243" i="33"/>
  <c r="Q244" i="33"/>
  <c r="Q110" i="33"/>
  <c r="Q111" i="33"/>
  <c r="Q112" i="33"/>
  <c r="Q113" i="33"/>
  <c r="Q114" i="33"/>
  <c r="Q115" i="33"/>
  <c r="Q116" i="33"/>
  <c r="Q117" i="33"/>
  <c r="Q118" i="33"/>
  <c r="Q119" i="33"/>
  <c r="Q120" i="33"/>
  <c r="Q121" i="33"/>
  <c r="Q122" i="33"/>
  <c r="Q123" i="33"/>
  <c r="Q124" i="33"/>
  <c r="Q125" i="33"/>
  <c r="Q126" i="33"/>
  <c r="Q127" i="33"/>
  <c r="Q128" i="33"/>
  <c r="Q129" i="33"/>
  <c r="Q130" i="33"/>
  <c r="Q131" i="33"/>
  <c r="Q132" i="33"/>
  <c r="Q133" i="33"/>
  <c r="Q134" i="33"/>
  <c r="Q135" i="33"/>
  <c r="Q136" i="33"/>
  <c r="Q596" i="33"/>
  <c r="Q597" i="33"/>
  <c r="Q598" i="33"/>
  <c r="Q599" i="33"/>
  <c r="Q600" i="33"/>
  <c r="Q601" i="33"/>
  <c r="Q602" i="33"/>
  <c r="Q603" i="33"/>
  <c r="Q604" i="33"/>
  <c r="Q605" i="33"/>
  <c r="Q606" i="33"/>
  <c r="Q607" i="33"/>
  <c r="Q608" i="33"/>
  <c r="Q609" i="33"/>
  <c r="Q610" i="33"/>
  <c r="Q611" i="33"/>
  <c r="Q612" i="33"/>
  <c r="Q613" i="33"/>
  <c r="Q614" i="33"/>
  <c r="Q615" i="33"/>
  <c r="Q616" i="33"/>
  <c r="Q617" i="33"/>
  <c r="Q618" i="33"/>
  <c r="Q619" i="33"/>
  <c r="Q620" i="33"/>
  <c r="Q621" i="33"/>
  <c r="Q622" i="33"/>
  <c r="Q623" i="33"/>
  <c r="Q624" i="33"/>
  <c r="Q625" i="33"/>
  <c r="Q626" i="33"/>
  <c r="Q627" i="33"/>
  <c r="Q628" i="33"/>
  <c r="Q629" i="33"/>
  <c r="Q630" i="33"/>
  <c r="Q631" i="33"/>
  <c r="Q632" i="33"/>
  <c r="Q633" i="33"/>
  <c r="Q634" i="33"/>
  <c r="Q635" i="33"/>
  <c r="Q636" i="33"/>
  <c r="Q637" i="33"/>
  <c r="Q638" i="33"/>
  <c r="Q639" i="33"/>
  <c r="Q640" i="33"/>
  <c r="Q641" i="33"/>
  <c r="Q642" i="33"/>
  <c r="Q643" i="33"/>
  <c r="Q644" i="33"/>
  <c r="Q645" i="33"/>
  <c r="Q646" i="33"/>
  <c r="Q647" i="33"/>
  <c r="Q648" i="33"/>
  <c r="Q649" i="33"/>
  <c r="Q2" i="33"/>
  <c r="Q3" i="33"/>
  <c r="Q4" i="33"/>
  <c r="Q5" i="33"/>
  <c r="Q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Q27" i="33"/>
  <c r="Q28" i="33"/>
  <c r="Q137" i="33"/>
  <c r="Q138" i="33"/>
  <c r="Q139" i="33"/>
  <c r="Q140" i="33"/>
  <c r="Q141" i="33"/>
  <c r="Q142" i="33"/>
  <c r="Q143" i="33"/>
  <c r="Q144" i="33"/>
  <c r="Q145" i="33"/>
  <c r="Q146" i="33"/>
  <c r="Q147" i="33"/>
  <c r="Q148" i="33"/>
  <c r="Q149" i="33"/>
  <c r="Q150" i="33"/>
  <c r="Q151" i="33"/>
  <c r="Q152" i="33"/>
  <c r="Q153" i="33"/>
  <c r="Q154" i="33"/>
  <c r="Q155" i="33"/>
  <c r="Q156" i="33"/>
  <c r="Q157" i="33"/>
  <c r="Q158" i="33"/>
  <c r="Q159" i="33"/>
  <c r="Q160" i="33"/>
  <c r="Q161" i="33"/>
  <c r="Q162" i="33"/>
  <c r="Q163" i="33"/>
  <c r="Q83" i="33"/>
  <c r="Q84" i="33"/>
  <c r="Q85" i="33"/>
  <c r="Q86" i="33"/>
  <c r="Q87" i="33"/>
  <c r="Q88" i="33"/>
  <c r="Q89" i="33"/>
  <c r="Q90" i="33"/>
  <c r="Q91" i="33"/>
  <c r="Q92" i="33"/>
  <c r="Q93" i="33"/>
  <c r="Q94" i="33"/>
  <c r="Q95" i="33"/>
  <c r="Q96" i="33"/>
  <c r="Q97" i="33"/>
  <c r="Q98" i="33"/>
  <c r="Q99" i="33"/>
  <c r="Q100" i="33"/>
  <c r="Q101" i="33"/>
  <c r="Q102" i="33"/>
  <c r="Q103" i="33"/>
  <c r="Q104" i="33"/>
  <c r="Q105" i="33"/>
  <c r="Q106" i="33"/>
  <c r="Q107" i="33"/>
  <c r="Q108" i="33"/>
  <c r="Q109" i="33"/>
  <c r="Q380" i="33"/>
  <c r="Q381" i="33"/>
  <c r="Q382" i="33"/>
  <c r="Q383" i="33"/>
  <c r="Q384" i="33"/>
  <c r="Q385" i="33"/>
  <c r="Q386" i="33"/>
  <c r="Q387" i="33"/>
  <c r="Q388" i="33"/>
  <c r="Q389" i="33"/>
  <c r="Q390" i="33"/>
  <c r="Q391" i="33"/>
  <c r="Q392" i="33"/>
  <c r="Q393" i="33"/>
  <c r="Q394" i="33"/>
  <c r="Q395" i="33"/>
  <c r="Q396" i="33"/>
  <c r="Q397" i="33"/>
  <c r="Q398" i="33"/>
  <c r="Q399" i="33"/>
  <c r="Q400" i="33"/>
  <c r="Q401" i="33"/>
  <c r="Q402" i="33"/>
  <c r="Q403" i="33"/>
  <c r="Q404" i="33"/>
  <c r="Q405" i="33"/>
  <c r="Q406" i="33"/>
  <c r="Q515" i="33"/>
  <c r="Q516" i="33"/>
  <c r="Q517" i="33"/>
  <c r="Q518" i="33"/>
  <c r="Q519" i="33"/>
  <c r="Q520" i="33"/>
  <c r="Q521" i="33"/>
  <c r="Q522" i="33"/>
  <c r="Q523" i="33"/>
  <c r="Q524" i="33"/>
  <c r="Q525" i="33"/>
  <c r="Q526" i="33"/>
  <c r="Q527" i="33"/>
  <c r="Q528" i="33"/>
  <c r="Q529" i="33"/>
  <c r="Q530" i="33"/>
  <c r="Q531" i="33"/>
  <c r="Q532" i="33"/>
  <c r="Q533" i="33"/>
  <c r="Q534" i="33"/>
  <c r="Q535" i="33"/>
  <c r="Q536" i="33"/>
  <c r="Q537" i="33"/>
  <c r="Q538" i="33"/>
  <c r="Q539" i="33"/>
  <c r="Q540" i="33"/>
  <c r="Q541" i="33"/>
  <c r="Q29" i="33"/>
  <c r="Z11" i="32" l="1"/>
  <c r="AF4" i="32" s="1"/>
  <c r="R45" i="9"/>
  <c r="S45" i="9"/>
  <c r="T45" i="9"/>
  <c r="U45" i="9"/>
  <c r="V45" i="9"/>
  <c r="W45" i="9"/>
  <c r="X45" i="9"/>
  <c r="Y45" i="9"/>
  <c r="Z45" i="9"/>
  <c r="AA45" i="9"/>
  <c r="AB45" i="9"/>
  <c r="AC45" i="9"/>
  <c r="R41" i="9"/>
  <c r="S41" i="9"/>
  <c r="T41" i="9"/>
  <c r="U41" i="9"/>
  <c r="V41" i="9"/>
  <c r="W41" i="9"/>
  <c r="X41" i="9"/>
  <c r="Y41" i="9"/>
  <c r="Z41" i="9"/>
  <c r="AA41" i="9"/>
  <c r="AB41" i="9"/>
  <c r="AC41" i="9"/>
  <c r="R42" i="9"/>
  <c r="S42" i="9"/>
  <c r="T42" i="9"/>
  <c r="U42" i="9"/>
  <c r="V42" i="9"/>
  <c r="W42" i="9"/>
  <c r="X42" i="9"/>
  <c r="Y42" i="9"/>
  <c r="Z42" i="9"/>
  <c r="AA42" i="9"/>
  <c r="AB42" i="9"/>
  <c r="AC42" i="9"/>
  <c r="T43" i="9"/>
  <c r="U43" i="9"/>
  <c r="V43" i="9"/>
  <c r="W43" i="9"/>
  <c r="X43" i="9"/>
  <c r="Y43" i="9"/>
  <c r="Z43" i="9"/>
  <c r="AA43" i="9"/>
  <c r="AB43" i="9"/>
  <c r="AC43" i="9"/>
  <c r="R44" i="9"/>
  <c r="S44" i="9"/>
  <c r="T44" i="9"/>
  <c r="U44" i="9"/>
  <c r="V44" i="9"/>
  <c r="W44" i="9"/>
  <c r="X44" i="9"/>
  <c r="Y44" i="9"/>
  <c r="Z44" i="9"/>
  <c r="AA44" i="9"/>
  <c r="AB44" i="9"/>
  <c r="AC44" i="9"/>
  <c r="AC40" i="9"/>
  <c r="AB40" i="9"/>
  <c r="AA40" i="9"/>
  <c r="Z40" i="9"/>
  <c r="Y40" i="9"/>
  <c r="X40" i="9"/>
  <c r="W40" i="9"/>
  <c r="V40" i="9"/>
  <c r="U40" i="9"/>
  <c r="T40" i="9"/>
  <c r="S40" i="9"/>
  <c r="R40" i="9"/>
  <c r="AF9" i="32" l="1"/>
  <c r="AF5" i="32"/>
  <c r="AF11" i="32"/>
  <c r="AF10" i="32"/>
  <c r="AF14" i="32"/>
  <c r="AF12" i="32"/>
  <c r="AF6" i="32"/>
  <c r="AF15" i="32"/>
  <c r="AF8" i="32"/>
  <c r="AF13" i="32"/>
  <c r="AF7" i="32"/>
  <c r="M30" i="9"/>
  <c r="M2" i="9" s="1"/>
  <c r="M1" i="9" s="1"/>
  <c r="B19" i="22"/>
  <c r="O34" i="9" l="1"/>
  <c r="O24" i="9"/>
  <c r="O18" i="9"/>
  <c r="O37" i="9"/>
  <c r="O27" i="9"/>
  <c r="AL6" i="4" s="1"/>
  <c r="O21" i="9"/>
  <c r="B21" i="22"/>
  <c r="B22" i="22"/>
  <c r="AF19" i="32"/>
  <c r="AM9" i="32"/>
  <c r="AN9" i="32" s="1"/>
  <c r="AM14" i="32"/>
  <c r="AN14" i="32" s="1"/>
  <c r="AL14" i="32"/>
  <c r="AL13" i="32"/>
  <c r="AM12" i="32"/>
  <c r="AN12" i="32" s="1"/>
  <c r="AL12" i="32"/>
  <c r="AM13" i="32"/>
  <c r="AN13" i="32" s="1"/>
  <c r="AL7" i="32"/>
  <c r="M31" i="9"/>
  <c r="M34" i="9" s="1"/>
  <c r="M36" i="9" l="1"/>
  <c r="N36" i="9" s="1"/>
  <c r="O36" i="9" s="1"/>
  <c r="M37" i="9"/>
  <c r="AO12" i="32"/>
  <c r="AQ12" i="32" s="1"/>
  <c r="AO14" i="32"/>
  <c r="AO13" i="32"/>
  <c r="M33" i="9"/>
  <c r="N33" i="9" s="1"/>
  <c r="AL11" i="32"/>
  <c r="N34" i="9"/>
  <c r="M48" i="9"/>
  <c r="N48" i="9" s="1"/>
  <c r="N49" i="9" s="1"/>
  <c r="AM11" i="32"/>
  <c r="AN11" i="32" s="1"/>
  <c r="AM6" i="32"/>
  <c r="AN6" i="32" s="1"/>
  <c r="AM5" i="32"/>
  <c r="AN5" i="32" s="1"/>
  <c r="AM4" i="32"/>
  <c r="AL9" i="32"/>
  <c r="AO9" i="32" s="1"/>
  <c r="AM7" i="32"/>
  <c r="AN7" i="32" s="1"/>
  <c r="AO7" i="32" s="1"/>
  <c r="AL15" i="32"/>
  <c r="AL4" i="32"/>
  <c r="AL6" i="32"/>
  <c r="AM10" i="32"/>
  <c r="AN10" i="32" s="1"/>
  <c r="AL8" i="32"/>
  <c r="AM8" i="32"/>
  <c r="AN8" i="32" s="1"/>
  <c r="AM15" i="32"/>
  <c r="AN15" i="32" s="1"/>
  <c r="AL10" i="32"/>
  <c r="D104" i="15"/>
  <c r="B10" i="19"/>
  <c r="E12" i="15"/>
  <c r="E11" i="15"/>
  <c r="E10" i="15"/>
  <c r="E9" i="15"/>
  <c r="E8" i="15"/>
  <c r="E5" i="15"/>
  <c r="E4" i="15"/>
  <c r="E3" i="15"/>
  <c r="E2" i="15"/>
  <c r="G2" i="19" l="1"/>
  <c r="O33" i="9"/>
  <c r="N37" i="9"/>
  <c r="AN4" i="32"/>
  <c r="AO4" i="32" s="1"/>
  <c r="AM17" i="32"/>
  <c r="AM18" i="32" s="1"/>
  <c r="AP12" i="32"/>
  <c r="AR12" i="32" s="1"/>
  <c r="AO6" i="32"/>
  <c r="AQ6" i="32" s="1"/>
  <c r="AP9" i="32"/>
  <c r="AQ9" i="32"/>
  <c r="AO10" i="32"/>
  <c r="AO15" i="32"/>
  <c r="AO11" i="32"/>
  <c r="AP13" i="32"/>
  <c r="AQ13" i="32"/>
  <c r="AQ7" i="32"/>
  <c r="AP7" i="32"/>
  <c r="AO8" i="32"/>
  <c r="AQ14" i="32"/>
  <c r="AP14" i="32"/>
  <c r="G3" i="19"/>
  <c r="L3" i="32"/>
  <c r="AP6" i="32" l="1"/>
  <c r="AR14" i="32"/>
  <c r="AR7" i="32"/>
  <c r="AR9" i="32"/>
  <c r="AR6" i="32"/>
  <c r="AR13" i="32"/>
  <c r="AQ8" i="32"/>
  <c r="AP8" i="32"/>
  <c r="AQ11" i="32"/>
  <c r="AP11" i="32"/>
  <c r="AQ4" i="32"/>
  <c r="AP4" i="32"/>
  <c r="AQ15" i="32"/>
  <c r="AP15" i="32"/>
  <c r="AP10" i="32"/>
  <c r="AQ10" i="32"/>
  <c r="C15" i="30"/>
  <c r="C16" i="30" s="1"/>
  <c r="F137" i="25"/>
  <c r="F136" i="25"/>
  <c r="F135" i="25"/>
  <c r="F134" i="25"/>
  <c r="F133" i="25"/>
  <c r="F132" i="25"/>
  <c r="F131" i="25"/>
  <c r="F130" i="25"/>
  <c r="F129" i="25"/>
  <c r="F127" i="25"/>
  <c r="F137" i="26"/>
  <c r="F136" i="26"/>
  <c r="F135" i="26"/>
  <c r="F134" i="26"/>
  <c r="F133" i="26"/>
  <c r="F132" i="26"/>
  <c r="F131" i="26"/>
  <c r="F130" i="26"/>
  <c r="F129" i="26"/>
  <c r="F127" i="26"/>
  <c r="B4" i="1"/>
  <c r="B5" i="1"/>
  <c r="B6" i="1"/>
  <c r="B7" i="1"/>
  <c r="B8" i="1"/>
  <c r="B3" i="1"/>
  <c r="AR4" i="32" l="1"/>
  <c r="AR15" i="32"/>
  <c r="AR8" i="32"/>
  <c r="AR11" i="32"/>
  <c r="AR10" i="32"/>
  <c r="R4" i="32"/>
  <c r="C4" i="32"/>
  <c r="F128" i="25"/>
  <c r="F128" i="26"/>
  <c r="Q26" i="15"/>
  <c r="Q24" i="15"/>
  <c r="Q25" i="15"/>
  <c r="R98" i="15"/>
  <c r="R97" i="15"/>
  <c r="A98" i="15"/>
  <c r="T4" i="32" l="1"/>
  <c r="U4" i="32" s="1"/>
  <c r="C21" i="32"/>
  <c r="F4" i="32"/>
  <c r="G4" i="32" s="1"/>
  <c r="N24" i="15"/>
  <c r="E24" i="15" l="1"/>
  <c r="B17" i="19" l="1"/>
  <c r="E21" i="15" l="1"/>
  <c r="E20" i="15"/>
  <c r="E19" i="15"/>
  <c r="E18" i="15"/>
  <c r="E17" i="15"/>
  <c r="B29" i="19" l="1"/>
  <c r="E122" i="26" l="1"/>
  <c r="E122" i="25"/>
  <c r="C17" i="30"/>
  <c r="G32" i="19"/>
  <c r="G33" i="19" s="1"/>
  <c r="K24" i="15"/>
  <c r="AA83" i="30" l="1"/>
  <c r="W83" i="30"/>
  <c r="S83" i="30"/>
  <c r="T83" i="30"/>
  <c r="Z83" i="30"/>
  <c r="V83" i="30"/>
  <c r="R83" i="30"/>
  <c r="P83" i="30"/>
  <c r="Y83" i="30"/>
  <c r="U83" i="30"/>
  <c r="Q83" i="30"/>
  <c r="X83" i="30"/>
  <c r="C18" i="30"/>
  <c r="C19" i="30" s="1"/>
  <c r="G74" i="25"/>
  <c r="G73" i="25"/>
  <c r="G10" i="25"/>
  <c r="G9" i="25"/>
  <c r="G9" i="26"/>
  <c r="G73" i="26" s="1"/>
  <c r="G10" i="26"/>
  <c r="G74" i="26" s="1"/>
  <c r="N3" i="15"/>
  <c r="N4" i="15"/>
  <c r="N5" i="15"/>
  <c r="N6" i="15"/>
  <c r="N7" i="15"/>
  <c r="N8" i="15"/>
  <c r="N9" i="15"/>
  <c r="N10" i="15"/>
  <c r="N11" i="15"/>
  <c r="N12" i="15"/>
  <c r="N13" i="15"/>
  <c r="N14" i="15"/>
  <c r="N2" i="15"/>
  <c r="D12" i="15"/>
  <c r="D11" i="15"/>
  <c r="D10" i="15"/>
  <c r="D9" i="15"/>
  <c r="D8" i="15"/>
  <c r="D5" i="15"/>
  <c r="D3" i="15"/>
  <c r="D2" i="15"/>
  <c r="D4" i="15"/>
  <c r="D6" i="15"/>
  <c r="D7" i="15"/>
  <c r="D13" i="15"/>
  <c r="D14" i="15"/>
  <c r="A3" i="15"/>
  <c r="A4" i="15"/>
  <c r="A5" i="15"/>
  <c r="G11" i="19"/>
  <c r="A2" i="15"/>
  <c r="G75" i="25" s="1"/>
  <c r="A6" i="15"/>
  <c r="A7" i="15"/>
  <c r="A8" i="15"/>
  <c r="A9" i="15"/>
  <c r="A10" i="15"/>
  <c r="A11" i="15"/>
  <c r="A12" i="15"/>
  <c r="A13" i="15"/>
  <c r="A14" i="15"/>
  <c r="C19" i="4"/>
  <c r="AK1" i="4"/>
  <c r="AP1" i="4"/>
  <c r="AZ1" i="4" s="1"/>
  <c r="C20" i="4"/>
  <c r="AU1" i="4"/>
  <c r="AZ2" i="4" s="1"/>
  <c r="AV3" i="4" s="1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Q6" i="4"/>
  <c r="G4" i="19"/>
  <c r="AL7" i="4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D31" i="17"/>
  <c r="D32" i="17"/>
  <c r="D33" i="17"/>
  <c r="D34" i="17"/>
  <c r="D35" i="17"/>
  <c r="D36" i="17"/>
  <c r="D30" i="17"/>
  <c r="F7" i="4"/>
  <c r="T7" i="4" s="1"/>
  <c r="B30" i="19"/>
  <c r="G83" i="25"/>
  <c r="BD4" i="4"/>
  <c r="BE3" i="4"/>
  <c r="BD3" i="4"/>
  <c r="BC3" i="4"/>
  <c r="G68" i="25"/>
  <c r="G4" i="26"/>
  <c r="G68" i="26" s="1"/>
  <c r="D3" i="1"/>
  <c r="D29" i="1" s="1"/>
  <c r="F3" i="1"/>
  <c r="F29" i="1" s="1"/>
  <c r="D4" i="1"/>
  <c r="A17" i="15"/>
  <c r="A18" i="15"/>
  <c r="A19" i="15"/>
  <c r="A20" i="15"/>
  <c r="A21" i="15"/>
  <c r="F4" i="1"/>
  <c r="F30" i="1" s="1"/>
  <c r="F5" i="1"/>
  <c r="F31" i="1" s="1"/>
  <c r="D6" i="1"/>
  <c r="F6" i="1"/>
  <c r="F32" i="1" s="1"/>
  <c r="D7" i="1"/>
  <c r="F7" i="1"/>
  <c r="F33" i="1" s="1"/>
  <c r="D8" i="1"/>
  <c r="F8" i="1"/>
  <c r="F34" i="1" s="1"/>
  <c r="D40" i="1"/>
  <c r="C37" i="1"/>
  <c r="C11" i="1" s="1"/>
  <c r="C38" i="1"/>
  <c r="C12" i="1" s="1"/>
  <c r="C39" i="1"/>
  <c r="C13" i="1" s="1"/>
  <c r="D43" i="19"/>
  <c r="D41" i="1" s="1"/>
  <c r="D47" i="1"/>
  <c r="D41" i="19"/>
  <c r="D48" i="1" s="1"/>
  <c r="B18" i="19"/>
  <c r="AH3" i="4"/>
  <c r="AH2" i="4"/>
  <c r="AI3" i="4"/>
  <c r="AI2" i="4"/>
  <c r="C5" i="31"/>
  <c r="C11" i="31"/>
  <c r="C10" i="31"/>
  <c r="C9" i="31"/>
  <c r="C19" i="31"/>
  <c r="C23" i="31"/>
  <c r="C18" i="31"/>
  <c r="GA51" i="30"/>
  <c r="FZ51" i="30"/>
  <c r="FY51" i="30"/>
  <c r="FX51" i="30"/>
  <c r="FW51" i="30"/>
  <c r="FV51" i="30"/>
  <c r="FU51" i="30"/>
  <c r="FT51" i="30"/>
  <c r="FS51" i="30"/>
  <c r="FR51" i="30"/>
  <c r="FQ51" i="30"/>
  <c r="FP51" i="30"/>
  <c r="FO51" i="30"/>
  <c r="FN51" i="30"/>
  <c r="FM51" i="30"/>
  <c r="FL51" i="30"/>
  <c r="FK51" i="30"/>
  <c r="FJ51" i="30"/>
  <c r="FI51" i="30"/>
  <c r="FH51" i="30"/>
  <c r="FG51" i="30"/>
  <c r="FF51" i="30"/>
  <c r="FE51" i="30"/>
  <c r="FD51" i="30"/>
  <c r="FC51" i="30"/>
  <c r="FB51" i="30"/>
  <c r="FA51" i="30"/>
  <c r="EZ51" i="30"/>
  <c r="EY51" i="30"/>
  <c r="EX51" i="30"/>
  <c r="EW51" i="30"/>
  <c r="EV51" i="30"/>
  <c r="EU51" i="30"/>
  <c r="ET51" i="30"/>
  <c r="ES51" i="30"/>
  <c r="ER51" i="30"/>
  <c r="EQ51" i="30"/>
  <c r="EP51" i="30"/>
  <c r="EO51" i="30"/>
  <c r="EN51" i="30"/>
  <c r="EM51" i="30"/>
  <c r="EL51" i="30"/>
  <c r="EK51" i="30"/>
  <c r="EJ51" i="30"/>
  <c r="EI51" i="30"/>
  <c r="EH51" i="30"/>
  <c r="EG51" i="30"/>
  <c r="EF51" i="30"/>
  <c r="EE51" i="30"/>
  <c r="ED51" i="30"/>
  <c r="EC51" i="30"/>
  <c r="EB51" i="30"/>
  <c r="EA51" i="30"/>
  <c r="DZ51" i="30"/>
  <c r="DY51" i="30"/>
  <c r="DX51" i="30"/>
  <c r="DW51" i="30"/>
  <c r="DV51" i="30"/>
  <c r="DU51" i="30"/>
  <c r="DT51" i="30"/>
  <c r="DS51" i="30"/>
  <c r="DR51" i="30"/>
  <c r="DQ51" i="30"/>
  <c r="DP51" i="30"/>
  <c r="DO51" i="30"/>
  <c r="DN51" i="30"/>
  <c r="DM51" i="30"/>
  <c r="DL51" i="30"/>
  <c r="DK51" i="30"/>
  <c r="DJ51" i="30"/>
  <c r="DI51" i="30"/>
  <c r="DH51" i="30"/>
  <c r="DG51" i="30"/>
  <c r="DF51" i="30"/>
  <c r="DE51" i="30"/>
  <c r="DD51" i="30"/>
  <c r="DC51" i="30"/>
  <c r="DB51" i="30"/>
  <c r="DA51" i="30"/>
  <c r="CZ51" i="30"/>
  <c r="CY51" i="30"/>
  <c r="CX51" i="30"/>
  <c r="CW51" i="30"/>
  <c r="CV51" i="30"/>
  <c r="CU51" i="30"/>
  <c r="CT51" i="30"/>
  <c r="CS51" i="30"/>
  <c r="CR51" i="30"/>
  <c r="CQ51" i="30"/>
  <c r="CP51" i="30"/>
  <c r="CO51" i="30"/>
  <c r="CN51" i="30"/>
  <c r="CM51" i="30"/>
  <c r="CL51" i="30"/>
  <c r="CK51" i="30"/>
  <c r="CJ51" i="30"/>
  <c r="CI51" i="30"/>
  <c r="CH51" i="30"/>
  <c r="CG51" i="30"/>
  <c r="CF51" i="30"/>
  <c r="CE51" i="30"/>
  <c r="CD51" i="30"/>
  <c r="CC51" i="30"/>
  <c r="CB51" i="30"/>
  <c r="CA51" i="30"/>
  <c r="BZ51" i="30"/>
  <c r="BY51" i="30"/>
  <c r="BX51" i="30"/>
  <c r="BW51" i="30"/>
  <c r="BV51" i="30"/>
  <c r="BU51" i="30"/>
  <c r="BT51" i="30"/>
  <c r="BS51" i="30"/>
  <c r="BR51" i="30"/>
  <c r="BQ51" i="30"/>
  <c r="BP51" i="30"/>
  <c r="BO51" i="30"/>
  <c r="BN51" i="30"/>
  <c r="BM51" i="30"/>
  <c r="BL51" i="30"/>
  <c r="BK51" i="30"/>
  <c r="BJ51" i="30"/>
  <c r="BI51" i="30"/>
  <c r="BH51" i="30"/>
  <c r="BG51" i="30"/>
  <c r="BF51" i="30"/>
  <c r="BE51" i="30"/>
  <c r="BD51" i="30"/>
  <c r="BC51" i="30"/>
  <c r="BB51" i="30"/>
  <c r="BA51" i="30"/>
  <c r="AZ51" i="30"/>
  <c r="AY51" i="30"/>
  <c r="AX51" i="30"/>
  <c r="AW51" i="30"/>
  <c r="AV51" i="30"/>
  <c r="AU51" i="30"/>
  <c r="AT51" i="30"/>
  <c r="AS51" i="30"/>
  <c r="AR51" i="30"/>
  <c r="AQ51" i="30"/>
  <c r="AP51" i="30"/>
  <c r="AO51" i="30"/>
  <c r="AN51" i="30"/>
  <c r="AM51" i="30"/>
  <c r="AL51" i="30"/>
  <c r="AK51" i="30"/>
  <c r="AJ51" i="30"/>
  <c r="AI51" i="30"/>
  <c r="AH51" i="30"/>
  <c r="AG51" i="30"/>
  <c r="AF51" i="30"/>
  <c r="AE51" i="30"/>
  <c r="AD51" i="30"/>
  <c r="AC51" i="30"/>
  <c r="AB51" i="30"/>
  <c r="AA51" i="30"/>
  <c r="Z51" i="30"/>
  <c r="Y51" i="30"/>
  <c r="X51" i="30"/>
  <c r="W51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C51" i="30"/>
  <c r="C54" i="30" s="1"/>
  <c r="D39" i="19"/>
  <c r="B15" i="19" s="1"/>
  <c r="C52" i="30"/>
  <c r="AL5" i="32"/>
  <c r="AO5" i="32" s="1"/>
  <c r="M7" i="4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D26" i="25"/>
  <c r="A99" i="15"/>
  <c r="A100" i="15"/>
  <c r="A101" i="15"/>
  <c r="A97" i="15"/>
  <c r="A107" i="15"/>
  <c r="A108" i="15"/>
  <c r="Q27" i="15"/>
  <c r="G69" i="25"/>
  <c r="G6" i="25"/>
  <c r="G70" i="25" s="1"/>
  <c r="G7" i="25"/>
  <c r="G71" i="25" s="1"/>
  <c r="G83" i="26"/>
  <c r="D26" i="26"/>
  <c r="G7" i="26"/>
  <c r="G71" i="26" s="1"/>
  <c r="G6" i="26"/>
  <c r="G70" i="26" s="1"/>
  <c r="G69" i="26"/>
  <c r="G24" i="26"/>
  <c r="D24" i="26"/>
  <c r="G24" i="25"/>
  <c r="D24" i="25"/>
  <c r="F35" i="1"/>
  <c r="B52" i="1"/>
  <c r="B51" i="1"/>
  <c r="B50" i="1"/>
  <c r="B49" i="1"/>
  <c r="B48" i="1"/>
  <c r="B47" i="1"/>
  <c r="B46" i="1"/>
  <c r="B45" i="1"/>
  <c r="A29" i="1"/>
  <c r="B29" i="1"/>
  <c r="B30" i="1"/>
  <c r="B31" i="1"/>
  <c r="B32" i="1"/>
  <c r="B33" i="1"/>
  <c r="B34" i="1"/>
  <c r="B35" i="1"/>
  <c r="B37" i="1"/>
  <c r="B38" i="1"/>
  <c r="B39" i="1"/>
  <c r="B40" i="1"/>
  <c r="B41" i="1"/>
  <c r="B42" i="1"/>
  <c r="B44" i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G34" i="19" l="1"/>
  <c r="AQ5" i="32"/>
  <c r="AP5" i="32"/>
  <c r="R99" i="15"/>
  <c r="E7" i="22" s="1"/>
  <c r="R26" i="15"/>
  <c r="BE4" i="4"/>
  <c r="R24" i="15"/>
  <c r="R25" i="15" s="1"/>
  <c r="E5" i="22" s="1"/>
  <c r="G15" i="19"/>
  <c r="G35" i="19"/>
  <c r="G36" i="19" s="1"/>
  <c r="BC4" i="4"/>
  <c r="AS4" i="4"/>
  <c r="G11" i="26"/>
  <c r="G75" i="26" s="1"/>
  <c r="G11" i="25"/>
  <c r="G6" i="22"/>
  <c r="E7" i="1"/>
  <c r="D5" i="1"/>
  <c r="E5" i="1" s="1"/>
  <c r="G5" i="22"/>
  <c r="H5" i="22"/>
  <c r="G4" i="22"/>
  <c r="H4" i="22"/>
  <c r="E8" i="1"/>
  <c r="G13" i="19"/>
  <c r="G12" i="19"/>
  <c r="G17" i="19" s="1"/>
  <c r="E4" i="1"/>
  <c r="D52" i="30"/>
  <c r="AQ3" i="4"/>
  <c r="F13" i="4"/>
  <c r="T13" i="4" s="1"/>
  <c r="F9" i="4"/>
  <c r="T9" i="4" s="1"/>
  <c r="F17" i="4"/>
  <c r="T17" i="4" s="1"/>
  <c r="F8" i="4"/>
  <c r="T8" i="4" s="1"/>
  <c r="F16" i="4"/>
  <c r="T16" i="4" s="1"/>
  <c r="G7" i="19"/>
  <c r="AR4" i="4"/>
  <c r="F12" i="4"/>
  <c r="T12" i="4" s="1"/>
  <c r="F20" i="4"/>
  <c r="T20" i="4" s="1"/>
  <c r="AR3" i="4"/>
  <c r="D6" i="4"/>
  <c r="D7" i="4" s="1"/>
  <c r="D8" i="4" s="1"/>
  <c r="D9" i="4" s="1"/>
  <c r="E9" i="4" s="1"/>
  <c r="C21" i="31"/>
  <c r="E3" i="1"/>
  <c r="AT4" i="4"/>
  <c r="D21" i="1"/>
  <c r="D34" i="1"/>
  <c r="D20" i="25"/>
  <c r="G20" i="25" s="1"/>
  <c r="F18" i="4"/>
  <c r="T18" i="4" s="1"/>
  <c r="F14" i="4"/>
  <c r="T14" i="4" s="1"/>
  <c r="F10" i="4"/>
  <c r="T10" i="4" s="1"/>
  <c r="F6" i="4"/>
  <c r="T6" i="4" s="1"/>
  <c r="AT3" i="4"/>
  <c r="AS3" i="4"/>
  <c r="AQ4" i="4"/>
  <c r="AW4" i="4"/>
  <c r="AY4" i="4"/>
  <c r="AW3" i="4"/>
  <c r="D20" i="26"/>
  <c r="G20" i="26" s="1"/>
  <c r="AX4" i="4"/>
  <c r="AV4" i="4"/>
  <c r="D30" i="1"/>
  <c r="D22" i="1"/>
  <c r="F19" i="4"/>
  <c r="T19" i="4" s="1"/>
  <c r="F15" i="4"/>
  <c r="T15" i="4" s="1"/>
  <c r="F11" i="4"/>
  <c r="T11" i="4" s="1"/>
  <c r="AY3" i="4"/>
  <c r="AX3" i="4"/>
  <c r="D33" i="1"/>
  <c r="E6" i="1"/>
  <c r="D32" i="1"/>
  <c r="E52" i="30" l="1"/>
  <c r="F52" i="30" s="1"/>
  <c r="R6" i="4"/>
  <c r="AR5" i="32"/>
  <c r="AR19" i="32" s="1"/>
  <c r="AG8" i="32"/>
  <c r="AG9" i="32"/>
  <c r="AG7" i="32"/>
  <c r="AG15" i="32"/>
  <c r="AG13" i="32"/>
  <c r="AG5" i="32"/>
  <c r="AG4" i="32"/>
  <c r="AH4" i="32" s="1"/>
  <c r="AG14" i="32"/>
  <c r="AG10" i="32"/>
  <c r="AG12" i="32"/>
  <c r="AG11" i="32"/>
  <c r="AG6" i="32"/>
  <c r="G18" i="19"/>
  <c r="AX14" i="32" s="1"/>
  <c r="B1" i="1"/>
  <c r="C4" i="1" s="1"/>
  <c r="C30" i="1" s="1"/>
  <c r="E30" i="1" s="1"/>
  <c r="B24" i="19"/>
  <c r="D37" i="30" s="1"/>
  <c r="F17" i="22"/>
  <c r="D22" i="22" s="1"/>
  <c r="D31" i="1"/>
  <c r="D10" i="4"/>
  <c r="D11" i="4" s="1"/>
  <c r="D12" i="4" s="1"/>
  <c r="E12" i="4" s="1"/>
  <c r="G12" i="4" s="1"/>
  <c r="G9" i="4"/>
  <c r="H9" i="4" s="1"/>
  <c r="G8" i="26"/>
  <c r="G72" i="26" s="1"/>
  <c r="G8" i="25"/>
  <c r="G72" i="25" s="1"/>
  <c r="E8" i="4"/>
  <c r="G8" i="4" s="1"/>
  <c r="H8" i="4" s="1"/>
  <c r="E6" i="4"/>
  <c r="G6" i="4" s="1"/>
  <c r="E7" i="4"/>
  <c r="G7" i="4" s="1"/>
  <c r="E9" i="1"/>
  <c r="M70" i="30" l="1"/>
  <c r="I70" i="30"/>
  <c r="E70" i="30"/>
  <c r="L70" i="30"/>
  <c r="H70" i="30"/>
  <c r="O70" i="30"/>
  <c r="G70" i="30"/>
  <c r="J70" i="30"/>
  <c r="N70" i="30"/>
  <c r="F70" i="30"/>
  <c r="K70" i="30"/>
  <c r="AX6" i="32"/>
  <c r="AX15" i="32"/>
  <c r="AX10" i="32"/>
  <c r="AX5" i="32"/>
  <c r="AX7" i="32"/>
  <c r="AX8" i="32"/>
  <c r="AX13" i="32"/>
  <c r="AX4" i="32"/>
  <c r="AX9" i="32"/>
  <c r="AX11" i="32"/>
  <c r="AX12" i="32"/>
  <c r="AI4" i="32"/>
  <c r="AJ4" i="32"/>
  <c r="AH12" i="32"/>
  <c r="AH5" i="32"/>
  <c r="AH9" i="32"/>
  <c r="AH10" i="32"/>
  <c r="AH13" i="32"/>
  <c r="AH8" i="32"/>
  <c r="AH11" i="32"/>
  <c r="AH7" i="32"/>
  <c r="AH6" i="32"/>
  <c r="AH14" i="32"/>
  <c r="AH15" i="32"/>
  <c r="D41" i="30"/>
  <c r="AG19" i="32"/>
  <c r="E37" i="30"/>
  <c r="D42" i="30"/>
  <c r="D70" i="30"/>
  <c r="E13" i="1"/>
  <c r="F18" i="22"/>
  <c r="E38" i="1"/>
  <c r="E11" i="1"/>
  <c r="E39" i="1"/>
  <c r="C8" i="1"/>
  <c r="C34" i="1" s="1"/>
  <c r="E34" i="1" s="1"/>
  <c r="C3" i="1"/>
  <c r="C29" i="1" s="1"/>
  <c r="E29" i="1" s="1"/>
  <c r="C7" i="1"/>
  <c r="C33" i="1" s="1"/>
  <c r="E33" i="1" s="1"/>
  <c r="E12" i="1"/>
  <c r="C5" i="1"/>
  <c r="C31" i="1" s="1"/>
  <c r="E31" i="1" s="1"/>
  <c r="E37" i="1"/>
  <c r="C6" i="1"/>
  <c r="C32" i="1" s="1"/>
  <c r="E32" i="1" s="1"/>
  <c r="L12" i="4"/>
  <c r="L19" i="4"/>
  <c r="Z6" i="4"/>
  <c r="AA6" i="4" s="1"/>
  <c r="AB6" i="4" s="1"/>
  <c r="L14" i="4"/>
  <c r="L7" i="4"/>
  <c r="O7" i="4" s="1"/>
  <c r="L16" i="4"/>
  <c r="G21" i="19"/>
  <c r="G19" i="19"/>
  <c r="F19" i="22" s="1"/>
  <c r="F20" i="22"/>
  <c r="D23" i="22" s="1"/>
  <c r="L18" i="4"/>
  <c r="L6" i="4"/>
  <c r="L17" i="4"/>
  <c r="L15" i="4"/>
  <c r="L10" i="4"/>
  <c r="L8" i="4"/>
  <c r="L11" i="4"/>
  <c r="L13" i="4"/>
  <c r="L20" i="4"/>
  <c r="L9" i="4"/>
  <c r="C20" i="31"/>
  <c r="E11" i="4"/>
  <c r="G11" i="4" s="1"/>
  <c r="I11" i="4" s="1"/>
  <c r="D13" i="4"/>
  <c r="E13" i="4" s="1"/>
  <c r="G13" i="4" s="1"/>
  <c r="E10" i="4"/>
  <c r="G10" i="4" s="1"/>
  <c r="H10" i="4" s="1"/>
  <c r="I9" i="4"/>
  <c r="J9" i="4" s="1"/>
  <c r="I8" i="4"/>
  <c r="J8" i="4" s="1"/>
  <c r="H7" i="4"/>
  <c r="I7" i="4"/>
  <c r="H6" i="4"/>
  <c r="I6" i="4"/>
  <c r="I12" i="4"/>
  <c r="H12" i="4"/>
  <c r="G52" i="30"/>
  <c r="AX19" i="32" l="1"/>
  <c r="N69" i="30"/>
  <c r="J69" i="30"/>
  <c r="F69" i="30"/>
  <c r="M69" i="30"/>
  <c r="I69" i="30"/>
  <c r="E69" i="30"/>
  <c r="L69" i="30"/>
  <c r="H69" i="30"/>
  <c r="D69" i="30"/>
  <c r="O69" i="30"/>
  <c r="K69" i="30"/>
  <c r="G69" i="30"/>
  <c r="Y70" i="30"/>
  <c r="U70" i="30"/>
  <c r="Q70" i="30"/>
  <c r="AA70" i="30"/>
  <c r="X70" i="30"/>
  <c r="T70" i="30"/>
  <c r="P70" i="30"/>
  <c r="W70" i="30"/>
  <c r="S70" i="30"/>
  <c r="Z70" i="30"/>
  <c r="F37" i="30"/>
  <c r="V70" i="30"/>
  <c r="R70" i="30"/>
  <c r="E41" i="30"/>
  <c r="V54" i="30" s="1"/>
  <c r="M54" i="30"/>
  <c r="I54" i="30"/>
  <c r="E54" i="30"/>
  <c r="F54" i="30"/>
  <c r="L54" i="30"/>
  <c r="H54" i="30"/>
  <c r="J54" i="30"/>
  <c r="O54" i="30"/>
  <c r="K54" i="30"/>
  <c r="G54" i="30"/>
  <c r="N54" i="30"/>
  <c r="AJ5" i="32"/>
  <c r="AS5" i="32" s="1"/>
  <c r="AT5" i="32" s="1"/>
  <c r="AV5" i="32" s="1"/>
  <c r="AS4" i="32"/>
  <c r="AT4" i="32" s="1"/>
  <c r="E42" i="30"/>
  <c r="O20" i="4"/>
  <c r="O10" i="4"/>
  <c r="N18" i="4"/>
  <c r="N16" i="4"/>
  <c r="O19" i="4"/>
  <c r="N13" i="4"/>
  <c r="O15" i="4"/>
  <c r="Q8" i="4"/>
  <c r="N12" i="4"/>
  <c r="N11" i="4"/>
  <c r="O17" i="4"/>
  <c r="N14" i="4"/>
  <c r="N9" i="4"/>
  <c r="O8" i="4"/>
  <c r="N6" i="4"/>
  <c r="D85" i="26"/>
  <c r="S5" i="32"/>
  <c r="C22" i="31"/>
  <c r="C125" i="26"/>
  <c r="C125" i="25"/>
  <c r="C126" i="26"/>
  <c r="C126" i="25"/>
  <c r="C9" i="1"/>
  <c r="C35" i="1"/>
  <c r="C41" i="1" s="1"/>
  <c r="C15" i="1" s="1"/>
  <c r="E15" i="1" s="1"/>
  <c r="D54" i="30"/>
  <c r="O12" i="4"/>
  <c r="O11" i="4"/>
  <c r="N19" i="4"/>
  <c r="D22" i="25"/>
  <c r="D85" i="25"/>
  <c r="D22" i="26"/>
  <c r="Z7" i="4"/>
  <c r="AA7" i="4" s="1"/>
  <c r="AB7" i="4" s="1"/>
  <c r="S6" i="32" s="1"/>
  <c r="T6" i="32" s="1"/>
  <c r="N17" i="4"/>
  <c r="O14" i="4"/>
  <c r="O13" i="4"/>
  <c r="N7" i="4"/>
  <c r="O16" i="4"/>
  <c r="N20" i="4"/>
  <c r="O18" i="4"/>
  <c r="N15" i="4"/>
  <c r="N10" i="4"/>
  <c r="O6" i="4"/>
  <c r="N8" i="4"/>
  <c r="O9" i="4"/>
  <c r="D14" i="4"/>
  <c r="D15" i="4" s="1"/>
  <c r="H11" i="4"/>
  <c r="J11" i="4" s="1"/>
  <c r="I10" i="4"/>
  <c r="J10" i="4" s="1"/>
  <c r="J6" i="4"/>
  <c r="C123" i="25" s="1"/>
  <c r="J7" i="4"/>
  <c r="J12" i="4"/>
  <c r="H13" i="4"/>
  <c r="I13" i="4"/>
  <c r="H52" i="30"/>
  <c r="Z54" i="30" l="1"/>
  <c r="Y69" i="30"/>
  <c r="U69" i="30"/>
  <c r="Q69" i="30"/>
  <c r="X69" i="30"/>
  <c r="T69" i="30"/>
  <c r="P69" i="30"/>
  <c r="V69" i="30"/>
  <c r="AA69" i="30"/>
  <c r="W69" i="30"/>
  <c r="S69" i="30"/>
  <c r="Z69" i="30"/>
  <c r="R69" i="30"/>
  <c r="T54" i="30"/>
  <c r="P54" i="30"/>
  <c r="W54" i="30"/>
  <c r="AK70" i="30"/>
  <c r="AG70" i="30"/>
  <c r="AC70" i="30"/>
  <c r="AI70" i="30"/>
  <c r="AJ70" i="30"/>
  <c r="AF70" i="30"/>
  <c r="AB70" i="30"/>
  <c r="F42" i="30"/>
  <c r="AM70" i="30"/>
  <c r="AE70" i="30"/>
  <c r="AL70" i="30"/>
  <c r="AH70" i="30"/>
  <c r="AD70" i="30"/>
  <c r="G37" i="30"/>
  <c r="AA54" i="30"/>
  <c r="R54" i="30"/>
  <c r="U54" i="30"/>
  <c r="S54" i="30"/>
  <c r="Q54" i="30"/>
  <c r="F41" i="30"/>
  <c r="G41" i="30" s="1"/>
  <c r="X54" i="30"/>
  <c r="Y54" i="30"/>
  <c r="AY16" i="4"/>
  <c r="AS19" i="4"/>
  <c r="Q10" i="4"/>
  <c r="AT18" i="4"/>
  <c r="Q14" i="4"/>
  <c r="AQ11" i="4"/>
  <c r="Q18" i="4"/>
  <c r="BD15" i="4"/>
  <c r="AR12" i="4"/>
  <c r="AT20" i="4"/>
  <c r="Q7" i="4"/>
  <c r="AT14" i="4"/>
  <c r="T5" i="32"/>
  <c r="AT8" i="4"/>
  <c r="AX10" i="4"/>
  <c r="AI5" i="32"/>
  <c r="AJ6" i="32" s="1"/>
  <c r="AS6" i="32" s="1"/>
  <c r="AT6" i="32" s="1"/>
  <c r="AU6" i="32" s="1"/>
  <c r="AU5" i="32"/>
  <c r="AW5" i="32" s="1"/>
  <c r="AY5" i="32" s="1"/>
  <c r="AZ5" i="32" s="1"/>
  <c r="BC19" i="4"/>
  <c r="AV4" i="32"/>
  <c r="AU4" i="32"/>
  <c r="Q20" i="4"/>
  <c r="AY8" i="4"/>
  <c r="BC10" i="4"/>
  <c r="AT10" i="4"/>
  <c r="Q16" i="4"/>
  <c r="AR15" i="4"/>
  <c r="BD8" i="4"/>
  <c r="AR10" i="4"/>
  <c r="AV10" i="4"/>
  <c r="Q11" i="4"/>
  <c r="AQ8" i="4"/>
  <c r="Q9" i="4"/>
  <c r="BC8" i="4"/>
  <c r="BE10" i="4"/>
  <c r="AY10" i="4"/>
  <c r="AR20" i="4"/>
  <c r="AW20" i="4"/>
  <c r="AV20" i="4"/>
  <c r="AX19" i="4"/>
  <c r="AY20" i="4"/>
  <c r="AR19" i="4"/>
  <c r="AQ19" i="4"/>
  <c r="BC20" i="4"/>
  <c r="BE20" i="4"/>
  <c r="AV19" i="4"/>
  <c r="AW15" i="4"/>
  <c r="AX8" i="4"/>
  <c r="AR8" i="4"/>
  <c r="AQ10" i="4"/>
  <c r="AV8" i="4"/>
  <c r="AW10" i="4"/>
  <c r="BD10" i="4"/>
  <c r="BE17" i="4"/>
  <c r="AS8" i="4"/>
  <c r="AW8" i="4"/>
  <c r="BE8" i="4"/>
  <c r="AR16" i="4"/>
  <c r="AS10" i="4"/>
  <c r="BD20" i="4"/>
  <c r="AX15" i="4"/>
  <c r="AW17" i="4"/>
  <c r="AY19" i="4"/>
  <c r="BE19" i="4"/>
  <c r="AT19" i="4"/>
  <c r="AX20" i="4"/>
  <c r="AQ20" i="4"/>
  <c r="AS20" i="4"/>
  <c r="AW19" i="4"/>
  <c r="BD19" i="4"/>
  <c r="AT17" i="4"/>
  <c r="BD7" i="4"/>
  <c r="AQ7" i="4"/>
  <c r="AY15" i="4"/>
  <c r="AQ17" i="4"/>
  <c r="AT15" i="4"/>
  <c r="AV15" i="4"/>
  <c r="BC15" i="4"/>
  <c r="AX17" i="4"/>
  <c r="AS17" i="4"/>
  <c r="AR17" i="4"/>
  <c r="AS15" i="4"/>
  <c r="BE15" i="4"/>
  <c r="AQ15" i="4"/>
  <c r="BD17" i="4"/>
  <c r="AV17" i="4"/>
  <c r="AY17" i="4"/>
  <c r="BC17" i="4"/>
  <c r="AS7" i="4"/>
  <c r="BC7" i="4"/>
  <c r="E41" i="1"/>
  <c r="AV12" i="4"/>
  <c r="AY7" i="4"/>
  <c r="AX7" i="4"/>
  <c r="AR7" i="4"/>
  <c r="AT7" i="4"/>
  <c r="BE7" i="4"/>
  <c r="AW7" i="4"/>
  <c r="AV7" i="4"/>
  <c r="U6" i="32"/>
  <c r="C129" i="26"/>
  <c r="C129" i="25"/>
  <c r="C124" i="26"/>
  <c r="C124" i="25"/>
  <c r="C127" i="26"/>
  <c r="C127" i="25"/>
  <c r="C128" i="26"/>
  <c r="C128" i="25"/>
  <c r="AX12" i="4"/>
  <c r="F14" i="22"/>
  <c r="E35" i="1"/>
  <c r="M4" i="32" s="1"/>
  <c r="C40" i="1"/>
  <c r="E40" i="1" s="1"/>
  <c r="AX11" i="4"/>
  <c r="AW12" i="4"/>
  <c r="BD12" i="4"/>
  <c r="AS11" i="4"/>
  <c r="AT11" i="4"/>
  <c r="BC11" i="4"/>
  <c r="AR11" i="4"/>
  <c r="BD11" i="4"/>
  <c r="AV11" i="4"/>
  <c r="BC12" i="4"/>
  <c r="AT12" i="4"/>
  <c r="AS12" i="4"/>
  <c r="AQ12" i="4"/>
  <c r="Q13" i="4"/>
  <c r="BE12" i="4"/>
  <c r="AY12" i="4"/>
  <c r="Q12" i="4"/>
  <c r="BE11" i="4"/>
  <c r="AY11" i="4"/>
  <c r="AW11" i="4"/>
  <c r="AV13" i="4"/>
  <c r="AS13" i="4"/>
  <c r="Q15" i="4"/>
  <c r="AV14" i="4"/>
  <c r="BE14" i="4"/>
  <c r="AY14" i="4"/>
  <c r="Q19" i="4"/>
  <c r="AY18" i="4"/>
  <c r="AR13" i="4"/>
  <c r="AX13" i="4"/>
  <c r="BC13" i="4"/>
  <c r="BD14" i="4"/>
  <c r="AQ14" i="4"/>
  <c r="AR14" i="4"/>
  <c r="AS14" i="4"/>
  <c r="BC14" i="4"/>
  <c r="AW14" i="4"/>
  <c r="AX14" i="4"/>
  <c r="BE6" i="4"/>
  <c r="BD18" i="4"/>
  <c r="Z8" i="4"/>
  <c r="AA8" i="4" s="1"/>
  <c r="AB8" i="4" s="1"/>
  <c r="S7" i="32" s="1"/>
  <c r="T7" i="32" s="1"/>
  <c r="BE13" i="4"/>
  <c r="BD13" i="4"/>
  <c r="AY13" i="4"/>
  <c r="AX18" i="4"/>
  <c r="AR18" i="4"/>
  <c r="AQ13" i="4"/>
  <c r="AW13" i="4"/>
  <c r="AT13" i="4"/>
  <c r="AR9" i="4"/>
  <c r="AQ16" i="4"/>
  <c r="BE9" i="4"/>
  <c r="AV16" i="4"/>
  <c r="AS16" i="4"/>
  <c r="BD16" i="4"/>
  <c r="AS9" i="4"/>
  <c r="BE16" i="4"/>
  <c r="AW16" i="4"/>
  <c r="AV9" i="4"/>
  <c r="BC9" i="4"/>
  <c r="Q17" i="4"/>
  <c r="BC16" i="4"/>
  <c r="AX9" i="4"/>
  <c r="BD9" i="4"/>
  <c r="AT9" i="4"/>
  <c r="AQ9" i="4"/>
  <c r="AW9" i="4"/>
  <c r="AY9" i="4"/>
  <c r="AT16" i="4"/>
  <c r="AX16" i="4"/>
  <c r="AW18" i="4"/>
  <c r="BC18" i="4"/>
  <c r="AS18" i="4"/>
  <c r="BE18" i="4"/>
  <c r="AV18" i="4"/>
  <c r="AQ18" i="4"/>
  <c r="BC6" i="4"/>
  <c r="BD6" i="4"/>
  <c r="C84" i="26"/>
  <c r="C86" i="26" s="1"/>
  <c r="C123" i="26"/>
  <c r="E14" i="4"/>
  <c r="G14" i="4" s="1"/>
  <c r="H14" i="4" s="1"/>
  <c r="G5" i="19"/>
  <c r="C84" i="25"/>
  <c r="C86" i="25" s="1"/>
  <c r="J13" i="4"/>
  <c r="D16" i="4"/>
  <c r="E15" i="4"/>
  <c r="G15" i="4" s="1"/>
  <c r="I52" i="30"/>
  <c r="N7" i="32" l="1"/>
  <c r="N6" i="32"/>
  <c r="N5" i="32"/>
  <c r="N8" i="32"/>
  <c r="AK69" i="30"/>
  <c r="AG69" i="30"/>
  <c r="AC69" i="30"/>
  <c r="AH69" i="30"/>
  <c r="AJ69" i="30"/>
  <c r="AF69" i="30"/>
  <c r="AB69" i="30"/>
  <c r="AD69" i="30"/>
  <c r="AM69" i="30"/>
  <c r="AI69" i="30"/>
  <c r="AE69" i="30"/>
  <c r="AL69" i="30"/>
  <c r="AM54" i="30"/>
  <c r="AC54" i="30"/>
  <c r="AF54" i="30"/>
  <c r="AD54" i="30"/>
  <c r="AK54" i="30"/>
  <c r="AL54" i="30"/>
  <c r="H37" i="30"/>
  <c r="N9" i="32" s="1"/>
  <c r="AW70" i="30"/>
  <c r="AS70" i="30"/>
  <c r="AO70" i="30"/>
  <c r="G42" i="30"/>
  <c r="AY70" i="30"/>
  <c r="AQ70" i="30"/>
  <c r="AV70" i="30"/>
  <c r="AR70" i="30"/>
  <c r="AN70" i="30"/>
  <c r="AU70" i="30"/>
  <c r="AT70" i="30"/>
  <c r="AX70" i="30"/>
  <c r="AP70" i="30"/>
  <c r="AE54" i="30"/>
  <c r="AG54" i="30"/>
  <c r="AH54" i="30"/>
  <c r="AI54" i="30"/>
  <c r="AJ54" i="30"/>
  <c r="AB54" i="30"/>
  <c r="H41" i="30"/>
  <c r="AX54" i="30"/>
  <c r="AT54" i="30"/>
  <c r="AP54" i="30"/>
  <c r="AR54" i="30"/>
  <c r="AW54" i="30"/>
  <c r="AS54" i="30"/>
  <c r="AO54" i="30"/>
  <c r="AV54" i="30"/>
  <c r="AN54" i="30"/>
  <c r="AQ54" i="30"/>
  <c r="AY54" i="30"/>
  <c r="AU54" i="30"/>
  <c r="BB6" i="4"/>
  <c r="AU7" i="4"/>
  <c r="BB18" i="4"/>
  <c r="AM18" i="4" s="1"/>
  <c r="AU8" i="4"/>
  <c r="BB9" i="4"/>
  <c r="AM9" i="4" s="1"/>
  <c r="BB14" i="4"/>
  <c r="AM14" i="4" s="1"/>
  <c r="AU9" i="4"/>
  <c r="AP10" i="4"/>
  <c r="AP8" i="4"/>
  <c r="AP9" i="4"/>
  <c r="AU16" i="4"/>
  <c r="AP14" i="4"/>
  <c r="AU13" i="4"/>
  <c r="AU12" i="4"/>
  <c r="AP15" i="4"/>
  <c r="BB8" i="4"/>
  <c r="AM8" i="4" s="1"/>
  <c r="AU10" i="4"/>
  <c r="BB10" i="4"/>
  <c r="AM10" i="4" s="1"/>
  <c r="Y30" i="32" s="1"/>
  <c r="AU14" i="4"/>
  <c r="AP17" i="4"/>
  <c r="AP20" i="4"/>
  <c r="BB19" i="4"/>
  <c r="AM19" i="4" s="1"/>
  <c r="Y39" i="32" s="1"/>
  <c r="BB16" i="4"/>
  <c r="AM16" i="4" s="1"/>
  <c r="AP16" i="4"/>
  <c r="AP13" i="4"/>
  <c r="BB13" i="4"/>
  <c r="AM13" i="4" s="1"/>
  <c r="Y33" i="32" s="1"/>
  <c r="AU11" i="4"/>
  <c r="AP12" i="4"/>
  <c r="AP11" i="4"/>
  <c r="BB7" i="4"/>
  <c r="AM7" i="4" s="1"/>
  <c r="Y27" i="32" s="1"/>
  <c r="AU17" i="4"/>
  <c r="BB15" i="4"/>
  <c r="AM15" i="4" s="1"/>
  <c r="Y35" i="32" s="1"/>
  <c r="BB17" i="4"/>
  <c r="AM17" i="4" s="1"/>
  <c r="Y37" i="32" s="1"/>
  <c r="BB20" i="4"/>
  <c r="AM20" i="4" s="1"/>
  <c r="Y40" i="32" s="1"/>
  <c r="AU19" i="4"/>
  <c r="AP18" i="4"/>
  <c r="AU18" i="4"/>
  <c r="BB12" i="4"/>
  <c r="AM12" i="4" s="1"/>
  <c r="Y32" i="32" s="1"/>
  <c r="BB11" i="4"/>
  <c r="AM11" i="4" s="1"/>
  <c r="AU15" i="4"/>
  <c r="AP7" i="4"/>
  <c r="AP19" i="4"/>
  <c r="AU20" i="4"/>
  <c r="AV6" i="32"/>
  <c r="AW6" i="32" s="1"/>
  <c r="AY6" i="32" s="1"/>
  <c r="AZ6" i="32" s="1"/>
  <c r="AI6" i="32"/>
  <c r="AW4" i="32"/>
  <c r="Y28" i="32"/>
  <c r="U5" i="32"/>
  <c r="C130" i="26"/>
  <c r="C130" i="25"/>
  <c r="C14" i="1"/>
  <c r="E14" i="1" s="1"/>
  <c r="C42" i="1"/>
  <c r="E42" i="1" s="1"/>
  <c r="Z9" i="4"/>
  <c r="AA9" i="4" s="1"/>
  <c r="AB9" i="4" s="1"/>
  <c r="S8" i="32" s="1"/>
  <c r="I14" i="4"/>
  <c r="J14" i="4" s="1"/>
  <c r="I15" i="4"/>
  <c r="H15" i="4"/>
  <c r="D17" i="4"/>
  <c r="E16" i="4"/>
  <c r="G16" i="4" s="1"/>
  <c r="J52" i="30"/>
  <c r="AY4" i="32" l="1"/>
  <c r="AZ4" i="32" s="1"/>
  <c r="AW69" i="30"/>
  <c r="AS69" i="30"/>
  <c r="AO69" i="30"/>
  <c r="AX69" i="30"/>
  <c r="AT69" i="30"/>
  <c r="AV69" i="30"/>
  <c r="AR69" i="30"/>
  <c r="AN69" i="30"/>
  <c r="AP69" i="30"/>
  <c r="AY69" i="30"/>
  <c r="AU69" i="30"/>
  <c r="AQ69" i="30"/>
  <c r="AO8" i="4"/>
  <c r="AK8" i="4" s="1"/>
  <c r="R8" i="4" s="1"/>
  <c r="S8" i="4" s="1"/>
  <c r="U8" i="4" s="1"/>
  <c r="I37" i="30"/>
  <c r="N10" i="32" s="1"/>
  <c r="BI70" i="30"/>
  <c r="BE70" i="30"/>
  <c r="BA70" i="30"/>
  <c r="BH70" i="30"/>
  <c r="BD70" i="30"/>
  <c r="AZ70" i="30"/>
  <c r="BK70" i="30"/>
  <c r="BG70" i="30"/>
  <c r="BC70" i="30"/>
  <c r="BB70" i="30"/>
  <c r="BF70" i="30"/>
  <c r="H42" i="30"/>
  <c r="BJ70" i="30"/>
  <c r="I41" i="30"/>
  <c r="BJ54" i="30"/>
  <c r="BF54" i="30"/>
  <c r="BB54" i="30"/>
  <c r="BD54" i="30"/>
  <c r="BK54" i="30"/>
  <c r="BI54" i="30"/>
  <c r="BE54" i="30"/>
  <c r="BA54" i="30"/>
  <c r="BH54" i="30"/>
  <c r="AZ54" i="30"/>
  <c r="BG54" i="30"/>
  <c r="BC54" i="30"/>
  <c r="AO17" i="4"/>
  <c r="AK17" i="4" s="1"/>
  <c r="R17" i="4" s="1"/>
  <c r="Z37" i="32" s="1"/>
  <c r="AA37" i="32" s="1"/>
  <c r="T8" i="32"/>
  <c r="U8" i="32" s="1"/>
  <c r="AJ7" i="32"/>
  <c r="AS7" i="32" s="1"/>
  <c r="AT7" i="32" s="1"/>
  <c r="AO10" i="4"/>
  <c r="AK10" i="4" s="1"/>
  <c r="AO20" i="4"/>
  <c r="AK20" i="4" s="1"/>
  <c r="AO19" i="4"/>
  <c r="AK19" i="4" s="1"/>
  <c r="AO7" i="4"/>
  <c r="AK7" i="4" s="1"/>
  <c r="AO15" i="4"/>
  <c r="AK15" i="4" s="1"/>
  <c r="Y34" i="32"/>
  <c r="AM6" i="4"/>
  <c r="Y26" i="32" s="1"/>
  <c r="Y38" i="32"/>
  <c r="Y36" i="32"/>
  <c r="Y31" i="32"/>
  <c r="Y29" i="32"/>
  <c r="U7" i="32"/>
  <c r="C131" i="26"/>
  <c r="C131" i="25"/>
  <c r="AO12" i="4"/>
  <c r="AK12" i="4" s="1"/>
  <c r="C16" i="1"/>
  <c r="C18" i="1" s="1"/>
  <c r="C44" i="1"/>
  <c r="C47" i="1" s="1"/>
  <c r="AO11" i="4"/>
  <c r="AK11" i="4" s="1"/>
  <c r="AO16" i="4"/>
  <c r="AK16" i="4" s="1"/>
  <c r="AO13" i="4"/>
  <c r="AK13" i="4" s="1"/>
  <c r="AO18" i="4"/>
  <c r="AK18" i="4" s="1"/>
  <c r="AO14" i="4"/>
  <c r="AK14" i="4" s="1"/>
  <c r="R14" i="4" s="1"/>
  <c r="Z10" i="4"/>
  <c r="Z11" i="4" s="1"/>
  <c r="Z12" i="4" s="1"/>
  <c r="AO9" i="4"/>
  <c r="AK9" i="4" s="1"/>
  <c r="J15" i="4"/>
  <c r="H16" i="4"/>
  <c r="I16" i="4"/>
  <c r="D18" i="4"/>
  <c r="E17" i="4"/>
  <c r="G17" i="4" s="1"/>
  <c r="K52" i="30"/>
  <c r="BI69" i="30" l="1"/>
  <c r="BE69" i="30"/>
  <c r="BA69" i="30"/>
  <c r="BH69" i="30"/>
  <c r="BD69" i="30"/>
  <c r="AZ69" i="30"/>
  <c r="BJ69" i="30"/>
  <c r="BB69" i="30"/>
  <c r="BK69" i="30"/>
  <c r="BG69" i="30"/>
  <c r="BC69" i="30"/>
  <c r="BF69" i="30"/>
  <c r="J37" i="30"/>
  <c r="N11" i="32" s="1"/>
  <c r="BU70" i="30"/>
  <c r="BQ70" i="30"/>
  <c r="BM70" i="30"/>
  <c r="BT70" i="30"/>
  <c r="BP70" i="30"/>
  <c r="BL70" i="30"/>
  <c r="BW70" i="30"/>
  <c r="BS70" i="30"/>
  <c r="BO70" i="30"/>
  <c r="BR70" i="30"/>
  <c r="I42" i="30"/>
  <c r="BN70" i="30"/>
  <c r="BV70" i="30"/>
  <c r="J41" i="30"/>
  <c r="BW54" i="30"/>
  <c r="BS54" i="30"/>
  <c r="BO54" i="30"/>
  <c r="BQ54" i="30"/>
  <c r="BL54" i="30"/>
  <c r="BV54" i="30"/>
  <c r="BR54" i="30"/>
  <c r="BN54" i="30"/>
  <c r="BU54" i="30"/>
  <c r="BP54" i="30"/>
  <c r="BM54" i="30"/>
  <c r="BT54" i="30"/>
  <c r="R19" i="4"/>
  <c r="Z39" i="32" s="1"/>
  <c r="AA39" i="32" s="1"/>
  <c r="R18" i="4"/>
  <c r="Z38" i="32" s="1"/>
  <c r="AA38" i="32" s="1"/>
  <c r="R9" i="4"/>
  <c r="Z29" i="32" s="1"/>
  <c r="AA29" i="32" s="1"/>
  <c r="R13" i="4"/>
  <c r="S13" i="4" s="1"/>
  <c r="U13" i="4" s="1"/>
  <c r="V13" i="4" s="1"/>
  <c r="R16" i="4"/>
  <c r="Z36" i="32" s="1"/>
  <c r="AA36" i="32" s="1"/>
  <c r="R12" i="4"/>
  <c r="Z32" i="32" s="1"/>
  <c r="AA32" i="32" s="1"/>
  <c r="R15" i="4"/>
  <c r="Z35" i="32" s="1"/>
  <c r="AA35" i="32" s="1"/>
  <c r="R20" i="4"/>
  <c r="Z40" i="32" s="1"/>
  <c r="AA40" i="32" s="1"/>
  <c r="R7" i="4"/>
  <c r="Z27" i="32" s="1"/>
  <c r="AA27" i="32" s="1"/>
  <c r="R11" i="4"/>
  <c r="S11" i="4" s="1"/>
  <c r="U11" i="4" s="1"/>
  <c r="R10" i="4"/>
  <c r="O9" i="32" s="1"/>
  <c r="P9" i="32" s="1"/>
  <c r="Q9" i="32" s="1"/>
  <c r="AI7" i="32"/>
  <c r="AJ8" i="32" s="1"/>
  <c r="AS8" i="32" s="1"/>
  <c r="AT8" i="32" s="1"/>
  <c r="AV7" i="32"/>
  <c r="AU7" i="32"/>
  <c r="O16" i="32"/>
  <c r="S17" i="4"/>
  <c r="U17" i="4" s="1"/>
  <c r="V17" i="4" s="1"/>
  <c r="V8" i="4"/>
  <c r="X8" i="4" s="1"/>
  <c r="AD8" i="4" s="1"/>
  <c r="AE8" i="4" s="1"/>
  <c r="O7" i="32"/>
  <c r="P7" i="32" s="1"/>
  <c r="Q7" i="32" s="1"/>
  <c r="Z28" i="32"/>
  <c r="AA28" i="32" s="1"/>
  <c r="O5" i="32"/>
  <c r="P5" i="32" s="1"/>
  <c r="Q5" i="32" s="1"/>
  <c r="V5" i="32" s="1"/>
  <c r="S6" i="4"/>
  <c r="U6" i="4" s="1"/>
  <c r="Z26" i="32"/>
  <c r="AA26" i="32" s="1"/>
  <c r="D42" i="1"/>
  <c r="C48" i="1"/>
  <c r="E48" i="1" s="1"/>
  <c r="E16" i="1"/>
  <c r="C132" i="26"/>
  <c r="C132" i="25"/>
  <c r="C45" i="1"/>
  <c r="E45" i="1" s="1"/>
  <c r="E44" i="1"/>
  <c r="D3" i="30" s="1"/>
  <c r="AA11" i="4"/>
  <c r="AB11" i="4" s="1"/>
  <c r="AA10" i="4"/>
  <c r="AB10" i="4" s="1"/>
  <c r="E47" i="1"/>
  <c r="C21" i="1"/>
  <c r="C19" i="1"/>
  <c r="E18" i="1"/>
  <c r="C22" i="1"/>
  <c r="E22" i="1" s="1"/>
  <c r="D16" i="1"/>
  <c r="J16" i="4"/>
  <c r="H17" i="4"/>
  <c r="I17" i="4"/>
  <c r="D19" i="4"/>
  <c r="E18" i="4"/>
  <c r="G18" i="4" s="1"/>
  <c r="Z13" i="4"/>
  <c r="AA12" i="4"/>
  <c r="AB12" i="4" s="1"/>
  <c r="L52" i="30"/>
  <c r="S16" i="4" l="1"/>
  <c r="U16" i="4" s="1"/>
  <c r="W16" i="4" s="1"/>
  <c r="BU69" i="30"/>
  <c r="BQ69" i="30"/>
  <c r="BM69" i="30"/>
  <c r="BR69" i="30"/>
  <c r="BT69" i="30"/>
  <c r="BP69" i="30"/>
  <c r="BL69" i="30"/>
  <c r="BW69" i="30"/>
  <c r="BS69" i="30"/>
  <c r="BO69" i="30"/>
  <c r="BV69" i="30"/>
  <c r="BN69" i="30"/>
  <c r="O18" i="32"/>
  <c r="S19" i="4"/>
  <c r="U19" i="4" s="1"/>
  <c r="W19" i="4" s="1"/>
  <c r="O15" i="32"/>
  <c r="S7" i="4"/>
  <c r="U7" i="4" s="1"/>
  <c r="V7" i="4" s="1"/>
  <c r="K37" i="30"/>
  <c r="N12" i="32" s="1"/>
  <c r="CG70" i="30"/>
  <c r="CC70" i="30"/>
  <c r="BY70" i="30"/>
  <c r="CF70" i="30"/>
  <c r="CB70" i="30"/>
  <c r="BX70" i="30"/>
  <c r="J42" i="30"/>
  <c r="CI70" i="30"/>
  <c r="CE70" i="30"/>
  <c r="CA70" i="30"/>
  <c r="CH70" i="30"/>
  <c r="CD70" i="30"/>
  <c r="BZ70" i="30"/>
  <c r="K41" i="30"/>
  <c r="CI54" i="30"/>
  <c r="CE54" i="30"/>
  <c r="CA54" i="30"/>
  <c r="CC54" i="30"/>
  <c r="BX54" i="30"/>
  <c r="CH54" i="30"/>
  <c r="CD54" i="30"/>
  <c r="BZ54" i="30"/>
  <c r="CG54" i="30"/>
  <c r="CB54" i="30"/>
  <c r="BY54" i="30"/>
  <c r="CF54" i="30"/>
  <c r="S9" i="4"/>
  <c r="U9" i="4" s="1"/>
  <c r="V9" i="4" s="1"/>
  <c r="S15" i="4"/>
  <c r="U15" i="4" s="1"/>
  <c r="W15" i="4" s="1"/>
  <c r="Z30" i="32"/>
  <c r="AA30" i="32" s="1"/>
  <c r="S20" i="4"/>
  <c r="U20" i="4" s="1"/>
  <c r="W20" i="4" s="1"/>
  <c r="S10" i="4"/>
  <c r="U10" i="4" s="1"/>
  <c r="V10" i="4" s="1"/>
  <c r="O14" i="32"/>
  <c r="O6" i="32"/>
  <c r="P6" i="32" s="1"/>
  <c r="Q6" i="32" s="1"/>
  <c r="V6" i="32" s="1"/>
  <c r="O8" i="32"/>
  <c r="P8" i="32" s="1"/>
  <c r="Q8" i="32" s="1"/>
  <c r="V8" i="32" s="1"/>
  <c r="Z31" i="32"/>
  <c r="AA31" i="32" s="1"/>
  <c r="O10" i="32"/>
  <c r="P10" i="32" s="1"/>
  <c r="Q10" i="32" s="1"/>
  <c r="O11" i="32"/>
  <c r="Z33" i="32"/>
  <c r="AA33" i="32" s="1"/>
  <c r="O17" i="32"/>
  <c r="S18" i="4"/>
  <c r="U18" i="4" s="1"/>
  <c r="W18" i="4" s="1"/>
  <c r="O12" i="32"/>
  <c r="S12" i="4"/>
  <c r="U12" i="4" s="1"/>
  <c r="V12" i="4" s="1"/>
  <c r="X12" i="4" s="1"/>
  <c r="AD12" i="4" s="1"/>
  <c r="AE12" i="4" s="1"/>
  <c r="O19" i="32"/>
  <c r="V7" i="32"/>
  <c r="AW7" i="32"/>
  <c r="AI8" i="32"/>
  <c r="AV8" i="32"/>
  <c r="AU8" i="32"/>
  <c r="W17" i="4"/>
  <c r="X17" i="4" s="1"/>
  <c r="O13" i="32"/>
  <c r="Z34" i="32"/>
  <c r="AA34" i="32" s="1"/>
  <c r="S14" i="4"/>
  <c r="U14" i="4" s="1"/>
  <c r="X13" i="4"/>
  <c r="V6" i="4"/>
  <c r="X6" i="4" s="1"/>
  <c r="D84" i="26" s="1"/>
  <c r="D86" i="26" s="1"/>
  <c r="E86" i="26" s="1"/>
  <c r="V11" i="4"/>
  <c r="C49" i="1"/>
  <c r="D52" i="1" s="1"/>
  <c r="S10" i="32"/>
  <c r="S11" i="32"/>
  <c r="S9" i="32"/>
  <c r="C133" i="26"/>
  <c r="C133" i="25"/>
  <c r="C46" i="1"/>
  <c r="F15" i="22" s="1"/>
  <c r="G125" i="26"/>
  <c r="G125" i="25"/>
  <c r="F7" i="32"/>
  <c r="C3" i="30"/>
  <c r="AF8" i="4"/>
  <c r="E19" i="1"/>
  <c r="C20" i="1"/>
  <c r="J17" i="4"/>
  <c r="C23" i="1"/>
  <c r="E21" i="1"/>
  <c r="H18" i="4"/>
  <c r="I18" i="4"/>
  <c r="D20" i="4"/>
  <c r="E20" i="4" s="1"/>
  <c r="G20" i="4" s="1"/>
  <c r="E19" i="4"/>
  <c r="G19" i="4" s="1"/>
  <c r="Z14" i="4"/>
  <c r="AA13" i="4"/>
  <c r="AB13" i="4" s="1"/>
  <c r="M52" i="30"/>
  <c r="V16" i="4" l="1"/>
  <c r="X16" i="4" s="1"/>
  <c r="AY7" i="32"/>
  <c r="AZ7" i="32" s="1"/>
  <c r="V19" i="4"/>
  <c r="X19" i="4" s="1"/>
  <c r="CG69" i="30"/>
  <c r="CC69" i="30"/>
  <c r="BY69" i="30"/>
  <c r="CD69" i="30"/>
  <c r="CF69" i="30"/>
  <c r="CB69" i="30"/>
  <c r="BX69" i="30"/>
  <c r="BZ69" i="30"/>
  <c r="CE69" i="30"/>
  <c r="CA69" i="30"/>
  <c r="CH69" i="30"/>
  <c r="X9" i="4"/>
  <c r="AD9" i="4" s="1"/>
  <c r="AE9" i="4" s="1"/>
  <c r="AF9" i="4" s="1"/>
  <c r="X7" i="4"/>
  <c r="AD7" i="4" s="1"/>
  <c r="AE7" i="4" s="1"/>
  <c r="F6" i="32" s="1"/>
  <c r="L37" i="30"/>
  <c r="N13" i="32" s="1"/>
  <c r="CS70" i="30"/>
  <c r="CO70" i="30"/>
  <c r="CK70" i="30"/>
  <c r="K42" i="30"/>
  <c r="CR70" i="30"/>
  <c r="CN70" i="30"/>
  <c r="CJ70" i="30"/>
  <c r="CU70" i="30"/>
  <c r="CQ70" i="30"/>
  <c r="CM70" i="30"/>
  <c r="CP70" i="30"/>
  <c r="CL70" i="30"/>
  <c r="CT70" i="30"/>
  <c r="L41" i="30"/>
  <c r="CU54" i="30"/>
  <c r="CQ54" i="30"/>
  <c r="CM54" i="30"/>
  <c r="CO54" i="30"/>
  <c r="CJ54" i="30"/>
  <c r="CT54" i="30"/>
  <c r="CP54" i="30"/>
  <c r="CL54" i="30"/>
  <c r="CS54" i="30"/>
  <c r="CN54" i="30"/>
  <c r="CK54" i="30"/>
  <c r="CR54" i="30"/>
  <c r="V15" i="4"/>
  <c r="X15" i="4" s="1"/>
  <c r="V20" i="4"/>
  <c r="X20" i="4" s="1"/>
  <c r="V18" i="4"/>
  <c r="X18" i="4" s="1"/>
  <c r="T9" i="32"/>
  <c r="P12" i="32"/>
  <c r="Q12" i="32" s="1"/>
  <c r="AW8" i="32"/>
  <c r="AY8" i="32" s="1"/>
  <c r="AZ8" i="32" s="1"/>
  <c r="AJ9" i="32"/>
  <c r="AS9" i="32" s="1"/>
  <c r="AT9" i="32" s="1"/>
  <c r="P11" i="32"/>
  <c r="Q11" i="32" s="1"/>
  <c r="X10" i="4"/>
  <c r="AD10" i="4" s="1"/>
  <c r="AE10" i="4" s="1"/>
  <c r="G127" i="25" s="1"/>
  <c r="V14" i="4"/>
  <c r="D84" i="25"/>
  <c r="D86" i="25" s="1"/>
  <c r="E86" i="25" s="1"/>
  <c r="AD6" i="4"/>
  <c r="C50" i="1"/>
  <c r="E50" i="1" s="1"/>
  <c r="X11" i="4"/>
  <c r="AD11" i="4" s="1"/>
  <c r="AE11" i="4" s="1"/>
  <c r="AF11" i="4" s="1"/>
  <c r="E49" i="1"/>
  <c r="D2" i="30" s="1"/>
  <c r="D4" i="30" s="1"/>
  <c r="D5" i="30" s="1"/>
  <c r="AD13" i="4"/>
  <c r="AE13" i="4" s="1"/>
  <c r="S12" i="32"/>
  <c r="C134" i="26"/>
  <c r="C134" i="25"/>
  <c r="G129" i="26"/>
  <c r="G129" i="25"/>
  <c r="F11" i="32"/>
  <c r="AF12" i="4"/>
  <c r="D26" i="1"/>
  <c r="C24" i="1"/>
  <c r="E24" i="1" s="1"/>
  <c r="J18" i="4"/>
  <c r="H20" i="4"/>
  <c r="I20" i="4"/>
  <c r="I19" i="4"/>
  <c r="H19" i="4"/>
  <c r="Z15" i="4"/>
  <c r="AA14" i="4"/>
  <c r="AB14" i="4" s="1"/>
  <c r="N52" i="30"/>
  <c r="G126" i="26" l="1"/>
  <c r="G124" i="26"/>
  <c r="F8" i="32"/>
  <c r="G126" i="25"/>
  <c r="G124" i="25"/>
  <c r="AF7" i="4"/>
  <c r="CS69" i="30"/>
  <c r="CO69" i="30"/>
  <c r="CK69" i="30"/>
  <c r="CT69" i="30"/>
  <c r="CP69" i="30"/>
  <c r="CR69" i="30"/>
  <c r="CN69" i="30"/>
  <c r="CJ69" i="30"/>
  <c r="CL69" i="30"/>
  <c r="CQ69" i="30"/>
  <c r="CM69" i="30"/>
  <c r="M37" i="30"/>
  <c r="N14" i="32" s="1"/>
  <c r="DE70" i="30"/>
  <c r="DA70" i="30"/>
  <c r="CW70" i="30"/>
  <c r="DD70" i="30"/>
  <c r="CZ70" i="30"/>
  <c r="CV70" i="30"/>
  <c r="DG70" i="30"/>
  <c r="DC70" i="30"/>
  <c r="CY70" i="30"/>
  <c r="CX70" i="30"/>
  <c r="DF70" i="30"/>
  <c r="L42" i="30"/>
  <c r="DB70" i="30"/>
  <c r="M41" i="30"/>
  <c r="DG54" i="30"/>
  <c r="DC54" i="30"/>
  <c r="CY54" i="30"/>
  <c r="DA54" i="30"/>
  <c r="CV54" i="30"/>
  <c r="DF54" i="30"/>
  <c r="DB54" i="30"/>
  <c r="CX54" i="30"/>
  <c r="DE54" i="30"/>
  <c r="CZ54" i="30"/>
  <c r="CW54" i="30"/>
  <c r="DD54" i="30"/>
  <c r="P13" i="32"/>
  <c r="Q13" i="32" s="1"/>
  <c r="AI9" i="32"/>
  <c r="AJ10" i="32" s="1"/>
  <c r="AI10" i="32" s="1"/>
  <c r="AU9" i="32"/>
  <c r="AV9" i="32"/>
  <c r="C51" i="1"/>
  <c r="C52" i="1" s="1"/>
  <c r="G23" i="19" s="1"/>
  <c r="G24" i="19" s="1"/>
  <c r="F9" i="32"/>
  <c r="G127" i="26"/>
  <c r="X14" i="4"/>
  <c r="AD14" i="4" s="1"/>
  <c r="AE14" i="4" s="1"/>
  <c r="AF10" i="4"/>
  <c r="G128" i="25"/>
  <c r="G128" i="26"/>
  <c r="F10" i="32"/>
  <c r="AE6" i="4"/>
  <c r="G8" i="19"/>
  <c r="S13" i="32"/>
  <c r="T13" i="32" s="1"/>
  <c r="C135" i="26"/>
  <c r="C135" i="25"/>
  <c r="G130" i="26"/>
  <c r="G130" i="25"/>
  <c r="F12" i="32"/>
  <c r="AF13" i="4"/>
  <c r="C25" i="1"/>
  <c r="C26" i="1" s="1"/>
  <c r="J20" i="4"/>
  <c r="J19" i="4"/>
  <c r="Z16" i="4"/>
  <c r="AA15" i="4"/>
  <c r="AB15" i="4" s="1"/>
  <c r="O52" i="30"/>
  <c r="DE69" i="30" l="1"/>
  <c r="DA69" i="30"/>
  <c r="CW69" i="30"/>
  <c r="DF69" i="30"/>
  <c r="DD69" i="30"/>
  <c r="CZ69" i="30"/>
  <c r="CV69" i="30"/>
  <c r="CX69" i="30"/>
  <c r="DG69" i="30"/>
  <c r="DC69" i="30"/>
  <c r="CY69" i="30"/>
  <c r="DB69" i="30"/>
  <c r="N37" i="30"/>
  <c r="DQ70" i="30"/>
  <c r="DM70" i="30"/>
  <c r="DI70" i="30"/>
  <c r="DP70" i="30"/>
  <c r="DL70" i="30"/>
  <c r="DH70" i="30"/>
  <c r="DS70" i="30"/>
  <c r="DO70" i="30"/>
  <c r="DK70" i="30"/>
  <c r="DN70" i="30"/>
  <c r="M42" i="30"/>
  <c r="DJ70" i="30"/>
  <c r="DR70" i="30"/>
  <c r="DS54" i="30"/>
  <c r="DO54" i="30"/>
  <c r="DK54" i="30"/>
  <c r="DM54" i="30"/>
  <c r="DH54" i="30"/>
  <c r="DR54" i="30"/>
  <c r="DN54" i="30"/>
  <c r="DJ54" i="30"/>
  <c r="DQ54" i="30"/>
  <c r="DP54" i="30"/>
  <c r="DI54" i="30"/>
  <c r="DL54" i="30"/>
  <c r="N41" i="30"/>
  <c r="P14" i="32"/>
  <c r="Q14" i="32" s="1"/>
  <c r="AW9" i="32"/>
  <c r="E52" i="1"/>
  <c r="C2" i="30" s="1"/>
  <c r="G123" i="26"/>
  <c r="F5" i="32"/>
  <c r="G123" i="25"/>
  <c r="AF6" i="4"/>
  <c r="G9" i="19" s="1"/>
  <c r="U13" i="32"/>
  <c r="V13" i="32" s="1"/>
  <c r="P4" i="32"/>
  <c r="AD15" i="4"/>
  <c r="AE15" i="4" s="1"/>
  <c r="S14" i="32"/>
  <c r="C137" i="26"/>
  <c r="C137" i="25"/>
  <c r="C136" i="26"/>
  <c r="C136" i="25"/>
  <c r="G131" i="26"/>
  <c r="G131" i="25"/>
  <c r="F13" i="32"/>
  <c r="AF14" i="4"/>
  <c r="E26" i="1"/>
  <c r="Z17" i="4"/>
  <c r="AA16" i="4"/>
  <c r="AB16" i="4" s="1"/>
  <c r="P52" i="30"/>
  <c r="AY9" i="32" l="1"/>
  <c r="AZ9" i="32" s="1"/>
  <c r="N42" i="30"/>
  <c r="ED69" i="30" s="1"/>
  <c r="N15" i="32"/>
  <c r="P15" i="32" s="1"/>
  <c r="Q15" i="32" s="1"/>
  <c r="DQ69" i="30"/>
  <c r="DM69" i="30"/>
  <c r="DI69" i="30"/>
  <c r="DR69" i="30"/>
  <c r="DP69" i="30"/>
  <c r="DL69" i="30"/>
  <c r="DH69" i="30"/>
  <c r="DJ69" i="30"/>
  <c r="DO69" i="30"/>
  <c r="DK69" i="30"/>
  <c r="DN69" i="30"/>
  <c r="O37" i="30"/>
  <c r="EC70" i="30"/>
  <c r="DY70" i="30"/>
  <c r="DU70" i="30"/>
  <c r="EB70" i="30"/>
  <c r="DX70" i="30"/>
  <c r="DT70" i="30"/>
  <c r="EE70" i="30"/>
  <c r="EA70" i="30"/>
  <c r="DW70" i="30"/>
  <c r="ED70" i="30"/>
  <c r="DZ70" i="30"/>
  <c r="DV70" i="30"/>
  <c r="EE54" i="30"/>
  <c r="EA54" i="30"/>
  <c r="DW54" i="30"/>
  <c r="DY54" i="30"/>
  <c r="DT54" i="30"/>
  <c r="ED54" i="30"/>
  <c r="DZ54" i="30"/>
  <c r="DV54" i="30"/>
  <c r="EC54" i="30"/>
  <c r="EB54" i="30"/>
  <c r="DU54" i="30"/>
  <c r="O41" i="30"/>
  <c r="DX54" i="30"/>
  <c r="C13" i="30"/>
  <c r="C6" i="30" s="1"/>
  <c r="C4" i="30"/>
  <c r="G26" i="19" s="1"/>
  <c r="C11" i="30"/>
  <c r="C12" i="30"/>
  <c r="G5" i="32"/>
  <c r="G11" i="32"/>
  <c r="G7" i="32"/>
  <c r="G10" i="32"/>
  <c r="G6" i="32"/>
  <c r="G13" i="32"/>
  <c r="G9" i="32"/>
  <c r="G12" i="32"/>
  <c r="G8" i="32"/>
  <c r="E8" i="32"/>
  <c r="E5" i="32"/>
  <c r="E6" i="32"/>
  <c r="E4" i="32"/>
  <c r="E7" i="32"/>
  <c r="Q4" i="32"/>
  <c r="V4" i="32" s="1"/>
  <c r="AD16" i="4"/>
  <c r="AE16" i="4" s="1"/>
  <c r="S15" i="32"/>
  <c r="T15" i="32" s="1"/>
  <c r="M21" i="32"/>
  <c r="C138" i="26"/>
  <c r="C138" i="25"/>
  <c r="G132" i="26"/>
  <c r="G132" i="25"/>
  <c r="F14" i="32"/>
  <c r="AF15" i="4"/>
  <c r="Z18" i="4"/>
  <c r="AA17" i="4"/>
  <c r="AB17" i="4" s="1"/>
  <c r="Q52" i="30"/>
  <c r="EA69" i="30" l="1"/>
  <c r="DZ69" i="30"/>
  <c r="DU69" i="30"/>
  <c r="DT69" i="30"/>
  <c r="DX69" i="30"/>
  <c r="DV69" i="30"/>
  <c r="EC69" i="30"/>
  <c r="DY69" i="30"/>
  <c r="DW69" i="30"/>
  <c r="EE69" i="30"/>
  <c r="EB69" i="30"/>
  <c r="O42" i="30"/>
  <c r="EP69" i="30" s="1"/>
  <c r="N16" i="32"/>
  <c r="C5" i="30"/>
  <c r="G27" i="19" s="1"/>
  <c r="P37" i="30"/>
  <c r="EO70" i="30"/>
  <c r="EK70" i="30"/>
  <c r="EG70" i="30"/>
  <c r="EN70" i="30"/>
  <c r="EJ70" i="30"/>
  <c r="EF70" i="30"/>
  <c r="EQ70" i="30"/>
  <c r="EM70" i="30"/>
  <c r="EI70" i="30"/>
  <c r="EH70" i="30"/>
  <c r="EP70" i="30"/>
  <c r="EL70" i="30"/>
  <c r="EQ54" i="30"/>
  <c r="EM54" i="30"/>
  <c r="EN54" i="30"/>
  <c r="EI54" i="30"/>
  <c r="P41" i="30"/>
  <c r="EK54" i="30"/>
  <c r="EF54" i="30"/>
  <c r="EL54" i="30"/>
  <c r="EH54" i="30"/>
  <c r="EP54" i="30"/>
  <c r="EO54" i="30"/>
  <c r="EG54" i="30"/>
  <c r="EJ54" i="30"/>
  <c r="D6" i="30"/>
  <c r="G14" i="32"/>
  <c r="U15" i="32"/>
  <c r="V15" i="32" s="1"/>
  <c r="AD17" i="4"/>
  <c r="AE17" i="4" s="1"/>
  <c r="S16" i="32"/>
  <c r="T16" i="32" s="1"/>
  <c r="G133" i="26"/>
  <c r="G133" i="25"/>
  <c r="F15" i="32"/>
  <c r="AF16" i="4"/>
  <c r="Z19" i="4"/>
  <c r="AA18" i="4"/>
  <c r="AB18" i="4" s="1"/>
  <c r="R52" i="30"/>
  <c r="EM69" i="30" l="1"/>
  <c r="EI69" i="30"/>
  <c r="EJ69" i="30"/>
  <c r="EL69" i="30"/>
  <c r="EH69" i="30"/>
  <c r="EG69" i="30"/>
  <c r="EK69" i="30"/>
  <c r="EO69" i="30"/>
  <c r="EN69" i="30"/>
  <c r="EQ69" i="30"/>
  <c r="EF69" i="30"/>
  <c r="P42" i="30"/>
  <c r="FB69" i="30" s="1"/>
  <c r="N17" i="32"/>
  <c r="P17" i="32" s="1"/>
  <c r="Q17" i="32" s="1"/>
  <c r="Q37" i="30"/>
  <c r="FA70" i="30"/>
  <c r="EW70" i="30"/>
  <c r="ES70" i="30"/>
  <c r="EZ70" i="30"/>
  <c r="EV70" i="30"/>
  <c r="ER70" i="30"/>
  <c r="FC70" i="30"/>
  <c r="EY70" i="30"/>
  <c r="EU70" i="30"/>
  <c r="ET70" i="30"/>
  <c r="FB70" i="30"/>
  <c r="EX70" i="30"/>
  <c r="FC54" i="30"/>
  <c r="EY54" i="30"/>
  <c r="EU54" i="30"/>
  <c r="EX54" i="30"/>
  <c r="ES54" i="30"/>
  <c r="Q41" i="30"/>
  <c r="FA54" i="30"/>
  <c r="ET54" i="30"/>
  <c r="FB54" i="30"/>
  <c r="EW54" i="30"/>
  <c r="ER54" i="30"/>
  <c r="EV54" i="30"/>
  <c r="EZ54" i="30"/>
  <c r="G15" i="32"/>
  <c r="P16" i="32"/>
  <c r="U16" i="32"/>
  <c r="AD18" i="4"/>
  <c r="AE18" i="4" s="1"/>
  <c r="S17" i="32"/>
  <c r="T17" i="32" s="1"/>
  <c r="G134" i="26"/>
  <c r="G134" i="25"/>
  <c r="F16" i="32"/>
  <c r="AF17" i="4"/>
  <c r="Z20" i="4"/>
  <c r="AA19" i="4"/>
  <c r="AB19" i="4" s="1"/>
  <c r="S52" i="30"/>
  <c r="ES69" i="30" l="1"/>
  <c r="ER69" i="30"/>
  <c r="EY69" i="30"/>
  <c r="EZ69" i="30"/>
  <c r="EV69" i="30"/>
  <c r="ET69" i="30"/>
  <c r="EW69" i="30"/>
  <c r="EX69" i="30"/>
  <c r="FA69" i="30"/>
  <c r="EU69" i="30"/>
  <c r="FC69" i="30"/>
  <c r="Q42" i="30"/>
  <c r="FE69" i="30" s="1"/>
  <c r="N18" i="32"/>
  <c r="P18" i="32" s="1"/>
  <c r="Q18" i="32" s="1"/>
  <c r="R37" i="30"/>
  <c r="FM70" i="30"/>
  <c r="FI70" i="30"/>
  <c r="FE70" i="30"/>
  <c r="FL70" i="30"/>
  <c r="FH70" i="30"/>
  <c r="FD70" i="30"/>
  <c r="FO70" i="30"/>
  <c r="FK70" i="30"/>
  <c r="FG70" i="30"/>
  <c r="FJ70" i="30"/>
  <c r="FN70" i="30"/>
  <c r="FF70" i="30"/>
  <c r="FO54" i="30"/>
  <c r="FK54" i="30"/>
  <c r="FG54" i="30"/>
  <c r="FN54" i="30"/>
  <c r="FJ54" i="30"/>
  <c r="FI54" i="30"/>
  <c r="FD54" i="30"/>
  <c r="FL54" i="30"/>
  <c r="FH54" i="30"/>
  <c r="FF54" i="30"/>
  <c r="FE54" i="30"/>
  <c r="FM54" i="30"/>
  <c r="R41" i="30"/>
  <c r="G16" i="32"/>
  <c r="Q16" i="32"/>
  <c r="V16" i="32" s="1"/>
  <c r="U17" i="32"/>
  <c r="V17" i="32" s="1"/>
  <c r="AD19" i="4"/>
  <c r="AE19" i="4" s="1"/>
  <c r="S18" i="32"/>
  <c r="T18" i="32" s="1"/>
  <c r="G135" i="26"/>
  <c r="G135" i="25"/>
  <c r="F17" i="32"/>
  <c r="AF18" i="4"/>
  <c r="AA20" i="4"/>
  <c r="AB20" i="4" s="1"/>
  <c r="T52" i="30"/>
  <c r="FG69" i="30" l="1"/>
  <c r="FK69" i="30"/>
  <c r="FM69" i="30"/>
  <c r="FH69" i="30"/>
  <c r="FD69" i="30"/>
  <c r="FL69" i="30"/>
  <c r="FF69" i="30"/>
  <c r="FO69" i="30"/>
  <c r="FN69" i="30"/>
  <c r="FJ69" i="30"/>
  <c r="FI69" i="30"/>
  <c r="R42" i="30"/>
  <c r="FS69" i="30" s="1"/>
  <c r="N19" i="32"/>
  <c r="P19" i="32" s="1"/>
  <c r="Q19" i="32" s="1"/>
  <c r="FY70" i="30"/>
  <c r="FU70" i="30"/>
  <c r="FQ70" i="30"/>
  <c r="FX70" i="30"/>
  <c r="FT70" i="30"/>
  <c r="FP70" i="30"/>
  <c r="GA70" i="30"/>
  <c r="FW70" i="30"/>
  <c r="FS70" i="30"/>
  <c r="FZ70" i="30"/>
  <c r="FV70" i="30"/>
  <c r="FR70" i="30"/>
  <c r="GA54" i="30"/>
  <c r="FW54" i="30"/>
  <c r="FS54" i="30"/>
  <c r="FZ54" i="30"/>
  <c r="FV54" i="30"/>
  <c r="FR54" i="30"/>
  <c r="FY54" i="30"/>
  <c r="FQ54" i="30"/>
  <c r="FU54" i="30"/>
  <c r="FT54" i="30"/>
  <c r="FX54" i="30"/>
  <c r="FP54" i="30"/>
  <c r="C20" i="30"/>
  <c r="G37" i="19"/>
  <c r="CU69" i="30" s="1"/>
  <c r="G17" i="32"/>
  <c r="U18" i="32"/>
  <c r="V18" i="32" s="1"/>
  <c r="AD20" i="4"/>
  <c r="AE20" i="4" s="1"/>
  <c r="S19" i="32"/>
  <c r="S21" i="32" s="1"/>
  <c r="G136" i="26"/>
  <c r="G136" i="25"/>
  <c r="F18" i="32"/>
  <c r="G18" i="32" s="1"/>
  <c r="AF19" i="4"/>
  <c r="U52" i="30"/>
  <c r="FY69" i="30" l="1"/>
  <c r="FT69" i="30"/>
  <c r="FR69" i="30"/>
  <c r="FV69" i="30"/>
  <c r="FW69" i="30"/>
  <c r="FP69" i="30"/>
  <c r="FU69" i="30"/>
  <c r="FZ69" i="30"/>
  <c r="FQ69" i="30"/>
  <c r="FX69" i="30"/>
  <c r="DS69" i="30"/>
  <c r="CI69" i="30"/>
  <c r="B22" i="19"/>
  <c r="GA69" i="30"/>
  <c r="G38" i="19"/>
  <c r="P21" i="32"/>
  <c r="N21" i="32"/>
  <c r="C21" i="30"/>
  <c r="G137" i="26"/>
  <c r="G138" i="26" s="1"/>
  <c r="G137" i="25"/>
  <c r="G138" i="25" s="1"/>
  <c r="G85" i="25" s="1"/>
  <c r="F19" i="32"/>
  <c r="AF20" i="4"/>
  <c r="G84" i="25" s="1"/>
  <c r="V52" i="30"/>
  <c r="R12" i="32" l="1"/>
  <c r="T12" i="32" s="1"/>
  <c r="U12" i="32" s="1"/>
  <c r="V12" i="32" s="1"/>
  <c r="E130" i="25"/>
  <c r="E130" i="26"/>
  <c r="E129" i="25"/>
  <c r="E129" i="26"/>
  <c r="R11" i="32"/>
  <c r="T11" i="32" s="1"/>
  <c r="U11" i="32" s="1"/>
  <c r="V11" i="32" s="1"/>
  <c r="R14" i="32"/>
  <c r="T14" i="32" s="1"/>
  <c r="U14" i="32" s="1"/>
  <c r="V14" i="32" s="1"/>
  <c r="E132" i="26"/>
  <c r="E132" i="25"/>
  <c r="C26" i="30"/>
  <c r="C24" i="30"/>
  <c r="D24" i="30"/>
  <c r="C28" i="30"/>
  <c r="C58" i="30" s="1"/>
  <c r="D28" i="30"/>
  <c r="F21" i="32"/>
  <c r="G19" i="32"/>
  <c r="Q21" i="32"/>
  <c r="O21" i="32"/>
  <c r="G84" i="26"/>
  <c r="W52" i="30"/>
  <c r="D29" i="30" l="1"/>
  <c r="D25" i="30"/>
  <c r="D30" i="30" s="1"/>
  <c r="C31" i="30"/>
  <c r="C30" i="30"/>
  <c r="C29" i="30"/>
  <c r="C62" i="30"/>
  <c r="D11" i="30"/>
  <c r="X52" i="30"/>
  <c r="D33" i="30" l="1"/>
  <c r="D26" i="30"/>
  <c r="D31" i="30" s="1"/>
  <c r="D34" i="30" s="1"/>
  <c r="C66" i="30"/>
  <c r="D12" i="30"/>
  <c r="Y52" i="30"/>
  <c r="C71" i="30" l="1"/>
  <c r="C34" i="30"/>
  <c r="C7" i="30"/>
  <c r="C8" i="30" s="1"/>
  <c r="G29" i="19" s="1"/>
  <c r="D7" i="30"/>
  <c r="D8" i="30" s="1"/>
  <c r="D9" i="30" s="1"/>
  <c r="C68" i="30"/>
  <c r="D13" i="30"/>
  <c r="Z52" i="30"/>
  <c r="C43" i="30" l="1"/>
  <c r="C44" i="30" s="1"/>
  <c r="C33" i="30"/>
  <c r="C9" i="30"/>
  <c r="G30" i="19" s="1"/>
  <c r="AA52" i="30"/>
  <c r="C45" i="30" l="1"/>
  <c r="C46" i="30" s="1"/>
  <c r="D43" i="30"/>
  <c r="AB52" i="30"/>
  <c r="D44" i="30" l="1"/>
  <c r="AC52" i="30"/>
  <c r="D45" i="30" l="1"/>
  <c r="D46" i="30" s="1"/>
  <c r="D56" i="30" s="1"/>
  <c r="E43" i="30"/>
  <c r="AD52" i="30"/>
  <c r="L56" i="30" l="1"/>
  <c r="L58" i="30" s="1"/>
  <c r="L64" i="30" s="1"/>
  <c r="H56" i="30"/>
  <c r="H58" i="30" s="1"/>
  <c r="H64" i="30" s="1"/>
  <c r="J56" i="30"/>
  <c r="J58" i="30" s="1"/>
  <c r="J64" i="30" s="1"/>
  <c r="O56" i="30"/>
  <c r="O58" i="30" s="1"/>
  <c r="O64" i="30" s="1"/>
  <c r="K56" i="30"/>
  <c r="K58" i="30" s="1"/>
  <c r="K64" i="30" s="1"/>
  <c r="G56" i="30"/>
  <c r="G58" i="30" s="1"/>
  <c r="G64" i="30" s="1"/>
  <c r="N56" i="30"/>
  <c r="N58" i="30" s="1"/>
  <c r="N64" i="30" s="1"/>
  <c r="F56" i="30"/>
  <c r="F58" i="30" s="1"/>
  <c r="F64" i="30" s="1"/>
  <c r="E56" i="30"/>
  <c r="E58" i="30" s="1"/>
  <c r="E64" i="30" s="1"/>
  <c r="M56" i="30"/>
  <c r="M58" i="30" s="1"/>
  <c r="M64" i="30" s="1"/>
  <c r="I56" i="30"/>
  <c r="I58" i="30" s="1"/>
  <c r="I64" i="30" s="1"/>
  <c r="D57" i="30"/>
  <c r="E44" i="30"/>
  <c r="D58" i="30"/>
  <c r="AE52" i="30"/>
  <c r="L57" i="30" l="1"/>
  <c r="E57" i="30"/>
  <c r="J57" i="30"/>
  <c r="H57" i="30"/>
  <c r="I57" i="30"/>
  <c r="K57" i="30"/>
  <c r="O57" i="30"/>
  <c r="G57" i="30"/>
  <c r="M57" i="30"/>
  <c r="F57" i="30"/>
  <c r="D64" i="30"/>
  <c r="G73" i="30"/>
  <c r="I73" i="30"/>
  <c r="M73" i="30"/>
  <c r="L73" i="30"/>
  <c r="F73" i="30"/>
  <c r="J73" i="30"/>
  <c r="N73" i="30"/>
  <c r="H73" i="30"/>
  <c r="E73" i="30"/>
  <c r="K73" i="30"/>
  <c r="O73" i="30"/>
  <c r="F43" i="30"/>
  <c r="F44" i="30" s="1"/>
  <c r="E45" i="30"/>
  <c r="E46" i="30" s="1"/>
  <c r="N57" i="30"/>
  <c r="D73" i="30"/>
  <c r="D65" i="30"/>
  <c r="AF52" i="30"/>
  <c r="G43" i="30" l="1"/>
  <c r="G44" i="30" s="1"/>
  <c r="F45" i="30"/>
  <c r="F46" i="30" s="1"/>
  <c r="E65" i="30"/>
  <c r="F65" i="30"/>
  <c r="G65" i="30"/>
  <c r="H65" i="30"/>
  <c r="I65" i="30"/>
  <c r="J65" i="30"/>
  <c r="K65" i="30"/>
  <c r="L65" i="30"/>
  <c r="M65" i="30"/>
  <c r="N65" i="30"/>
  <c r="O65" i="30"/>
  <c r="X56" i="30"/>
  <c r="X58" i="30" s="1"/>
  <c r="X64" i="30" s="1"/>
  <c r="T56" i="30"/>
  <c r="T58" i="30" s="1"/>
  <c r="T64" i="30" s="1"/>
  <c r="P56" i="30"/>
  <c r="V56" i="30"/>
  <c r="V58" i="30" s="1"/>
  <c r="V64" i="30" s="1"/>
  <c r="AA56" i="30"/>
  <c r="AA58" i="30" s="1"/>
  <c r="AA64" i="30" s="1"/>
  <c r="W56" i="30"/>
  <c r="W58" i="30" s="1"/>
  <c r="W64" i="30" s="1"/>
  <c r="S56" i="30"/>
  <c r="S58" i="30" s="1"/>
  <c r="S64" i="30" s="1"/>
  <c r="Z56" i="30"/>
  <c r="Z58" i="30" s="1"/>
  <c r="Z64" i="30" s="1"/>
  <c r="R56" i="30"/>
  <c r="R58" i="30" s="1"/>
  <c r="R64" i="30" s="1"/>
  <c r="Q56" i="30"/>
  <c r="Q58" i="30" s="1"/>
  <c r="Q64" i="30" s="1"/>
  <c r="Y56" i="30"/>
  <c r="Y58" i="30" s="1"/>
  <c r="Y64" i="30" s="1"/>
  <c r="U56" i="30"/>
  <c r="U58" i="30" s="1"/>
  <c r="U64" i="30" s="1"/>
  <c r="D66" i="30"/>
  <c r="D75" i="30" s="1"/>
  <c r="E66" i="30"/>
  <c r="AG52" i="30"/>
  <c r="L66" i="30" l="1"/>
  <c r="L60" i="30" s="1"/>
  <c r="H66" i="30"/>
  <c r="H60" i="30" s="1"/>
  <c r="O66" i="30"/>
  <c r="O60" i="30" s="1"/>
  <c r="J66" i="30"/>
  <c r="J60" i="30" s="1"/>
  <c r="K66" i="30"/>
  <c r="K60" i="30" s="1"/>
  <c r="G66" i="30"/>
  <c r="G60" i="30" s="1"/>
  <c r="H43" i="30"/>
  <c r="H44" i="30" s="1"/>
  <c r="G45" i="30"/>
  <c r="G46" i="30" s="1"/>
  <c r="P58" i="30"/>
  <c r="AA57" i="30"/>
  <c r="S57" i="30"/>
  <c r="P57" i="30"/>
  <c r="Y57" i="30"/>
  <c r="R57" i="30"/>
  <c r="X57" i="30"/>
  <c r="V57" i="30"/>
  <c r="T57" i="30"/>
  <c r="Q57" i="30"/>
  <c r="W57" i="30"/>
  <c r="U57" i="30"/>
  <c r="Z57" i="30"/>
  <c r="M66" i="30"/>
  <c r="M60" i="30" s="1"/>
  <c r="N66" i="30"/>
  <c r="N60" i="30" s="1"/>
  <c r="F66" i="30"/>
  <c r="F60" i="30" s="1"/>
  <c r="I66" i="30"/>
  <c r="I60" i="30" s="1"/>
  <c r="AJ56" i="30"/>
  <c r="AJ58" i="30" s="1"/>
  <c r="AJ64" i="30" s="1"/>
  <c r="AF56" i="30"/>
  <c r="AF58" i="30" s="1"/>
  <c r="AF64" i="30" s="1"/>
  <c r="AB56" i="30"/>
  <c r="AB58" i="30" s="1"/>
  <c r="AB64" i="30" s="1"/>
  <c r="AH56" i="30"/>
  <c r="AH58" i="30" s="1"/>
  <c r="AH64" i="30" s="1"/>
  <c r="AM56" i="30"/>
  <c r="AM58" i="30" s="1"/>
  <c r="AM64" i="30" s="1"/>
  <c r="AI56" i="30"/>
  <c r="AI58" i="30" s="1"/>
  <c r="AI64" i="30" s="1"/>
  <c r="AE56" i="30"/>
  <c r="AE58" i="30" s="1"/>
  <c r="AE64" i="30" s="1"/>
  <c r="AL56" i="30"/>
  <c r="AL58" i="30" s="1"/>
  <c r="AL64" i="30" s="1"/>
  <c r="AD56" i="30"/>
  <c r="AD58" i="30" s="1"/>
  <c r="AD64" i="30" s="1"/>
  <c r="AK56" i="30"/>
  <c r="AK58" i="30" s="1"/>
  <c r="AK64" i="30" s="1"/>
  <c r="AG56" i="30"/>
  <c r="AG58" i="30" s="1"/>
  <c r="AG64" i="30" s="1"/>
  <c r="AC56" i="30"/>
  <c r="AC58" i="30" s="1"/>
  <c r="AC64" i="30" s="1"/>
  <c r="D60" i="30"/>
  <c r="E75" i="30"/>
  <c r="E60" i="30"/>
  <c r="AH52" i="30"/>
  <c r="AG57" i="30" l="1"/>
  <c r="F75" i="30"/>
  <c r="H75" i="30"/>
  <c r="K61" i="30"/>
  <c r="M61" i="30"/>
  <c r="M75" i="30"/>
  <c r="J61" i="30"/>
  <c r="N75" i="30"/>
  <c r="O75" i="30"/>
  <c r="F61" i="30"/>
  <c r="G75" i="30"/>
  <c r="AC57" i="30"/>
  <c r="I61" i="30"/>
  <c r="K75" i="30"/>
  <c r="AG73" i="30"/>
  <c r="AF57" i="30"/>
  <c r="AD57" i="30"/>
  <c r="P64" i="30"/>
  <c r="AE73" i="30"/>
  <c r="V73" i="30"/>
  <c r="Q73" i="30"/>
  <c r="T73" i="30"/>
  <c r="S73" i="30"/>
  <c r="Y73" i="30"/>
  <c r="AC73" i="30"/>
  <c r="P73" i="30"/>
  <c r="X73" i="30"/>
  <c r="AB73" i="30"/>
  <c r="U73" i="30"/>
  <c r="W73" i="30"/>
  <c r="Z73" i="30"/>
  <c r="AD73" i="30"/>
  <c r="AA73" i="30"/>
  <c r="R73" i="30"/>
  <c r="AF73" i="30"/>
  <c r="AE57" i="30"/>
  <c r="O61" i="30"/>
  <c r="L75" i="30"/>
  <c r="D61" i="30"/>
  <c r="D62" i="30" s="1"/>
  <c r="I75" i="30"/>
  <c r="AV56" i="30"/>
  <c r="AV58" i="30" s="1"/>
  <c r="AV64" i="30" s="1"/>
  <c r="AR56" i="30"/>
  <c r="AR58" i="30" s="1"/>
  <c r="AR64" i="30" s="1"/>
  <c r="AN56" i="30"/>
  <c r="AN58" i="30" s="1"/>
  <c r="AN64" i="30" s="1"/>
  <c r="AT56" i="30"/>
  <c r="AT58" i="30" s="1"/>
  <c r="AT64" i="30" s="1"/>
  <c r="AS56" i="30"/>
  <c r="AS58" i="30" s="1"/>
  <c r="AS64" i="30" s="1"/>
  <c r="AY56" i="30"/>
  <c r="AY58" i="30" s="1"/>
  <c r="AY64" i="30" s="1"/>
  <c r="AU56" i="30"/>
  <c r="AU58" i="30" s="1"/>
  <c r="AU64" i="30" s="1"/>
  <c r="AQ56" i="30"/>
  <c r="AQ58" i="30" s="1"/>
  <c r="AQ64" i="30" s="1"/>
  <c r="AX56" i="30"/>
  <c r="AX58" i="30" s="1"/>
  <c r="AX64" i="30" s="1"/>
  <c r="AO56" i="30"/>
  <c r="AO58" i="30" s="1"/>
  <c r="AO64" i="30" s="1"/>
  <c r="AP56" i="30"/>
  <c r="AP58" i="30" s="1"/>
  <c r="AP64" i="30" s="1"/>
  <c r="AW56" i="30"/>
  <c r="AW58" i="30" s="1"/>
  <c r="AW64" i="30" s="1"/>
  <c r="I43" i="30"/>
  <c r="I44" i="30" s="1"/>
  <c r="H45" i="30"/>
  <c r="H46" i="30" s="1"/>
  <c r="J75" i="30"/>
  <c r="AB57" i="30"/>
  <c r="AH65" i="30"/>
  <c r="AH73" i="30"/>
  <c r="E61" i="30"/>
  <c r="F62" i="30" s="1"/>
  <c r="F68" i="30" s="1"/>
  <c r="F71" i="30" s="1"/>
  <c r="H61" i="30"/>
  <c r="G61" i="30"/>
  <c r="N61" i="30"/>
  <c r="L61" i="30"/>
  <c r="AH57" i="30"/>
  <c r="AI52" i="30"/>
  <c r="AI73" i="30" s="1"/>
  <c r="K62" i="30" l="1"/>
  <c r="K68" i="30" s="1"/>
  <c r="K71" i="30" s="1"/>
  <c r="N62" i="30"/>
  <c r="N68" i="30" s="1"/>
  <c r="N71" i="30" s="1"/>
  <c r="L62" i="30"/>
  <c r="L68" i="30" s="1"/>
  <c r="L71" i="30" s="1"/>
  <c r="J62" i="30"/>
  <c r="J68" i="30" s="1"/>
  <c r="J71" i="30" s="1"/>
  <c r="G62" i="30"/>
  <c r="G68" i="30" s="1"/>
  <c r="G71" i="30" s="1"/>
  <c r="O62" i="30"/>
  <c r="O68" i="30" s="1"/>
  <c r="O71" i="30" s="1"/>
  <c r="E62" i="30"/>
  <c r="E68" i="30" s="1"/>
  <c r="E71" i="30" s="1"/>
  <c r="I62" i="30"/>
  <c r="I68" i="30" s="1"/>
  <c r="I71" i="30" s="1"/>
  <c r="AE65" i="30"/>
  <c r="S65" i="30"/>
  <c r="W65" i="30"/>
  <c r="AA65" i="30"/>
  <c r="AF65" i="30"/>
  <c r="P65" i="30"/>
  <c r="T65" i="30"/>
  <c r="X65" i="30"/>
  <c r="AB65" i="30"/>
  <c r="Q65" i="30"/>
  <c r="U65" i="30"/>
  <c r="U66" i="30" s="1"/>
  <c r="Y65" i="30"/>
  <c r="Y66" i="30" s="1"/>
  <c r="AC65" i="30"/>
  <c r="AC66" i="30" s="1"/>
  <c r="R65" i="30"/>
  <c r="V65" i="30"/>
  <c r="V66" i="30" s="1"/>
  <c r="Z65" i="30"/>
  <c r="Z66" i="30" s="1"/>
  <c r="AD65" i="30"/>
  <c r="AG65" i="30"/>
  <c r="AH66" i="30" s="1"/>
  <c r="J43" i="30"/>
  <c r="J44" i="30" s="1"/>
  <c r="I45" i="30"/>
  <c r="I46" i="30" s="1"/>
  <c r="H62" i="30"/>
  <c r="H68" i="30" s="1"/>
  <c r="H71" i="30" s="1"/>
  <c r="BK56" i="30"/>
  <c r="BK58" i="30" s="1"/>
  <c r="BK64" i="30" s="1"/>
  <c r="BH56" i="30"/>
  <c r="BH58" i="30" s="1"/>
  <c r="BH64" i="30" s="1"/>
  <c r="BD56" i="30"/>
  <c r="BD58" i="30" s="1"/>
  <c r="BD64" i="30" s="1"/>
  <c r="AZ56" i="30"/>
  <c r="AZ58" i="30" s="1"/>
  <c r="AZ64" i="30" s="1"/>
  <c r="BF56" i="30"/>
  <c r="BF58" i="30" s="1"/>
  <c r="BF64" i="30" s="1"/>
  <c r="BA56" i="30"/>
  <c r="BA58" i="30" s="1"/>
  <c r="BA64" i="30" s="1"/>
  <c r="BG56" i="30"/>
  <c r="BG58" i="30" s="1"/>
  <c r="BG64" i="30" s="1"/>
  <c r="BC56" i="30"/>
  <c r="BC58" i="30" s="1"/>
  <c r="BC64" i="30" s="1"/>
  <c r="BJ56" i="30"/>
  <c r="BJ58" i="30" s="1"/>
  <c r="BJ64" i="30" s="1"/>
  <c r="BE56" i="30"/>
  <c r="BE58" i="30" s="1"/>
  <c r="BE64" i="30" s="1"/>
  <c r="BB56" i="30"/>
  <c r="BB58" i="30" s="1"/>
  <c r="BB64" i="30" s="1"/>
  <c r="BI56" i="30"/>
  <c r="BI58" i="30" s="1"/>
  <c r="BI64" i="30" s="1"/>
  <c r="M62" i="30"/>
  <c r="M68" i="30" s="1"/>
  <c r="M71" i="30" s="1"/>
  <c r="AI57" i="30"/>
  <c r="AI65" i="30"/>
  <c r="D68" i="30"/>
  <c r="D74" i="30"/>
  <c r="AJ52" i="30"/>
  <c r="AJ73" i="30" s="1"/>
  <c r="E74" i="30" l="1"/>
  <c r="F74" i="30"/>
  <c r="G74" i="30"/>
  <c r="I74" i="30"/>
  <c r="L74" i="30"/>
  <c r="T66" i="30"/>
  <c r="T60" i="30" s="1"/>
  <c r="BL56" i="30"/>
  <c r="BL58" i="30" s="1"/>
  <c r="BL64" i="30" s="1"/>
  <c r="BP56" i="30"/>
  <c r="BP58" i="30" s="1"/>
  <c r="BP64" i="30" s="1"/>
  <c r="BS56" i="30"/>
  <c r="BS58" i="30" s="1"/>
  <c r="BS64" i="30" s="1"/>
  <c r="BT56" i="30"/>
  <c r="BT58" i="30" s="1"/>
  <c r="BT64" i="30" s="1"/>
  <c r="BM56" i="30"/>
  <c r="BM58" i="30" s="1"/>
  <c r="BM64" i="30" s="1"/>
  <c r="BO56" i="30"/>
  <c r="BO58" i="30" s="1"/>
  <c r="BO64" i="30" s="1"/>
  <c r="BQ56" i="30"/>
  <c r="BQ58" i="30" s="1"/>
  <c r="BQ64" i="30" s="1"/>
  <c r="BN56" i="30"/>
  <c r="BN58" i="30" s="1"/>
  <c r="BN64" i="30" s="1"/>
  <c r="BW56" i="30"/>
  <c r="BW58" i="30" s="1"/>
  <c r="BW64" i="30" s="1"/>
  <c r="BU56" i="30"/>
  <c r="BU58" i="30" s="1"/>
  <c r="BU64" i="30" s="1"/>
  <c r="BR56" i="30"/>
  <c r="BR58" i="30" s="1"/>
  <c r="BR64" i="30" s="1"/>
  <c r="BV56" i="30"/>
  <c r="BV58" i="30" s="1"/>
  <c r="BV64" i="30" s="1"/>
  <c r="J74" i="30"/>
  <c r="W66" i="30"/>
  <c r="W60" i="30" s="1"/>
  <c r="X66" i="30"/>
  <c r="X60" i="30" s="1"/>
  <c r="AA66" i="30"/>
  <c r="AA60" i="30" s="1"/>
  <c r="K43" i="30"/>
  <c r="K44" i="30" s="1"/>
  <c r="J45" i="30"/>
  <c r="J46" i="30" s="1"/>
  <c r="M74" i="30"/>
  <c r="H74" i="30"/>
  <c r="K74" i="30"/>
  <c r="R66" i="30"/>
  <c r="R60" i="30" s="1"/>
  <c r="Q66" i="30"/>
  <c r="Q60" i="30" s="1"/>
  <c r="P66" i="30"/>
  <c r="P60" i="30" s="1"/>
  <c r="S66" i="30"/>
  <c r="S60" i="30" s="1"/>
  <c r="AD66" i="30"/>
  <c r="AD60" i="30" s="1"/>
  <c r="AE66" i="30"/>
  <c r="AB66" i="30"/>
  <c r="AB60" i="30" s="1"/>
  <c r="AF66" i="30"/>
  <c r="AG66" i="30"/>
  <c r="AG60" i="30" s="1"/>
  <c r="K76" i="30"/>
  <c r="I76" i="30"/>
  <c r="F76" i="30"/>
  <c r="O76" i="30"/>
  <c r="N76" i="30"/>
  <c r="L76" i="30"/>
  <c r="G76" i="30"/>
  <c r="M76" i="30"/>
  <c r="H76" i="30"/>
  <c r="E76" i="30"/>
  <c r="J76" i="30"/>
  <c r="O74" i="30"/>
  <c r="N74" i="30"/>
  <c r="AJ57" i="30"/>
  <c r="AJ65" i="30"/>
  <c r="AJ66" i="30" s="1"/>
  <c r="AI66" i="30"/>
  <c r="AE60" i="30"/>
  <c r="U60" i="30"/>
  <c r="AF60" i="30"/>
  <c r="AH60" i="30"/>
  <c r="AC60" i="30"/>
  <c r="Y60" i="30"/>
  <c r="V60" i="30"/>
  <c r="Z60" i="30"/>
  <c r="D76" i="30"/>
  <c r="D71" i="30"/>
  <c r="AK52" i="30"/>
  <c r="AK73" i="30" s="1"/>
  <c r="Y75" i="30" l="1"/>
  <c r="R75" i="30"/>
  <c r="AE75" i="30"/>
  <c r="AB75" i="30"/>
  <c r="X75" i="30"/>
  <c r="V75" i="30"/>
  <c r="P75" i="30"/>
  <c r="W75" i="30"/>
  <c r="S75" i="30"/>
  <c r="AG75" i="30"/>
  <c r="AH75" i="30"/>
  <c r="AC75" i="30"/>
  <c r="Q75" i="30"/>
  <c r="U75" i="30"/>
  <c r="Z75" i="30"/>
  <c r="AD75" i="30"/>
  <c r="T75" i="30"/>
  <c r="AF75" i="30"/>
  <c r="AA75" i="30"/>
  <c r="CI56" i="30"/>
  <c r="CI58" i="30" s="1"/>
  <c r="CI64" i="30" s="1"/>
  <c r="BY56" i="30"/>
  <c r="BY58" i="30" s="1"/>
  <c r="BY64" i="30" s="1"/>
  <c r="BZ56" i="30"/>
  <c r="BZ58" i="30" s="1"/>
  <c r="BZ64" i="30" s="1"/>
  <c r="CG56" i="30"/>
  <c r="CG58" i="30" s="1"/>
  <c r="CG64" i="30" s="1"/>
  <c r="BX56" i="30"/>
  <c r="BX58" i="30" s="1"/>
  <c r="BX64" i="30" s="1"/>
  <c r="CB56" i="30"/>
  <c r="CB58" i="30" s="1"/>
  <c r="CB64" i="30" s="1"/>
  <c r="CD56" i="30"/>
  <c r="CD58" i="30" s="1"/>
  <c r="CD64" i="30" s="1"/>
  <c r="CC56" i="30"/>
  <c r="CC58" i="30" s="1"/>
  <c r="CC64" i="30" s="1"/>
  <c r="CH56" i="30"/>
  <c r="CH58" i="30" s="1"/>
  <c r="CH64" i="30" s="1"/>
  <c r="CA56" i="30"/>
  <c r="CA58" i="30" s="1"/>
  <c r="CA64" i="30" s="1"/>
  <c r="CF56" i="30"/>
  <c r="CF58" i="30" s="1"/>
  <c r="CF64" i="30" s="1"/>
  <c r="CE56" i="30"/>
  <c r="CE58" i="30" s="1"/>
  <c r="CE64" i="30" s="1"/>
  <c r="L43" i="30"/>
  <c r="L44" i="30" s="1"/>
  <c r="K45" i="30"/>
  <c r="K46" i="30" s="1"/>
  <c r="AI60" i="30"/>
  <c r="AI61" i="30" s="1"/>
  <c r="AI75" i="30"/>
  <c r="AJ60" i="30"/>
  <c r="AJ75" i="30"/>
  <c r="N77" i="30"/>
  <c r="G77" i="30"/>
  <c r="E77" i="30"/>
  <c r="H77" i="30"/>
  <c r="J77" i="30"/>
  <c r="M77" i="30"/>
  <c r="K77" i="30"/>
  <c r="O77" i="30"/>
  <c r="F77" i="30"/>
  <c r="L77" i="30"/>
  <c r="I77" i="30"/>
  <c r="AK57" i="30"/>
  <c r="AK65" i="30"/>
  <c r="AE61" i="30"/>
  <c r="P61" i="30"/>
  <c r="AD61" i="30"/>
  <c r="AA61" i="30"/>
  <c r="U61" i="30"/>
  <c r="AF61" i="30"/>
  <c r="AC61" i="30"/>
  <c r="W61" i="30"/>
  <c r="AB61" i="30"/>
  <c r="X61" i="30"/>
  <c r="AG61" i="30"/>
  <c r="V61" i="30"/>
  <c r="R61" i="30"/>
  <c r="Q61" i="30"/>
  <c r="T61" i="30"/>
  <c r="AH61" i="30"/>
  <c r="S61" i="30"/>
  <c r="Y61" i="30"/>
  <c r="Z61" i="30"/>
  <c r="D77" i="30"/>
  <c r="AL52" i="30"/>
  <c r="AL73" i="30" s="1"/>
  <c r="U62" i="30" l="1"/>
  <c r="U68" i="30" s="1"/>
  <c r="U71" i="30" s="1"/>
  <c r="AJ61" i="30"/>
  <c r="AJ62" i="30" s="1"/>
  <c r="AJ68" i="30" s="1"/>
  <c r="AJ71" i="30" s="1"/>
  <c r="M43" i="30"/>
  <c r="M44" i="30" s="1"/>
  <c r="L45" i="30"/>
  <c r="L46" i="30" s="1"/>
  <c r="CQ56" i="30"/>
  <c r="CQ58" i="30" s="1"/>
  <c r="CQ64" i="30" s="1"/>
  <c r="CS56" i="30"/>
  <c r="CS58" i="30" s="1"/>
  <c r="CS64" i="30" s="1"/>
  <c r="CR56" i="30"/>
  <c r="CR58" i="30" s="1"/>
  <c r="CR64" i="30" s="1"/>
  <c r="CP56" i="30"/>
  <c r="CP58" i="30" s="1"/>
  <c r="CP64" i="30" s="1"/>
  <c r="CM56" i="30"/>
  <c r="CM58" i="30" s="1"/>
  <c r="CM64" i="30" s="1"/>
  <c r="CJ56" i="30"/>
  <c r="CJ58" i="30" s="1"/>
  <c r="CJ64" i="30" s="1"/>
  <c r="CN56" i="30"/>
  <c r="CN58" i="30" s="1"/>
  <c r="CN64" i="30" s="1"/>
  <c r="CO56" i="30"/>
  <c r="CO58" i="30" s="1"/>
  <c r="CO64" i="30" s="1"/>
  <c r="CK56" i="30"/>
  <c r="CK58" i="30" s="1"/>
  <c r="CK64" i="30" s="1"/>
  <c r="CT56" i="30"/>
  <c r="CT58" i="30" s="1"/>
  <c r="CT64" i="30" s="1"/>
  <c r="CU56" i="30"/>
  <c r="CU58" i="30" s="1"/>
  <c r="CU64" i="30" s="1"/>
  <c r="CL56" i="30"/>
  <c r="CL58" i="30" s="1"/>
  <c r="CL64" i="30" s="1"/>
  <c r="AD62" i="30"/>
  <c r="AD68" i="30" s="1"/>
  <c r="AD71" i="30" s="1"/>
  <c r="AI62" i="30"/>
  <c r="AI68" i="30" s="1"/>
  <c r="AI71" i="30" s="1"/>
  <c r="AA62" i="30"/>
  <c r="AA68" i="30" s="1"/>
  <c r="AA71" i="30" s="1"/>
  <c r="Z62" i="30"/>
  <c r="Z68" i="30" s="1"/>
  <c r="Z71" i="30" s="1"/>
  <c r="T62" i="30"/>
  <c r="T68" i="30" s="1"/>
  <c r="T71" i="30" s="1"/>
  <c r="AG62" i="30"/>
  <c r="AG68" i="30" s="1"/>
  <c r="AG71" i="30" s="1"/>
  <c r="AE62" i="30"/>
  <c r="AE68" i="30" s="1"/>
  <c r="AE71" i="30" s="1"/>
  <c r="AL57" i="30"/>
  <c r="AL65" i="30"/>
  <c r="AK66" i="30"/>
  <c r="R62" i="30"/>
  <c r="R68" i="30" s="1"/>
  <c r="R71" i="30" s="1"/>
  <c r="W62" i="30"/>
  <c r="W68" i="30" s="1"/>
  <c r="W71" i="30" s="1"/>
  <c r="Y62" i="30"/>
  <c r="Y68" i="30" s="1"/>
  <c r="Y71" i="30" s="1"/>
  <c r="AC62" i="30"/>
  <c r="AC68" i="30" s="1"/>
  <c r="AC71" i="30" s="1"/>
  <c r="AB62" i="30"/>
  <c r="AB68" i="30" s="1"/>
  <c r="AB71" i="30" s="1"/>
  <c r="S62" i="30"/>
  <c r="S68" i="30" s="1"/>
  <c r="S71" i="30" s="1"/>
  <c r="X62" i="30"/>
  <c r="X68" i="30" s="1"/>
  <c r="X71" i="30" s="1"/>
  <c r="Q62" i="30"/>
  <c r="Q68" i="30" s="1"/>
  <c r="Q71" i="30" s="1"/>
  <c r="P62" i="30"/>
  <c r="AH62" i="30"/>
  <c r="AH68" i="30" s="1"/>
  <c r="AH71" i="30" s="1"/>
  <c r="V62" i="30"/>
  <c r="V68" i="30" s="1"/>
  <c r="V71" i="30" s="1"/>
  <c r="AF62" i="30"/>
  <c r="AF68" i="30" s="1"/>
  <c r="AF71" i="30" s="1"/>
  <c r="AM52" i="30"/>
  <c r="AM73" i="30" s="1"/>
  <c r="N43" i="30" l="1"/>
  <c r="N44" i="30" s="1"/>
  <c r="M45" i="30"/>
  <c r="M46" i="30" s="1"/>
  <c r="CZ56" i="30"/>
  <c r="CZ58" i="30" s="1"/>
  <c r="CZ64" i="30" s="1"/>
  <c r="CY56" i="30"/>
  <c r="CY58" i="30" s="1"/>
  <c r="CY64" i="30" s="1"/>
  <c r="DG56" i="30"/>
  <c r="DG58" i="30" s="1"/>
  <c r="DG64" i="30" s="1"/>
  <c r="DA56" i="30"/>
  <c r="DA58" i="30" s="1"/>
  <c r="DA64" i="30" s="1"/>
  <c r="DF56" i="30"/>
  <c r="DF58" i="30" s="1"/>
  <c r="DF64" i="30" s="1"/>
  <c r="CW56" i="30"/>
  <c r="CW58" i="30" s="1"/>
  <c r="CW64" i="30" s="1"/>
  <c r="CV56" i="30"/>
  <c r="CV58" i="30" s="1"/>
  <c r="CV64" i="30" s="1"/>
  <c r="DB56" i="30"/>
  <c r="DB58" i="30" s="1"/>
  <c r="DB64" i="30" s="1"/>
  <c r="DE56" i="30"/>
  <c r="DE58" i="30" s="1"/>
  <c r="DE64" i="30" s="1"/>
  <c r="CX56" i="30"/>
  <c r="CX58" i="30" s="1"/>
  <c r="CX64" i="30" s="1"/>
  <c r="DC56" i="30"/>
  <c r="DC58" i="30" s="1"/>
  <c r="DC64" i="30" s="1"/>
  <c r="DD56" i="30"/>
  <c r="DD58" i="30" s="1"/>
  <c r="DD64" i="30" s="1"/>
  <c r="AK60" i="30"/>
  <c r="AK61" i="30" s="1"/>
  <c r="AK62" i="30" s="1"/>
  <c r="AK68" i="30" s="1"/>
  <c r="AK71" i="30" s="1"/>
  <c r="AK75" i="30"/>
  <c r="P68" i="30"/>
  <c r="AI74" i="30"/>
  <c r="R74" i="30"/>
  <c r="AJ74" i="30"/>
  <c r="V74" i="30"/>
  <c r="AH74" i="30"/>
  <c r="AE74" i="30"/>
  <c r="AF74" i="30"/>
  <c r="AA74" i="30"/>
  <c r="X74" i="30"/>
  <c r="Y74" i="30"/>
  <c r="T74" i="30"/>
  <c r="Q74" i="30"/>
  <c r="S74" i="30"/>
  <c r="AD74" i="30"/>
  <c r="AB74" i="30"/>
  <c r="U74" i="30"/>
  <c r="AG74" i="30"/>
  <c r="AC74" i="30"/>
  <c r="Z74" i="30"/>
  <c r="W74" i="30"/>
  <c r="P74" i="30"/>
  <c r="AL66" i="30"/>
  <c r="AM57" i="30"/>
  <c r="AM65" i="30"/>
  <c r="AN52" i="30"/>
  <c r="AN73" i="30" s="1"/>
  <c r="AK74" i="30" l="1"/>
  <c r="O43" i="30"/>
  <c r="N45" i="30"/>
  <c r="N46" i="30" s="1"/>
  <c r="DP56" i="30"/>
  <c r="DP58" i="30" s="1"/>
  <c r="DP64" i="30" s="1"/>
  <c r="DO56" i="30"/>
  <c r="DO58" i="30" s="1"/>
  <c r="DO64" i="30" s="1"/>
  <c r="DH56" i="30"/>
  <c r="DH58" i="30" s="1"/>
  <c r="DH64" i="30" s="1"/>
  <c r="DS56" i="30"/>
  <c r="DS58" i="30" s="1"/>
  <c r="DS64" i="30" s="1"/>
  <c r="DQ56" i="30"/>
  <c r="DQ58" i="30" s="1"/>
  <c r="DQ64" i="30" s="1"/>
  <c r="DL56" i="30"/>
  <c r="DL58" i="30" s="1"/>
  <c r="DL64" i="30" s="1"/>
  <c r="DM56" i="30"/>
  <c r="DM58" i="30" s="1"/>
  <c r="DM64" i="30" s="1"/>
  <c r="DJ56" i="30"/>
  <c r="DJ58" i="30" s="1"/>
  <c r="DJ64" i="30" s="1"/>
  <c r="DN56" i="30"/>
  <c r="DN58" i="30" s="1"/>
  <c r="DN64" i="30" s="1"/>
  <c r="DI56" i="30"/>
  <c r="DI58" i="30" s="1"/>
  <c r="DI64" i="30" s="1"/>
  <c r="DR56" i="30"/>
  <c r="DR58" i="30" s="1"/>
  <c r="DR64" i="30" s="1"/>
  <c r="DK56" i="30"/>
  <c r="DK58" i="30" s="1"/>
  <c r="DK64" i="30" s="1"/>
  <c r="AL60" i="30"/>
  <c r="AL61" i="30" s="1"/>
  <c r="AL75" i="30"/>
  <c r="P71" i="30"/>
  <c r="Q76" i="30"/>
  <c r="AG76" i="30"/>
  <c r="W76" i="30"/>
  <c r="S76" i="30"/>
  <c r="AD76" i="30"/>
  <c r="V76" i="30"/>
  <c r="R76" i="30"/>
  <c r="T76" i="30"/>
  <c r="Y76" i="30"/>
  <c r="Z76" i="30"/>
  <c r="AE76" i="30"/>
  <c r="AF76" i="30"/>
  <c r="AK76" i="30"/>
  <c r="AJ76" i="30"/>
  <c r="AB76" i="30"/>
  <c r="AC76" i="30"/>
  <c r="X76" i="30"/>
  <c r="U76" i="30"/>
  <c r="AH76" i="30"/>
  <c r="AI76" i="30"/>
  <c r="AA76" i="30"/>
  <c r="P76" i="30"/>
  <c r="AN57" i="30"/>
  <c r="AN65" i="30"/>
  <c r="AN66" i="30" s="1"/>
  <c r="AM66" i="30"/>
  <c r="AL62" i="30"/>
  <c r="O44" i="30"/>
  <c r="AO52" i="30"/>
  <c r="AO73" i="30" s="1"/>
  <c r="P43" i="30" l="1"/>
  <c r="O45" i="30"/>
  <c r="O46" i="30" s="1"/>
  <c r="EE56" i="30"/>
  <c r="EE58" i="30" s="1"/>
  <c r="EE64" i="30" s="1"/>
  <c r="DW56" i="30"/>
  <c r="DW58" i="30" s="1"/>
  <c r="DW64" i="30" s="1"/>
  <c r="DX56" i="30"/>
  <c r="DX58" i="30" s="1"/>
  <c r="DX64" i="30" s="1"/>
  <c r="DT56" i="30"/>
  <c r="DT58" i="30" s="1"/>
  <c r="DT64" i="30" s="1"/>
  <c r="EC56" i="30"/>
  <c r="EC58" i="30" s="1"/>
  <c r="EC64" i="30" s="1"/>
  <c r="DV56" i="30"/>
  <c r="DV58" i="30" s="1"/>
  <c r="DV64" i="30" s="1"/>
  <c r="DU56" i="30"/>
  <c r="DU58" i="30" s="1"/>
  <c r="DU64" i="30" s="1"/>
  <c r="DZ56" i="30"/>
  <c r="DZ58" i="30" s="1"/>
  <c r="DZ64" i="30" s="1"/>
  <c r="EA56" i="30"/>
  <c r="EA58" i="30" s="1"/>
  <c r="EA64" i="30" s="1"/>
  <c r="EB56" i="30"/>
  <c r="EB58" i="30" s="1"/>
  <c r="EB64" i="30" s="1"/>
  <c r="ED56" i="30"/>
  <c r="ED58" i="30" s="1"/>
  <c r="ED64" i="30" s="1"/>
  <c r="DY56" i="30"/>
  <c r="DY58" i="30" s="1"/>
  <c r="DY64" i="30" s="1"/>
  <c r="AL68" i="30"/>
  <c r="AL74" i="30"/>
  <c r="AF77" i="30"/>
  <c r="AE77" i="30"/>
  <c r="AB77" i="30"/>
  <c r="Y77" i="30"/>
  <c r="AH77" i="30"/>
  <c r="P77" i="30"/>
  <c r="X77" i="30"/>
  <c r="AJ77" i="30"/>
  <c r="V77" i="30"/>
  <c r="U77" i="30"/>
  <c r="T77" i="30"/>
  <c r="AG77" i="30"/>
  <c r="W77" i="30"/>
  <c r="Q77" i="30"/>
  <c r="AC77" i="30"/>
  <c r="AI77" i="30"/>
  <c r="AD77" i="30"/>
  <c r="S77" i="30"/>
  <c r="Z77" i="30"/>
  <c r="R77" i="30"/>
  <c r="AA77" i="30"/>
  <c r="AK77" i="30"/>
  <c r="AM60" i="30"/>
  <c r="AM61" i="30" s="1"/>
  <c r="AM62" i="30" s="1"/>
  <c r="AM75" i="30"/>
  <c r="AN60" i="30"/>
  <c r="AN75" i="30"/>
  <c r="AO57" i="30"/>
  <c r="AO65" i="30"/>
  <c r="AO66" i="30" s="1"/>
  <c r="P44" i="30"/>
  <c r="AP52" i="30"/>
  <c r="AP73" i="30" s="1"/>
  <c r="EF56" i="30" l="1"/>
  <c r="EF58" i="30" s="1"/>
  <c r="EF64" i="30" s="1"/>
  <c r="EN56" i="30"/>
  <c r="EN58" i="30" s="1"/>
  <c r="EN64" i="30" s="1"/>
  <c r="EM56" i="30"/>
  <c r="EM58" i="30" s="1"/>
  <c r="EM64" i="30" s="1"/>
  <c r="EK56" i="30"/>
  <c r="EK58" i="30" s="1"/>
  <c r="EK64" i="30" s="1"/>
  <c r="EL56" i="30"/>
  <c r="EL58" i="30" s="1"/>
  <c r="EL64" i="30" s="1"/>
  <c r="EH56" i="30"/>
  <c r="EH58" i="30" s="1"/>
  <c r="EH64" i="30" s="1"/>
  <c r="EQ56" i="30"/>
  <c r="EQ58" i="30" s="1"/>
  <c r="EQ64" i="30" s="1"/>
  <c r="EJ56" i="30"/>
  <c r="EJ58" i="30" s="1"/>
  <c r="EJ64" i="30" s="1"/>
  <c r="EO56" i="30"/>
  <c r="EO58" i="30" s="1"/>
  <c r="EO64" i="30" s="1"/>
  <c r="EP56" i="30"/>
  <c r="EP58" i="30" s="1"/>
  <c r="EP64" i="30" s="1"/>
  <c r="EI56" i="30"/>
  <c r="EI58" i="30" s="1"/>
  <c r="EI64" i="30" s="1"/>
  <c r="EG56" i="30"/>
  <c r="EG58" i="30" s="1"/>
  <c r="EG64" i="30" s="1"/>
  <c r="Q43" i="30"/>
  <c r="Q44" i="30" s="1"/>
  <c r="P45" i="30"/>
  <c r="P46" i="30" s="1"/>
  <c r="AM68" i="30"/>
  <c r="AM71" i="30" s="1"/>
  <c r="AM74" i="30"/>
  <c r="AN61" i="30"/>
  <c r="AN62" i="30" s="1"/>
  <c r="AO60" i="30"/>
  <c r="AO61" i="30" s="1"/>
  <c r="AO75" i="30"/>
  <c r="AL71" i="30"/>
  <c r="AL76" i="30"/>
  <c r="AP57" i="30"/>
  <c r="AP65" i="30"/>
  <c r="AQ52" i="30"/>
  <c r="AQ73" i="30" s="1"/>
  <c r="AO62" i="30" l="1"/>
  <c r="AO68" i="30" s="1"/>
  <c r="AO71" i="30" s="1"/>
  <c r="AM76" i="30"/>
  <c r="EV56" i="30"/>
  <c r="EV58" i="30" s="1"/>
  <c r="EV64" i="30" s="1"/>
  <c r="EU56" i="30"/>
  <c r="EU58" i="30" s="1"/>
  <c r="EU64" i="30" s="1"/>
  <c r="FC56" i="30"/>
  <c r="FC58" i="30" s="1"/>
  <c r="FC64" i="30" s="1"/>
  <c r="EZ56" i="30"/>
  <c r="EZ58" i="30" s="1"/>
  <c r="EZ64" i="30" s="1"/>
  <c r="ES56" i="30"/>
  <c r="ES58" i="30" s="1"/>
  <c r="ES64" i="30" s="1"/>
  <c r="FB56" i="30"/>
  <c r="FB58" i="30" s="1"/>
  <c r="FB64" i="30" s="1"/>
  <c r="EY56" i="30"/>
  <c r="EY58" i="30" s="1"/>
  <c r="EY64" i="30" s="1"/>
  <c r="ER56" i="30"/>
  <c r="ER58" i="30" s="1"/>
  <c r="ER64" i="30" s="1"/>
  <c r="EW56" i="30"/>
  <c r="EW58" i="30" s="1"/>
  <c r="EW64" i="30" s="1"/>
  <c r="FA56" i="30"/>
  <c r="FA58" i="30" s="1"/>
  <c r="FA64" i="30" s="1"/>
  <c r="ET56" i="30"/>
  <c r="ET58" i="30" s="1"/>
  <c r="ET64" i="30" s="1"/>
  <c r="EX56" i="30"/>
  <c r="EX58" i="30" s="1"/>
  <c r="EX64" i="30" s="1"/>
  <c r="R43" i="30"/>
  <c r="R44" i="30" s="1"/>
  <c r="R45" i="30" s="1"/>
  <c r="R46" i="30" s="1"/>
  <c r="Q45" i="30"/>
  <c r="Q46" i="30" s="1"/>
  <c r="AM77" i="30"/>
  <c r="AL77" i="30"/>
  <c r="AN68" i="30"/>
  <c r="AN74" i="30"/>
  <c r="AQ57" i="30"/>
  <c r="AQ65" i="30"/>
  <c r="AP66" i="30"/>
  <c r="AR52" i="30"/>
  <c r="AR73" i="30" s="1"/>
  <c r="AO74" i="30" l="1"/>
  <c r="FL56" i="30"/>
  <c r="FL58" i="30" s="1"/>
  <c r="FL64" i="30" s="1"/>
  <c r="FK56" i="30"/>
  <c r="FK58" i="30" s="1"/>
  <c r="FK64" i="30" s="1"/>
  <c r="FD56" i="30"/>
  <c r="FD58" i="30" s="1"/>
  <c r="FD64" i="30" s="1"/>
  <c r="FH56" i="30"/>
  <c r="FH58" i="30" s="1"/>
  <c r="FH64" i="30" s="1"/>
  <c r="FE56" i="30"/>
  <c r="FE58" i="30" s="1"/>
  <c r="FE64" i="30" s="1"/>
  <c r="FF56" i="30"/>
  <c r="FF58" i="30" s="1"/>
  <c r="FF64" i="30" s="1"/>
  <c r="FG56" i="30"/>
  <c r="FG58" i="30" s="1"/>
  <c r="FG64" i="30" s="1"/>
  <c r="FI56" i="30"/>
  <c r="FI58" i="30" s="1"/>
  <c r="FI64" i="30" s="1"/>
  <c r="FM56" i="30"/>
  <c r="FM58" i="30" s="1"/>
  <c r="FM64" i="30" s="1"/>
  <c r="FJ56" i="30"/>
  <c r="FJ58" i="30" s="1"/>
  <c r="FJ64" i="30" s="1"/>
  <c r="FO56" i="30"/>
  <c r="FO58" i="30" s="1"/>
  <c r="FO64" i="30" s="1"/>
  <c r="FN56" i="30"/>
  <c r="FN58" i="30" s="1"/>
  <c r="FN64" i="30" s="1"/>
  <c r="FT56" i="30"/>
  <c r="FT58" i="30" s="1"/>
  <c r="FT64" i="30" s="1"/>
  <c r="FS56" i="30"/>
  <c r="FS58" i="30" s="1"/>
  <c r="FS64" i="30" s="1"/>
  <c r="FR56" i="30"/>
  <c r="FR58" i="30" s="1"/>
  <c r="FR64" i="30" s="1"/>
  <c r="GA56" i="30"/>
  <c r="GA58" i="30" s="1"/>
  <c r="GA64" i="30" s="1"/>
  <c r="FX56" i="30"/>
  <c r="FX58" i="30" s="1"/>
  <c r="FX64" i="30" s="1"/>
  <c r="FQ56" i="30"/>
  <c r="FQ58" i="30" s="1"/>
  <c r="FQ64" i="30" s="1"/>
  <c r="FU56" i="30"/>
  <c r="FU58" i="30" s="1"/>
  <c r="FU64" i="30" s="1"/>
  <c r="FY56" i="30"/>
  <c r="FY58" i="30" s="1"/>
  <c r="FY64" i="30" s="1"/>
  <c r="FP56" i="30"/>
  <c r="FP58" i="30" s="1"/>
  <c r="FP64" i="30" s="1"/>
  <c r="FV56" i="30"/>
  <c r="FV58" i="30" s="1"/>
  <c r="FV64" i="30" s="1"/>
  <c r="FZ56" i="30"/>
  <c r="FZ58" i="30" s="1"/>
  <c r="FZ64" i="30" s="1"/>
  <c r="FW56" i="30"/>
  <c r="FW58" i="30" s="1"/>
  <c r="FW64" i="30" s="1"/>
  <c r="AP60" i="30"/>
  <c r="AP61" i="30" s="1"/>
  <c r="AP62" i="30" s="1"/>
  <c r="AP74" i="30" s="1"/>
  <c r="AP75" i="30"/>
  <c r="AN71" i="30"/>
  <c r="AN76" i="30"/>
  <c r="AO76" i="30"/>
  <c r="AR57" i="30"/>
  <c r="AR65" i="30"/>
  <c r="AR66" i="30" s="1"/>
  <c r="AQ66" i="30"/>
  <c r="AS52" i="30"/>
  <c r="AS73" i="30" s="1"/>
  <c r="AP68" i="30" l="1"/>
  <c r="AP76" i="30" s="1"/>
  <c r="AQ60" i="30"/>
  <c r="AQ61" i="30" s="1"/>
  <c r="AQ62" i="30" s="1"/>
  <c r="AQ75" i="30"/>
  <c r="AR75" i="30"/>
  <c r="AN77" i="30"/>
  <c r="AO77" i="30"/>
  <c r="AS57" i="30"/>
  <c r="AS65" i="30"/>
  <c r="AS66" i="30" s="1"/>
  <c r="AS75" i="30" s="1"/>
  <c r="AT52" i="30"/>
  <c r="AT73" i="30" s="1"/>
  <c r="AP71" i="30" l="1"/>
  <c r="AP77" i="30" s="1"/>
  <c r="AS60" i="30"/>
  <c r="AQ68" i="30"/>
  <c r="AQ74" i="30"/>
  <c r="AT57" i="30"/>
  <c r="AT65" i="30"/>
  <c r="AT66" i="30" s="1"/>
  <c r="AR60" i="30"/>
  <c r="AR61" i="30" s="1"/>
  <c r="AU52" i="30"/>
  <c r="AU73" i="30" s="1"/>
  <c r="AQ71" i="30" l="1"/>
  <c r="AQ77" i="30" s="1"/>
  <c r="AQ76" i="30"/>
  <c r="AT60" i="30"/>
  <c r="AT61" i="30" s="1"/>
  <c r="AT75" i="30"/>
  <c r="AU57" i="30"/>
  <c r="AU65" i="30"/>
  <c r="AU66" i="30" s="1"/>
  <c r="AS61" i="30"/>
  <c r="AR62" i="30"/>
  <c r="AR74" i="30" s="1"/>
  <c r="AV52" i="30"/>
  <c r="AV73" i="30" s="1"/>
  <c r="AT62" i="30" l="1"/>
  <c r="AT68" i="30" s="1"/>
  <c r="AS62" i="30"/>
  <c r="AS68" i="30" s="1"/>
  <c r="AU60" i="30"/>
  <c r="AU61" i="30" s="1"/>
  <c r="AU62" i="30" s="1"/>
  <c r="AU75" i="30"/>
  <c r="AR68" i="30"/>
  <c r="AV57" i="30"/>
  <c r="AV65" i="30"/>
  <c r="AV66" i="30" s="1"/>
  <c r="AW52" i="30"/>
  <c r="AW73" i="30" s="1"/>
  <c r="AT74" i="30" l="1"/>
  <c r="AS74" i="30"/>
  <c r="AR71" i="30"/>
  <c r="AR77" i="30" s="1"/>
  <c r="AR76" i="30"/>
  <c r="AU68" i="30"/>
  <c r="AU74" i="30"/>
  <c r="AV60" i="30"/>
  <c r="AV61" i="30" s="1"/>
  <c r="AV62" i="30" s="1"/>
  <c r="AV74" i="30" s="1"/>
  <c r="AV75" i="30"/>
  <c r="AS71" i="30"/>
  <c r="AS76" i="30"/>
  <c r="AT71" i="30"/>
  <c r="AT76" i="30"/>
  <c r="AW57" i="30"/>
  <c r="AW65" i="30"/>
  <c r="AX52" i="30"/>
  <c r="AX73" i="30" s="1"/>
  <c r="AT77" i="30" l="1"/>
  <c r="AS77" i="30"/>
  <c r="AU71" i="30"/>
  <c r="AU77" i="30" s="1"/>
  <c r="AU76" i="30"/>
  <c r="AV68" i="30"/>
  <c r="AX57" i="30"/>
  <c r="AX65" i="30"/>
  <c r="AW66" i="30"/>
  <c r="AY52" i="30"/>
  <c r="AY73" i="30" s="1"/>
  <c r="AV71" i="30" l="1"/>
  <c r="AV77" i="30" s="1"/>
  <c r="AV76" i="30"/>
  <c r="AW60" i="30"/>
  <c r="AW61" i="30" s="1"/>
  <c r="AW62" i="30" s="1"/>
  <c r="AW74" i="30" s="1"/>
  <c r="AW75" i="30"/>
  <c r="AY57" i="30"/>
  <c r="AY65" i="30"/>
  <c r="AY66" i="30" s="1"/>
  <c r="AX66" i="30"/>
  <c r="AZ52" i="30"/>
  <c r="AZ73" i="30" s="1"/>
  <c r="AW68" i="30" l="1"/>
  <c r="AW76" i="30" s="1"/>
  <c r="AX60" i="30"/>
  <c r="AX61" i="30" s="1"/>
  <c r="AX62" i="30" s="1"/>
  <c r="AX74" i="30" s="1"/>
  <c r="AX75" i="30"/>
  <c r="AY60" i="30"/>
  <c r="AY75" i="30"/>
  <c r="AZ57" i="30"/>
  <c r="AZ65" i="30"/>
  <c r="BA52" i="30"/>
  <c r="BA73" i="30" s="1"/>
  <c r="AW71" i="30" l="1"/>
  <c r="AW77" i="30" s="1"/>
  <c r="AX68" i="30"/>
  <c r="AX71" i="30" s="1"/>
  <c r="AY61" i="30"/>
  <c r="AY62" i="30" s="1"/>
  <c r="AY74" i="30" s="1"/>
  <c r="BA57" i="30"/>
  <c r="BA65" i="30"/>
  <c r="AZ66" i="30"/>
  <c r="BB52" i="30"/>
  <c r="BB73" i="30" s="1"/>
  <c r="AX77" i="30" l="1"/>
  <c r="AX76" i="30"/>
  <c r="AY68" i="30"/>
  <c r="AY71" i="30" s="1"/>
  <c r="AY77" i="30" s="1"/>
  <c r="AZ60" i="30"/>
  <c r="AZ61" i="30" s="1"/>
  <c r="AZ62" i="30" s="1"/>
  <c r="AZ74" i="30" s="1"/>
  <c r="AZ75" i="30"/>
  <c r="BB57" i="30"/>
  <c r="BB65" i="30"/>
  <c r="BA66" i="30"/>
  <c r="BC52" i="30"/>
  <c r="BC73" i="30" s="1"/>
  <c r="AY76" i="30" l="1"/>
  <c r="AZ68" i="30"/>
  <c r="AZ71" i="30" s="1"/>
  <c r="AZ77" i="30" s="1"/>
  <c r="BA60" i="30"/>
  <c r="BA61" i="30" s="1"/>
  <c r="BA62" i="30" s="1"/>
  <c r="BA74" i="30" s="1"/>
  <c r="BA75" i="30"/>
  <c r="BC57" i="30"/>
  <c r="BC65" i="30"/>
  <c r="BB66" i="30"/>
  <c r="BD52" i="30"/>
  <c r="BD73" i="30" s="1"/>
  <c r="AZ76" i="30" l="1"/>
  <c r="BA68" i="30"/>
  <c r="BA71" i="30" s="1"/>
  <c r="BA77" i="30" s="1"/>
  <c r="BB60" i="30"/>
  <c r="BB61" i="30" s="1"/>
  <c r="BB62" i="30" s="1"/>
  <c r="BB75" i="30"/>
  <c r="BD57" i="30"/>
  <c r="BD65" i="30"/>
  <c r="BC66" i="30"/>
  <c r="BE52" i="30"/>
  <c r="BE73" i="30" s="1"/>
  <c r="BA76" i="30" l="1"/>
  <c r="BC60" i="30"/>
  <c r="BC61" i="30" s="1"/>
  <c r="BC62" i="30" s="1"/>
  <c r="BC75" i="30"/>
  <c r="BB68" i="30"/>
  <c r="BB74" i="30"/>
  <c r="BE57" i="30"/>
  <c r="BE65" i="30"/>
  <c r="BD66" i="30"/>
  <c r="BF52" i="30"/>
  <c r="BF73" i="30" s="1"/>
  <c r="BD60" i="30" l="1"/>
  <c r="BD61" i="30" s="1"/>
  <c r="BD62" i="30" s="1"/>
  <c r="BD74" i="30" s="1"/>
  <c r="BD75" i="30"/>
  <c r="BB71" i="30"/>
  <c r="BB77" i="30" s="1"/>
  <c r="BB76" i="30"/>
  <c r="BC68" i="30"/>
  <c r="BC74" i="30"/>
  <c r="BF57" i="30"/>
  <c r="BF65" i="30"/>
  <c r="BE66" i="30"/>
  <c r="BG52" i="30"/>
  <c r="BG73" i="30" s="1"/>
  <c r="BD68" i="30" l="1"/>
  <c r="BD71" i="30" s="1"/>
  <c r="BE60" i="30"/>
  <c r="BE61" i="30" s="1"/>
  <c r="BE62" i="30" s="1"/>
  <c r="BE74" i="30" s="1"/>
  <c r="BE75" i="30"/>
  <c r="BC71" i="30"/>
  <c r="BC77" i="30" s="1"/>
  <c r="BC76" i="30"/>
  <c r="BG57" i="30"/>
  <c r="BG65" i="30"/>
  <c r="BF66" i="30"/>
  <c r="BH52" i="30"/>
  <c r="BH73" i="30" s="1"/>
  <c r="BD76" i="30" l="1"/>
  <c r="BE68" i="30"/>
  <c r="BE71" i="30" s="1"/>
  <c r="BE77" i="30" s="1"/>
  <c r="BF60" i="30"/>
  <c r="BF61" i="30" s="1"/>
  <c r="BF62" i="30" s="1"/>
  <c r="BF74" i="30" s="1"/>
  <c r="BF75" i="30"/>
  <c r="BD77" i="30"/>
  <c r="BH57" i="30"/>
  <c r="BH65" i="30"/>
  <c r="BH66" i="30" s="1"/>
  <c r="BG66" i="30"/>
  <c r="BI52" i="30"/>
  <c r="BI73" i="30" s="1"/>
  <c r="BE76" i="30" l="1"/>
  <c r="BF68" i="30"/>
  <c r="BF71" i="30" s="1"/>
  <c r="BF77" i="30" s="1"/>
  <c r="BH60" i="30"/>
  <c r="BH75" i="30"/>
  <c r="BG60" i="30"/>
  <c r="BG61" i="30" s="1"/>
  <c r="BG62" i="30" s="1"/>
  <c r="BG74" i="30" s="1"/>
  <c r="BG75" i="30"/>
  <c r="BI57" i="30"/>
  <c r="BI65" i="30"/>
  <c r="BI66" i="30" s="1"/>
  <c r="BJ52" i="30"/>
  <c r="BJ73" i="30" s="1"/>
  <c r="BF76" i="30" l="1"/>
  <c r="BG68" i="30"/>
  <c r="BH61" i="30"/>
  <c r="BH62" i="30" s="1"/>
  <c r="BH74" i="30" s="1"/>
  <c r="BI60" i="30"/>
  <c r="BI61" i="30" s="1"/>
  <c r="BI75" i="30"/>
  <c r="BJ57" i="30"/>
  <c r="BJ65" i="30"/>
  <c r="BK52" i="30"/>
  <c r="BK73" i="30" s="1"/>
  <c r="BI62" i="30" l="1"/>
  <c r="BI68" i="30" s="1"/>
  <c r="BH68" i="30"/>
  <c r="BG71" i="30"/>
  <c r="BG77" i="30" s="1"/>
  <c r="BG76" i="30"/>
  <c r="BK57" i="30"/>
  <c r="BK65" i="30"/>
  <c r="BJ66" i="30"/>
  <c r="BK80" i="30"/>
  <c r="D9" i="32" s="1"/>
  <c r="BL52" i="30"/>
  <c r="BL73" i="30" s="1"/>
  <c r="BI74" i="30" l="1"/>
  <c r="BJ60" i="30"/>
  <c r="BJ61" i="30" s="1"/>
  <c r="BJ62" i="30" s="1"/>
  <c r="BJ75" i="30"/>
  <c r="BH71" i="30"/>
  <c r="BH77" i="30" s="1"/>
  <c r="BH76" i="30"/>
  <c r="BI71" i="30"/>
  <c r="BI76" i="30"/>
  <c r="BL57" i="30"/>
  <c r="BL65" i="30"/>
  <c r="BL66" i="30" s="1"/>
  <c r="BK66" i="30"/>
  <c r="BL80" i="30"/>
  <c r="U9" i="32"/>
  <c r="V9" i="32" s="1"/>
  <c r="BK81" i="30"/>
  <c r="BM52" i="30"/>
  <c r="BM73" i="30" s="1"/>
  <c r="BI77" i="30" l="1"/>
  <c r="BL60" i="30"/>
  <c r="BL75" i="30"/>
  <c r="BK60" i="30"/>
  <c r="BK61" i="30" s="1"/>
  <c r="BK62" i="30" s="1"/>
  <c r="BK75" i="30"/>
  <c r="BJ68" i="30"/>
  <c r="BJ74" i="30"/>
  <c r="BM57" i="30"/>
  <c r="BM65" i="30"/>
  <c r="BM80" i="30"/>
  <c r="E9" i="32"/>
  <c r="BN52" i="30"/>
  <c r="BN73" i="30" s="1"/>
  <c r="BK68" i="30" l="1"/>
  <c r="BK74" i="30"/>
  <c r="BJ71" i="30"/>
  <c r="BJ77" i="30" s="1"/>
  <c r="BJ76" i="30"/>
  <c r="BL61" i="30"/>
  <c r="BL62" i="30" s="1"/>
  <c r="BN57" i="30"/>
  <c r="BN65" i="30"/>
  <c r="BN66" i="30" s="1"/>
  <c r="BM66" i="30"/>
  <c r="BN80" i="30"/>
  <c r="BO52" i="30"/>
  <c r="BO73" i="30" s="1"/>
  <c r="BL68" i="30" l="1"/>
  <c r="BL74" i="30"/>
  <c r="BN60" i="30"/>
  <c r="BN75" i="30"/>
  <c r="BM60" i="30"/>
  <c r="BM61" i="30" s="1"/>
  <c r="BM62" i="30" s="1"/>
  <c r="BM75" i="30"/>
  <c r="BK71" i="30"/>
  <c r="BK77" i="30" s="1"/>
  <c r="BK76" i="30"/>
  <c r="BO57" i="30"/>
  <c r="BO65" i="30"/>
  <c r="BO80" i="30"/>
  <c r="BP52" i="30"/>
  <c r="BP73" i="30" s="1"/>
  <c r="BN61" i="30" l="1"/>
  <c r="BN62" i="30" s="1"/>
  <c r="BN68" i="30" s="1"/>
  <c r="BM68" i="30"/>
  <c r="BM74" i="30"/>
  <c r="BL71" i="30"/>
  <c r="BL77" i="30" s="1"/>
  <c r="BL76" i="30"/>
  <c r="BO66" i="30"/>
  <c r="BP57" i="30"/>
  <c r="BP65" i="30"/>
  <c r="BP80" i="30"/>
  <c r="BQ52" i="30"/>
  <c r="BQ73" i="30" s="1"/>
  <c r="BN74" i="30" l="1"/>
  <c r="BN71" i="30"/>
  <c r="BN76" i="30"/>
  <c r="BO60" i="30"/>
  <c r="BO61" i="30" s="1"/>
  <c r="BO62" i="30" s="1"/>
  <c r="BO75" i="30"/>
  <c r="BM71" i="30"/>
  <c r="BM77" i="30" s="1"/>
  <c r="BM76" i="30"/>
  <c r="BQ57" i="30"/>
  <c r="BQ65" i="30"/>
  <c r="BQ66" i="30" s="1"/>
  <c r="BP66" i="30"/>
  <c r="BQ80" i="30"/>
  <c r="BR52" i="30"/>
  <c r="BR73" i="30" s="1"/>
  <c r="BQ60" i="30" l="1"/>
  <c r="BQ75" i="30"/>
  <c r="BO68" i="30"/>
  <c r="BO74" i="30"/>
  <c r="BP60" i="30"/>
  <c r="BP61" i="30" s="1"/>
  <c r="BP62" i="30" s="1"/>
  <c r="BP75" i="30"/>
  <c r="BN77" i="30"/>
  <c r="BR57" i="30"/>
  <c r="BR65" i="30"/>
  <c r="BR80" i="30"/>
  <c r="BS52" i="30"/>
  <c r="BS73" i="30" s="1"/>
  <c r="BO71" i="30" l="1"/>
  <c r="BO77" i="30" s="1"/>
  <c r="BO76" i="30"/>
  <c r="BP68" i="30"/>
  <c r="BP74" i="30"/>
  <c r="BQ61" i="30"/>
  <c r="BQ62" i="30" s="1"/>
  <c r="BS57" i="30"/>
  <c r="BS65" i="30"/>
  <c r="BS66" i="30" s="1"/>
  <c r="BR66" i="30"/>
  <c r="BS80" i="30"/>
  <c r="BT52" i="30"/>
  <c r="BT73" i="30" s="1"/>
  <c r="BS60" i="30" l="1"/>
  <c r="BS75" i="30"/>
  <c r="BP71" i="30"/>
  <c r="BP77" i="30" s="1"/>
  <c r="BP76" i="30"/>
  <c r="BR60" i="30"/>
  <c r="BR61" i="30" s="1"/>
  <c r="BR62" i="30" s="1"/>
  <c r="BR75" i="30"/>
  <c r="BQ68" i="30"/>
  <c r="BQ74" i="30"/>
  <c r="BT57" i="30"/>
  <c r="BT65" i="30"/>
  <c r="BT80" i="30"/>
  <c r="BU52" i="30"/>
  <c r="BU73" i="30" s="1"/>
  <c r="BQ71" i="30" l="1"/>
  <c r="BQ77" i="30" s="1"/>
  <c r="BQ76" i="30"/>
  <c r="BR68" i="30"/>
  <c r="BR74" i="30"/>
  <c r="BS61" i="30"/>
  <c r="BS62" i="30" s="1"/>
  <c r="BU57" i="30"/>
  <c r="BU65" i="30"/>
  <c r="BT66" i="30"/>
  <c r="BU80" i="30"/>
  <c r="BV52" i="30"/>
  <c r="BV73" i="30" s="1"/>
  <c r="BT60" i="30" l="1"/>
  <c r="BT61" i="30" s="1"/>
  <c r="BT62" i="30" s="1"/>
  <c r="BT75" i="30"/>
  <c r="BR71" i="30"/>
  <c r="BR77" i="30" s="1"/>
  <c r="BR76" i="30"/>
  <c r="BS68" i="30"/>
  <c r="BS74" i="30"/>
  <c r="BV57" i="30"/>
  <c r="BV65" i="30"/>
  <c r="BU66" i="30"/>
  <c r="BV80" i="30"/>
  <c r="BW52" i="30"/>
  <c r="BW73" i="30" s="1"/>
  <c r="BU60" i="30" l="1"/>
  <c r="BU61" i="30" s="1"/>
  <c r="BU62" i="30" s="1"/>
  <c r="BU75" i="30"/>
  <c r="BS71" i="30"/>
  <c r="BS77" i="30" s="1"/>
  <c r="BS76" i="30"/>
  <c r="BT68" i="30"/>
  <c r="BT74" i="30"/>
  <c r="BW57" i="30"/>
  <c r="BW65" i="30"/>
  <c r="BW66" i="30" s="1"/>
  <c r="BV66" i="30"/>
  <c r="BW80" i="30"/>
  <c r="D10" i="32" s="1"/>
  <c r="BX52" i="30"/>
  <c r="BX73" i="30" s="1"/>
  <c r="BW60" i="30" l="1"/>
  <c r="BW75" i="30"/>
  <c r="BV60" i="30"/>
  <c r="BV61" i="30" s="1"/>
  <c r="BV62" i="30" s="1"/>
  <c r="BV75" i="30"/>
  <c r="BT71" i="30"/>
  <c r="BT77" i="30" s="1"/>
  <c r="BT76" i="30"/>
  <c r="BU68" i="30"/>
  <c r="BU74" i="30"/>
  <c r="BX57" i="30"/>
  <c r="BX65" i="30"/>
  <c r="T10" i="32"/>
  <c r="U10" i="32" s="1"/>
  <c r="V10" i="32" s="1"/>
  <c r="BX80" i="30"/>
  <c r="BY52" i="30"/>
  <c r="BY73" i="30" s="1"/>
  <c r="BW61" i="30" l="1"/>
  <c r="BW62" i="30" s="1"/>
  <c r="BW68" i="30" s="1"/>
  <c r="BU71" i="30"/>
  <c r="BU77" i="30" s="1"/>
  <c r="BU76" i="30"/>
  <c r="BV68" i="30"/>
  <c r="BV74" i="30"/>
  <c r="BY57" i="30"/>
  <c r="BY65" i="30"/>
  <c r="BX66" i="30"/>
  <c r="BY80" i="30"/>
  <c r="BZ52" i="30"/>
  <c r="BZ73" i="30" s="1"/>
  <c r="BW74" i="30" l="1"/>
  <c r="BX60" i="30"/>
  <c r="BX61" i="30" s="1"/>
  <c r="BX62" i="30" s="1"/>
  <c r="BX75" i="30"/>
  <c r="BV71" i="30"/>
  <c r="BV77" i="30" s="1"/>
  <c r="BV76" i="30"/>
  <c r="BW71" i="30"/>
  <c r="BW76" i="30"/>
  <c r="BZ57" i="30"/>
  <c r="BZ65" i="30"/>
  <c r="BY66" i="30"/>
  <c r="BZ80" i="30"/>
  <c r="E10" i="32"/>
  <c r="CA52" i="30"/>
  <c r="CA73" i="30" s="1"/>
  <c r="BW77" i="30" l="1"/>
  <c r="BY60" i="30"/>
  <c r="BY61" i="30" s="1"/>
  <c r="BY62" i="30" s="1"/>
  <c r="BY75" i="30"/>
  <c r="BX68" i="30"/>
  <c r="BX74" i="30"/>
  <c r="CA57" i="30"/>
  <c r="CA65" i="30"/>
  <c r="CA66" i="30" s="1"/>
  <c r="BZ66" i="30"/>
  <c r="CA80" i="30"/>
  <c r="CB52" i="30"/>
  <c r="CB73" i="30" s="1"/>
  <c r="CA60" i="30" l="1"/>
  <c r="CA75" i="30"/>
  <c r="BX71" i="30"/>
  <c r="BX77" i="30" s="1"/>
  <c r="BX76" i="30"/>
  <c r="BZ60" i="30"/>
  <c r="BZ61" i="30" s="1"/>
  <c r="BZ62" i="30" s="1"/>
  <c r="BZ75" i="30"/>
  <c r="BY68" i="30"/>
  <c r="BY74" i="30"/>
  <c r="CB57" i="30"/>
  <c r="CB65" i="30"/>
  <c r="CB80" i="30"/>
  <c r="CC52" i="30"/>
  <c r="CC73" i="30" s="1"/>
  <c r="BY71" i="30" l="1"/>
  <c r="BY77" i="30" s="1"/>
  <c r="BY76" i="30"/>
  <c r="BZ68" i="30"/>
  <c r="BZ74" i="30"/>
  <c r="CA61" i="30"/>
  <c r="CA62" i="30" s="1"/>
  <c r="CC57" i="30"/>
  <c r="CC65" i="30"/>
  <c r="CC66" i="30" s="1"/>
  <c r="CB66" i="30"/>
  <c r="CC80" i="30"/>
  <c r="CD52" i="30"/>
  <c r="CD73" i="30" s="1"/>
  <c r="CB60" i="30" l="1"/>
  <c r="CB61" i="30" s="1"/>
  <c r="CB62" i="30" s="1"/>
  <c r="CB75" i="30"/>
  <c r="CC60" i="30"/>
  <c r="CC75" i="30"/>
  <c r="BZ71" i="30"/>
  <c r="BZ77" i="30" s="1"/>
  <c r="BZ76" i="30"/>
  <c r="CA68" i="30"/>
  <c r="CA74" i="30"/>
  <c r="CD57" i="30"/>
  <c r="CD65" i="30"/>
  <c r="CD66" i="30" s="1"/>
  <c r="CD80" i="30"/>
  <c r="CE52" i="30"/>
  <c r="CE73" i="30" s="1"/>
  <c r="CC61" i="30" l="1"/>
  <c r="CC62" i="30" s="1"/>
  <c r="CC68" i="30" s="1"/>
  <c r="CA71" i="30"/>
  <c r="CA77" i="30" s="1"/>
  <c r="CA76" i="30"/>
  <c r="CD60" i="30"/>
  <c r="CD61" i="30" s="1"/>
  <c r="CD75" i="30"/>
  <c r="CB68" i="30"/>
  <c r="CB74" i="30"/>
  <c r="CE57" i="30"/>
  <c r="CE65" i="30"/>
  <c r="CE80" i="30"/>
  <c r="CF52" i="30"/>
  <c r="CF73" i="30" s="1"/>
  <c r="CD62" i="30" l="1"/>
  <c r="CD68" i="30" s="1"/>
  <c r="CC74" i="30"/>
  <c r="CB71" i="30"/>
  <c r="CB77" i="30" s="1"/>
  <c r="CB76" i="30"/>
  <c r="CC71" i="30"/>
  <c r="CC76" i="30"/>
  <c r="CF57" i="30"/>
  <c r="CF65" i="30"/>
  <c r="CF66" i="30" s="1"/>
  <c r="CE66" i="30"/>
  <c r="CF80" i="30"/>
  <c r="CG52" i="30"/>
  <c r="CG73" i="30" s="1"/>
  <c r="CD74" i="30" l="1"/>
  <c r="CC77" i="30"/>
  <c r="CF60" i="30"/>
  <c r="CF75" i="30"/>
  <c r="CE60" i="30"/>
  <c r="CE61" i="30" s="1"/>
  <c r="CE62" i="30" s="1"/>
  <c r="CE75" i="30"/>
  <c r="CD71" i="30"/>
  <c r="CD77" i="30" s="1"/>
  <c r="CD76" i="30"/>
  <c r="CG57" i="30"/>
  <c r="CG65" i="30"/>
  <c r="CG80" i="30"/>
  <c r="CH52" i="30"/>
  <c r="CH73" i="30" s="1"/>
  <c r="CF61" i="30" l="1"/>
  <c r="CF62" i="30" s="1"/>
  <c r="CF68" i="30" s="1"/>
  <c r="CE68" i="30"/>
  <c r="CE74" i="30"/>
  <c r="CH57" i="30"/>
  <c r="CH65" i="30"/>
  <c r="CG66" i="30"/>
  <c r="CH80" i="30"/>
  <c r="CI52" i="30"/>
  <c r="CI73" i="30" s="1"/>
  <c r="CF74" i="30" l="1"/>
  <c r="CG60" i="30"/>
  <c r="CG61" i="30" s="1"/>
  <c r="CG62" i="30" s="1"/>
  <c r="CG75" i="30"/>
  <c r="CF71" i="30"/>
  <c r="CF76" i="30"/>
  <c r="CE71" i="30"/>
  <c r="CE77" i="30" s="1"/>
  <c r="CE76" i="30"/>
  <c r="CI57" i="30"/>
  <c r="CI65" i="30"/>
  <c r="CH66" i="30"/>
  <c r="CI80" i="30"/>
  <c r="D11" i="32" s="1"/>
  <c r="CJ52" i="30"/>
  <c r="CJ73" i="30" s="1"/>
  <c r="E11" i="32" l="1"/>
  <c r="CF77" i="30"/>
  <c r="CH60" i="30"/>
  <c r="CH61" i="30" s="1"/>
  <c r="CH62" i="30" s="1"/>
  <c r="CH75" i="30"/>
  <c r="CG68" i="30"/>
  <c r="CG74" i="30"/>
  <c r="CI66" i="30"/>
  <c r="CJ57" i="30"/>
  <c r="CJ65" i="30"/>
  <c r="CJ66" i="30" s="1"/>
  <c r="CJ80" i="30"/>
  <c r="CK52" i="30"/>
  <c r="CK73" i="30" s="1"/>
  <c r="CJ60" i="30" l="1"/>
  <c r="CJ75" i="30"/>
  <c r="CG71" i="30"/>
  <c r="CG77" i="30" s="1"/>
  <c r="CG76" i="30"/>
  <c r="CI60" i="30"/>
  <c r="CI61" i="30" s="1"/>
  <c r="CI62" i="30" s="1"/>
  <c r="CI75" i="30"/>
  <c r="CH68" i="30"/>
  <c r="CH74" i="30"/>
  <c r="CK57" i="30"/>
  <c r="CK65" i="30"/>
  <c r="CK66" i="30" s="1"/>
  <c r="CK80" i="30"/>
  <c r="CL52" i="30"/>
  <c r="CH71" i="30" l="1"/>
  <c r="CH77" i="30" s="1"/>
  <c r="CH76" i="30"/>
  <c r="CK60" i="30"/>
  <c r="CK61" i="30" s="1"/>
  <c r="CK75" i="30"/>
  <c r="CL65" i="30"/>
  <c r="CL73" i="30"/>
  <c r="CI68" i="30"/>
  <c r="CI74" i="30"/>
  <c r="CJ61" i="30"/>
  <c r="CJ62" i="30" s="1"/>
  <c r="CL66" i="30"/>
  <c r="CL75" i="30" s="1"/>
  <c r="CL57" i="30"/>
  <c r="CL80" i="30"/>
  <c r="CM52" i="30"/>
  <c r="CM73" i="30" s="1"/>
  <c r="CK62" i="30" l="1"/>
  <c r="CK68" i="30" s="1"/>
  <c r="CL60" i="30"/>
  <c r="CL61" i="30" s="1"/>
  <c r="CL62" i="30" s="1"/>
  <c r="CI71" i="30"/>
  <c r="CI77" i="30" s="1"/>
  <c r="CI76" i="30"/>
  <c r="CJ68" i="30"/>
  <c r="CJ74" i="30"/>
  <c r="CM57" i="30"/>
  <c r="CM65" i="30"/>
  <c r="CM80" i="30"/>
  <c r="CN52" i="30"/>
  <c r="CN73" i="30" s="1"/>
  <c r="CK74" i="30" l="1"/>
  <c r="CL68" i="30"/>
  <c r="CL74" i="30"/>
  <c r="CJ71" i="30"/>
  <c r="CJ77" i="30" s="1"/>
  <c r="CJ76" i="30"/>
  <c r="CK71" i="30"/>
  <c r="CK76" i="30"/>
  <c r="CN57" i="30"/>
  <c r="CN65" i="30"/>
  <c r="CN66" i="30" s="1"/>
  <c r="CM66" i="30"/>
  <c r="CN80" i="30"/>
  <c r="CO52" i="30"/>
  <c r="CO73" i="30" s="1"/>
  <c r="CK77" i="30" l="1"/>
  <c r="CN60" i="30"/>
  <c r="CN75" i="30"/>
  <c r="CM60" i="30"/>
  <c r="CM61" i="30" s="1"/>
  <c r="CM62" i="30" s="1"/>
  <c r="CM75" i="30"/>
  <c r="CL71" i="30"/>
  <c r="CL77" i="30" s="1"/>
  <c r="CL76" i="30"/>
  <c r="CO57" i="30"/>
  <c r="CO65" i="30"/>
  <c r="CO80" i="30"/>
  <c r="CP52" i="30"/>
  <c r="CP73" i="30" s="1"/>
  <c r="CN61" i="30" l="1"/>
  <c r="CN62" i="30" s="1"/>
  <c r="CN68" i="30" s="1"/>
  <c r="CM68" i="30"/>
  <c r="CM74" i="30"/>
  <c r="CO66" i="30"/>
  <c r="CP57" i="30"/>
  <c r="CP65" i="30"/>
  <c r="CP80" i="30"/>
  <c r="CQ52" i="30"/>
  <c r="CQ73" i="30" s="1"/>
  <c r="CN74" i="30" l="1"/>
  <c r="CN71" i="30"/>
  <c r="CN76" i="30"/>
  <c r="CO60" i="30"/>
  <c r="CO61" i="30" s="1"/>
  <c r="CO62" i="30" s="1"/>
  <c r="CO75" i="30"/>
  <c r="CM71" i="30"/>
  <c r="CM77" i="30" s="1"/>
  <c r="CM76" i="30"/>
  <c r="CQ57" i="30"/>
  <c r="CQ65" i="30"/>
  <c r="CP66" i="30"/>
  <c r="CQ80" i="30"/>
  <c r="CR52" i="30"/>
  <c r="CR73" i="30" s="1"/>
  <c r="CO68" i="30" l="1"/>
  <c r="CO74" i="30"/>
  <c r="CP60" i="30"/>
  <c r="CP61" i="30" s="1"/>
  <c r="CP62" i="30" s="1"/>
  <c r="CP75" i="30"/>
  <c r="CN77" i="30"/>
  <c r="CR57" i="30"/>
  <c r="CR65" i="30"/>
  <c r="CQ66" i="30"/>
  <c r="CR80" i="30"/>
  <c r="CS52" i="30"/>
  <c r="CS73" i="30" s="1"/>
  <c r="CP68" i="30" l="1"/>
  <c r="CP74" i="30"/>
  <c r="CQ60" i="30"/>
  <c r="CQ61" i="30" s="1"/>
  <c r="CQ62" i="30" s="1"/>
  <c r="CQ75" i="30"/>
  <c r="CO71" i="30"/>
  <c r="CO77" i="30" s="1"/>
  <c r="CO76" i="30"/>
  <c r="CS57" i="30"/>
  <c r="CS65" i="30"/>
  <c r="CR66" i="30"/>
  <c r="CS80" i="30"/>
  <c r="CT52" i="30"/>
  <c r="CT73" i="30" s="1"/>
  <c r="CQ68" i="30" l="1"/>
  <c r="CQ74" i="30"/>
  <c r="CR60" i="30"/>
  <c r="CR61" i="30" s="1"/>
  <c r="CR62" i="30" s="1"/>
  <c r="CR75" i="30"/>
  <c r="CP71" i="30"/>
  <c r="CP77" i="30" s="1"/>
  <c r="CP76" i="30"/>
  <c r="CT57" i="30"/>
  <c r="CT65" i="30"/>
  <c r="CS66" i="30"/>
  <c r="CT80" i="30"/>
  <c r="CU52" i="30"/>
  <c r="CU73" i="30" s="1"/>
  <c r="CR68" i="30" l="1"/>
  <c r="CR74" i="30"/>
  <c r="CS60" i="30"/>
  <c r="CS61" i="30" s="1"/>
  <c r="CS62" i="30" s="1"/>
  <c r="CS75" i="30"/>
  <c r="CQ71" i="30"/>
  <c r="CQ77" i="30" s="1"/>
  <c r="CQ76" i="30"/>
  <c r="CT66" i="30"/>
  <c r="CU57" i="30"/>
  <c r="CU65" i="30"/>
  <c r="CU66" i="30" s="1"/>
  <c r="CU80" i="30"/>
  <c r="D12" i="32" s="1"/>
  <c r="CV52" i="30"/>
  <c r="CV73" i="30" s="1"/>
  <c r="E12" i="32" l="1"/>
  <c r="CT60" i="30"/>
  <c r="CT61" i="30" s="1"/>
  <c r="CT62" i="30" s="1"/>
  <c r="CT75" i="30"/>
  <c r="CS68" i="30"/>
  <c r="CS74" i="30"/>
  <c r="CU60" i="30"/>
  <c r="CU61" i="30" s="1"/>
  <c r="CU75" i="30"/>
  <c r="CR71" i="30"/>
  <c r="CR77" i="30" s="1"/>
  <c r="CR76" i="30"/>
  <c r="CV57" i="30"/>
  <c r="CV65" i="30"/>
  <c r="CV66" i="30" s="1"/>
  <c r="CV80" i="30"/>
  <c r="CW52" i="30"/>
  <c r="CW73" i="30" s="1"/>
  <c r="CU62" i="30" l="1"/>
  <c r="CU68" i="30" s="1"/>
  <c r="CS71" i="30"/>
  <c r="CS77" i="30" s="1"/>
  <c r="CS76" i="30"/>
  <c r="CV60" i="30"/>
  <c r="CV61" i="30" s="1"/>
  <c r="CV62" i="30" s="1"/>
  <c r="CV75" i="30"/>
  <c r="CT68" i="30"/>
  <c r="CT74" i="30"/>
  <c r="CW57" i="30"/>
  <c r="CW65" i="30"/>
  <c r="CW66" i="30" s="1"/>
  <c r="CW80" i="30"/>
  <c r="CX52" i="30"/>
  <c r="CX73" i="30" s="1"/>
  <c r="CU74" i="30" l="1"/>
  <c r="CV68" i="30"/>
  <c r="CV74" i="30"/>
  <c r="CT71" i="30"/>
  <c r="CT77" i="30" s="1"/>
  <c r="CT76" i="30"/>
  <c r="CW60" i="30"/>
  <c r="CW61" i="30" s="1"/>
  <c r="CW62" i="30" s="1"/>
  <c r="CW75" i="30"/>
  <c r="CU71" i="30"/>
  <c r="CU77" i="30" s="1"/>
  <c r="CU76" i="30"/>
  <c r="CX57" i="30"/>
  <c r="CX65" i="30"/>
  <c r="CX66" i="30" s="1"/>
  <c r="CX80" i="30"/>
  <c r="CY52" i="30"/>
  <c r="CY73" i="30" s="1"/>
  <c r="CW68" i="30" l="1"/>
  <c r="CW74" i="30"/>
  <c r="CX60" i="30"/>
  <c r="CX61" i="30" s="1"/>
  <c r="CX62" i="30" s="1"/>
  <c r="CX75" i="30"/>
  <c r="CV71" i="30"/>
  <c r="CV77" i="30" s="1"/>
  <c r="CV76" i="30"/>
  <c r="CY57" i="30"/>
  <c r="CY65" i="30"/>
  <c r="CY80" i="30"/>
  <c r="CZ52" i="30"/>
  <c r="CZ73" i="30" s="1"/>
  <c r="CX68" i="30" l="1"/>
  <c r="CX74" i="30"/>
  <c r="CW71" i="30"/>
  <c r="CW77" i="30" s="1"/>
  <c r="CW76" i="30"/>
  <c r="CZ57" i="30"/>
  <c r="CZ65" i="30"/>
  <c r="CY66" i="30"/>
  <c r="CZ80" i="30"/>
  <c r="DA52" i="30"/>
  <c r="DA73" i="30" s="1"/>
  <c r="CY60" i="30" l="1"/>
  <c r="CY61" i="30" s="1"/>
  <c r="CY62" i="30" s="1"/>
  <c r="CY75" i="30"/>
  <c r="CX71" i="30"/>
  <c r="CX77" i="30" s="1"/>
  <c r="CX76" i="30"/>
  <c r="DA57" i="30"/>
  <c r="DA65" i="30"/>
  <c r="CZ66" i="30"/>
  <c r="DA80" i="30"/>
  <c r="DB52" i="30"/>
  <c r="DB73" i="30" s="1"/>
  <c r="DA66" i="30" l="1"/>
  <c r="DA60" i="30" s="1"/>
  <c r="CZ60" i="30"/>
  <c r="CZ61" i="30" s="1"/>
  <c r="CZ62" i="30" s="1"/>
  <c r="CZ75" i="30"/>
  <c r="CY68" i="30"/>
  <c r="CY74" i="30"/>
  <c r="DB57" i="30"/>
  <c r="DB65" i="30"/>
  <c r="DB80" i="30"/>
  <c r="DC52" i="30"/>
  <c r="DC73" i="30" s="1"/>
  <c r="DA61" i="30" l="1"/>
  <c r="DA62" i="30" s="1"/>
  <c r="DA75" i="30"/>
  <c r="DB66" i="30"/>
  <c r="DB75" i="30" s="1"/>
  <c r="CY71" i="30"/>
  <c r="CY77" i="30" s="1"/>
  <c r="CY76" i="30"/>
  <c r="CZ68" i="30"/>
  <c r="CZ74" i="30"/>
  <c r="DC57" i="30"/>
  <c r="DC65" i="30"/>
  <c r="DC80" i="30"/>
  <c r="DB60" i="30"/>
  <c r="DB61" i="30" s="1"/>
  <c r="DD52" i="30"/>
  <c r="DD73" i="30" s="1"/>
  <c r="DA68" i="30" l="1"/>
  <c r="DA71" i="30" s="1"/>
  <c r="DA74" i="30"/>
  <c r="DC66" i="30"/>
  <c r="DC75" i="30" s="1"/>
  <c r="CZ71" i="30"/>
  <c r="CZ77" i="30" s="1"/>
  <c r="CZ76" i="30"/>
  <c r="DD57" i="30"/>
  <c r="DD65" i="30"/>
  <c r="DB62" i="30"/>
  <c r="DD80" i="30"/>
  <c r="DE52" i="30"/>
  <c r="DE73" i="30" s="1"/>
  <c r="DC60" i="30" l="1"/>
  <c r="DC61" i="30" s="1"/>
  <c r="DC62" i="30" s="1"/>
  <c r="DA76" i="30"/>
  <c r="DA77" i="30"/>
  <c r="DD66" i="30"/>
  <c r="DD75" i="30" s="1"/>
  <c r="DB68" i="30"/>
  <c r="DB74" i="30"/>
  <c r="DE57" i="30"/>
  <c r="DE65" i="30"/>
  <c r="DE80" i="30"/>
  <c r="DF52" i="30"/>
  <c r="DF73" i="30" s="1"/>
  <c r="DD60" i="30" l="1"/>
  <c r="DD61" i="30" s="1"/>
  <c r="DD62" i="30" s="1"/>
  <c r="DE66" i="30"/>
  <c r="DE75" i="30" s="1"/>
  <c r="DC68" i="30"/>
  <c r="DC74" i="30"/>
  <c r="DB71" i="30"/>
  <c r="DB77" i="30" s="1"/>
  <c r="DB76" i="30"/>
  <c r="DF57" i="30"/>
  <c r="DF65" i="30"/>
  <c r="DF80" i="30"/>
  <c r="DG52" i="30"/>
  <c r="DG73" i="30" s="1"/>
  <c r="DE60" i="30" l="1"/>
  <c r="DE61" i="30" s="1"/>
  <c r="DE62" i="30" s="1"/>
  <c r="DF66" i="30"/>
  <c r="DF75" i="30" s="1"/>
  <c r="DD68" i="30"/>
  <c r="DD74" i="30"/>
  <c r="DC71" i="30"/>
  <c r="DC77" i="30" s="1"/>
  <c r="DC76" i="30"/>
  <c r="DG57" i="30"/>
  <c r="DG65" i="30"/>
  <c r="DG80" i="30"/>
  <c r="D13" i="32" s="1"/>
  <c r="DH52" i="30"/>
  <c r="DH73" i="30" s="1"/>
  <c r="DF60" i="30" l="1"/>
  <c r="DF61" i="30" s="1"/>
  <c r="DF62" i="30" s="1"/>
  <c r="E13" i="32"/>
  <c r="DG66" i="30"/>
  <c r="DG75" i="30" s="1"/>
  <c r="DE68" i="30"/>
  <c r="DE74" i="30"/>
  <c r="DD71" i="30"/>
  <c r="DD77" i="30" s="1"/>
  <c r="DD76" i="30"/>
  <c r="DH57" i="30"/>
  <c r="DH65" i="30"/>
  <c r="DH80" i="30"/>
  <c r="DI52" i="30"/>
  <c r="DI73" i="30" s="1"/>
  <c r="DG60" i="30" l="1"/>
  <c r="DG61" i="30" s="1"/>
  <c r="DG62" i="30" s="1"/>
  <c r="DH66" i="30"/>
  <c r="DF68" i="30"/>
  <c r="DF74" i="30"/>
  <c r="DE71" i="30"/>
  <c r="DE77" i="30" s="1"/>
  <c r="DE76" i="30"/>
  <c r="DI57" i="30"/>
  <c r="DI65" i="30"/>
  <c r="DI80" i="30"/>
  <c r="DJ52" i="30"/>
  <c r="DJ73" i="30" s="1"/>
  <c r="DH75" i="30" l="1"/>
  <c r="DH60" i="30"/>
  <c r="DH61" i="30" s="1"/>
  <c r="DH62" i="30" s="1"/>
  <c r="DI66" i="30"/>
  <c r="DG68" i="30"/>
  <c r="DG74" i="30"/>
  <c r="DF71" i="30"/>
  <c r="DF77" i="30" s="1"/>
  <c r="DF76" i="30"/>
  <c r="DJ57" i="30"/>
  <c r="DJ65" i="30"/>
  <c r="DJ66" i="30" s="1"/>
  <c r="DJ80" i="30"/>
  <c r="DK52" i="30"/>
  <c r="DK73" i="30" s="1"/>
  <c r="DJ60" i="30" l="1"/>
  <c r="DJ75" i="30"/>
  <c r="DI75" i="30"/>
  <c r="DI60" i="30"/>
  <c r="DI61" i="30" s="1"/>
  <c r="DI62" i="30" s="1"/>
  <c r="DI68" i="30" s="1"/>
  <c r="DH68" i="30"/>
  <c r="DH74" i="30"/>
  <c r="DG71" i="30"/>
  <c r="DG77" i="30" s="1"/>
  <c r="DG76" i="30"/>
  <c r="DK57" i="30"/>
  <c r="DK65" i="30"/>
  <c r="DK80" i="30"/>
  <c r="DL52" i="30"/>
  <c r="DL73" i="30" s="1"/>
  <c r="DJ61" i="30" l="1"/>
  <c r="DJ62" i="30" s="1"/>
  <c r="DI74" i="30"/>
  <c r="DK66" i="30"/>
  <c r="DK75" i="30" s="1"/>
  <c r="DH71" i="30"/>
  <c r="DH77" i="30" s="1"/>
  <c r="DH76" i="30"/>
  <c r="DI71" i="30"/>
  <c r="DI76" i="30"/>
  <c r="DL57" i="30"/>
  <c r="DL65" i="30"/>
  <c r="DL80" i="30"/>
  <c r="DK60" i="30"/>
  <c r="DK61" i="30" s="1"/>
  <c r="DM52" i="30"/>
  <c r="DM73" i="30" s="1"/>
  <c r="DI77" i="30" l="1"/>
  <c r="DJ68" i="30"/>
  <c r="DJ71" i="30" s="1"/>
  <c r="DJ77" i="30" s="1"/>
  <c r="DJ74" i="30"/>
  <c r="DL66" i="30"/>
  <c r="DL75" i="30" s="1"/>
  <c r="DM57" i="30"/>
  <c r="DM65" i="30"/>
  <c r="DK62" i="30"/>
  <c r="DM80" i="30"/>
  <c r="DN52" i="30"/>
  <c r="DN73" i="30" s="1"/>
  <c r="DJ76" i="30" l="1"/>
  <c r="DL60" i="30"/>
  <c r="DL61" i="30" s="1"/>
  <c r="DL62" i="30" s="1"/>
  <c r="DM66" i="30"/>
  <c r="DM75" i="30" s="1"/>
  <c r="DK68" i="30"/>
  <c r="DK74" i="30"/>
  <c r="DN57" i="30"/>
  <c r="DN65" i="30"/>
  <c r="DN80" i="30"/>
  <c r="DO52" i="30"/>
  <c r="DO73" i="30" s="1"/>
  <c r="DM60" i="30" l="1"/>
  <c r="DM61" i="30" s="1"/>
  <c r="DM62" i="30" s="1"/>
  <c r="DN66" i="30"/>
  <c r="DL68" i="30"/>
  <c r="DL74" i="30"/>
  <c r="DK71" i="30"/>
  <c r="DK77" i="30" s="1"/>
  <c r="DK76" i="30"/>
  <c r="DO57" i="30"/>
  <c r="DO65" i="30"/>
  <c r="DO80" i="30"/>
  <c r="DP52" i="30"/>
  <c r="DP73" i="30" s="1"/>
  <c r="DN75" i="30" l="1"/>
  <c r="DN60" i="30"/>
  <c r="DN61" i="30" s="1"/>
  <c r="DN62" i="30" s="1"/>
  <c r="DN68" i="30" s="1"/>
  <c r="DO66" i="30"/>
  <c r="DO75" i="30" s="1"/>
  <c r="DM68" i="30"/>
  <c r="DM74" i="30"/>
  <c r="DL71" i="30"/>
  <c r="DL77" i="30" s="1"/>
  <c r="DL76" i="30"/>
  <c r="DP57" i="30"/>
  <c r="DP65" i="30"/>
  <c r="DP80" i="30"/>
  <c r="DO60" i="30"/>
  <c r="DO61" i="30" s="1"/>
  <c r="DQ52" i="30"/>
  <c r="DQ73" i="30" s="1"/>
  <c r="DN74" i="30" l="1"/>
  <c r="DP66" i="30"/>
  <c r="DP75" i="30" s="1"/>
  <c r="DM71" i="30"/>
  <c r="DM77" i="30" s="1"/>
  <c r="DM76" i="30"/>
  <c r="DN71" i="30"/>
  <c r="DN76" i="30"/>
  <c r="DQ57" i="30"/>
  <c r="DQ65" i="30"/>
  <c r="DO62" i="30"/>
  <c r="DQ80" i="30"/>
  <c r="DR52" i="30"/>
  <c r="DR73" i="30" s="1"/>
  <c r="DN77" i="30" l="1"/>
  <c r="DP60" i="30"/>
  <c r="DP61" i="30" s="1"/>
  <c r="DP62" i="30" s="1"/>
  <c r="DQ66" i="30"/>
  <c r="DQ75" i="30" s="1"/>
  <c r="DO68" i="30"/>
  <c r="DO74" i="30"/>
  <c r="DR57" i="30"/>
  <c r="DR65" i="30"/>
  <c r="DR80" i="30"/>
  <c r="DS52" i="30"/>
  <c r="DS73" i="30" s="1"/>
  <c r="DQ60" i="30" l="1"/>
  <c r="DQ61" i="30" s="1"/>
  <c r="DR66" i="30"/>
  <c r="DR75" i="30" s="1"/>
  <c r="DP68" i="30"/>
  <c r="DP74" i="30"/>
  <c r="DO71" i="30"/>
  <c r="DO77" i="30" s="1"/>
  <c r="DO76" i="30"/>
  <c r="DS57" i="30"/>
  <c r="DS65" i="30"/>
  <c r="DQ62" i="30"/>
  <c r="DS80" i="30"/>
  <c r="D14" i="32" s="1"/>
  <c r="G85" i="26"/>
  <c r="DT52" i="30"/>
  <c r="DT73" i="30" s="1"/>
  <c r="DR60" i="30" l="1"/>
  <c r="DR61" i="30" s="1"/>
  <c r="DR62" i="30" s="1"/>
  <c r="E14" i="32"/>
  <c r="DS66" i="30"/>
  <c r="DS75" i="30" s="1"/>
  <c r="DQ68" i="30"/>
  <c r="DQ74" i="30"/>
  <c r="DP71" i="30"/>
  <c r="DP77" i="30" s="1"/>
  <c r="DP76" i="30"/>
  <c r="DT57" i="30"/>
  <c r="DT65" i="30"/>
  <c r="DT80" i="30"/>
  <c r="DU52" i="30"/>
  <c r="DU73" i="30" s="1"/>
  <c r="DS60" i="30" l="1"/>
  <c r="DS61" i="30" s="1"/>
  <c r="DT66" i="30"/>
  <c r="DT75" i="30" s="1"/>
  <c r="DR68" i="30"/>
  <c r="DR74" i="30"/>
  <c r="DQ71" i="30"/>
  <c r="DQ77" i="30" s="1"/>
  <c r="DQ76" i="30"/>
  <c r="DU57" i="30"/>
  <c r="DU65" i="30"/>
  <c r="DS62" i="30"/>
  <c r="DU80" i="30"/>
  <c r="DV52" i="30"/>
  <c r="DV73" i="30" s="1"/>
  <c r="DT60" i="30" l="1"/>
  <c r="DT61" i="30" s="1"/>
  <c r="DU66" i="30"/>
  <c r="DU75" i="30" s="1"/>
  <c r="DS68" i="30"/>
  <c r="DS74" i="30"/>
  <c r="DR71" i="30"/>
  <c r="DR77" i="30" s="1"/>
  <c r="DR76" i="30"/>
  <c r="DV57" i="30"/>
  <c r="DV65" i="30"/>
  <c r="DT62" i="30"/>
  <c r="DV80" i="30"/>
  <c r="DW52" i="30"/>
  <c r="DW73" i="30" s="1"/>
  <c r="DU60" i="30" l="1"/>
  <c r="DU61" i="30" s="1"/>
  <c r="DU62" i="30" s="1"/>
  <c r="DV66" i="30"/>
  <c r="DV75" i="30" s="1"/>
  <c r="DT68" i="30"/>
  <c r="DT74" i="30"/>
  <c r="DS71" i="30"/>
  <c r="DS77" i="30" s="1"/>
  <c r="DS76" i="30"/>
  <c r="DW57" i="30"/>
  <c r="DW65" i="30"/>
  <c r="DW80" i="30"/>
  <c r="DX52" i="30"/>
  <c r="DX73" i="30" s="1"/>
  <c r="DV60" i="30" l="1"/>
  <c r="DV61" i="30" s="1"/>
  <c r="DV62" i="30" s="1"/>
  <c r="DW66" i="30"/>
  <c r="DW75" i="30" s="1"/>
  <c r="DU68" i="30"/>
  <c r="DU74" i="30"/>
  <c r="DT71" i="30"/>
  <c r="DT77" i="30" s="1"/>
  <c r="DT76" i="30"/>
  <c r="DX57" i="30"/>
  <c r="DX65" i="30"/>
  <c r="DX80" i="30"/>
  <c r="DW60" i="30"/>
  <c r="DY52" i="30"/>
  <c r="DY73" i="30" s="1"/>
  <c r="DW61" i="30" l="1"/>
  <c r="DW62" i="30" s="1"/>
  <c r="DX66" i="30"/>
  <c r="DX75" i="30" s="1"/>
  <c r="DV68" i="30"/>
  <c r="DV74" i="30"/>
  <c r="DU71" i="30"/>
  <c r="DU77" i="30" s="1"/>
  <c r="DU76" i="30"/>
  <c r="DY57" i="30"/>
  <c r="DY65" i="30"/>
  <c r="DY80" i="30"/>
  <c r="DZ52" i="30"/>
  <c r="DZ73" i="30" s="1"/>
  <c r="DX60" i="30" l="1"/>
  <c r="DX61" i="30" s="1"/>
  <c r="DY66" i="30"/>
  <c r="DY75" i="30" s="1"/>
  <c r="DW68" i="30"/>
  <c r="DW74" i="30"/>
  <c r="DV71" i="30"/>
  <c r="DV77" i="30" s="1"/>
  <c r="DV76" i="30"/>
  <c r="DZ57" i="30"/>
  <c r="DZ65" i="30"/>
  <c r="DX62" i="30"/>
  <c r="DZ80" i="30"/>
  <c r="EA52" i="30"/>
  <c r="EA73" i="30" s="1"/>
  <c r="DY60" i="30" l="1"/>
  <c r="DY61" i="30" s="1"/>
  <c r="DY62" i="30" s="1"/>
  <c r="DZ66" i="30"/>
  <c r="DZ75" i="30" s="1"/>
  <c r="DX68" i="30"/>
  <c r="DX74" i="30"/>
  <c r="DW71" i="30"/>
  <c r="DW77" i="30" s="1"/>
  <c r="DW76" i="30"/>
  <c r="EA57" i="30"/>
  <c r="EA65" i="30"/>
  <c r="EA80" i="30"/>
  <c r="EB52" i="30"/>
  <c r="EB73" i="30" s="1"/>
  <c r="DZ60" i="30" l="1"/>
  <c r="DZ61" i="30" s="1"/>
  <c r="DZ62" i="30" s="1"/>
  <c r="EA66" i="30"/>
  <c r="EA75" i="30" s="1"/>
  <c r="DY68" i="30"/>
  <c r="DY74" i="30"/>
  <c r="DX71" i="30"/>
  <c r="DX77" i="30" s="1"/>
  <c r="DX76" i="30"/>
  <c r="EB57" i="30"/>
  <c r="EB65" i="30"/>
  <c r="EB80" i="30"/>
  <c r="EC52" i="30"/>
  <c r="EC73" i="30" s="1"/>
  <c r="EA60" i="30" l="1"/>
  <c r="EA61" i="30" s="1"/>
  <c r="EA62" i="30" s="1"/>
  <c r="EB66" i="30"/>
  <c r="DZ68" i="30"/>
  <c r="DZ74" i="30"/>
  <c r="DY71" i="30"/>
  <c r="DY77" i="30" s="1"/>
  <c r="DY76" i="30"/>
  <c r="EC57" i="30"/>
  <c r="EC65" i="30"/>
  <c r="EC80" i="30"/>
  <c r="ED52" i="30"/>
  <c r="ED73" i="30" s="1"/>
  <c r="EB75" i="30" l="1"/>
  <c r="EB60" i="30"/>
  <c r="EB61" i="30" s="1"/>
  <c r="EC66" i="30"/>
  <c r="EA68" i="30"/>
  <c r="EA74" i="30"/>
  <c r="DZ71" i="30"/>
  <c r="DZ77" i="30" s="1"/>
  <c r="DZ76" i="30"/>
  <c r="ED57" i="30"/>
  <c r="ED65" i="30"/>
  <c r="EB62" i="30"/>
  <c r="ED80" i="30"/>
  <c r="EE52" i="30"/>
  <c r="EE73" i="30" s="1"/>
  <c r="EC75" i="30" l="1"/>
  <c r="EC60" i="30"/>
  <c r="EC61" i="30" s="1"/>
  <c r="EC62" i="30" s="1"/>
  <c r="EC68" i="30" s="1"/>
  <c r="ED66" i="30"/>
  <c r="EB68" i="30"/>
  <c r="EB74" i="30"/>
  <c r="EA71" i="30"/>
  <c r="EA77" i="30" s="1"/>
  <c r="EA76" i="30"/>
  <c r="EE57" i="30"/>
  <c r="EE65" i="30"/>
  <c r="EE80" i="30"/>
  <c r="D15" i="32" s="1"/>
  <c r="EF52" i="30"/>
  <c r="EF73" i="30" s="1"/>
  <c r="E15" i="32" l="1"/>
  <c r="EC74" i="30"/>
  <c r="ED75" i="30"/>
  <c r="ED60" i="30"/>
  <c r="ED61" i="30" s="1"/>
  <c r="ED62" i="30" s="1"/>
  <c r="ED74" i="30" s="1"/>
  <c r="EE66" i="30"/>
  <c r="EE75" i="30" s="1"/>
  <c r="EB71" i="30"/>
  <c r="EB77" i="30" s="1"/>
  <c r="EB76" i="30"/>
  <c r="EC71" i="30"/>
  <c r="EC76" i="30"/>
  <c r="EF57" i="30"/>
  <c r="EF65" i="30"/>
  <c r="EF80" i="30"/>
  <c r="EG52" i="30"/>
  <c r="EG73" i="30" s="1"/>
  <c r="EC77" i="30" l="1"/>
  <c r="ED68" i="30"/>
  <c r="ED71" i="30" s="1"/>
  <c r="ED77" i="30" s="1"/>
  <c r="EE60" i="30"/>
  <c r="EE61" i="30" s="1"/>
  <c r="EE62" i="30" s="1"/>
  <c r="EF66" i="30"/>
  <c r="EF75" i="30" s="1"/>
  <c r="EG57" i="30"/>
  <c r="EG65" i="30"/>
  <c r="EG80" i="30"/>
  <c r="EH52" i="30"/>
  <c r="EH73" i="30" s="1"/>
  <c r="ED76" i="30" l="1"/>
  <c r="EF60" i="30"/>
  <c r="EF61" i="30" s="1"/>
  <c r="EF62" i="30" s="1"/>
  <c r="EG66" i="30"/>
  <c r="EG75" i="30" s="1"/>
  <c r="EE68" i="30"/>
  <c r="EE74" i="30"/>
  <c r="EH57" i="30"/>
  <c r="EH65" i="30"/>
  <c r="EH80" i="30"/>
  <c r="EI52" i="30"/>
  <c r="EI73" i="30" s="1"/>
  <c r="EG60" i="30" l="1"/>
  <c r="EG61" i="30" s="1"/>
  <c r="EG62" i="30" s="1"/>
  <c r="EH66" i="30"/>
  <c r="EH75" i="30" s="1"/>
  <c r="EF68" i="30"/>
  <c r="EF74" i="30"/>
  <c r="EE71" i="30"/>
  <c r="EE77" i="30" s="1"/>
  <c r="EE76" i="30"/>
  <c r="EI57" i="30"/>
  <c r="EI65" i="30"/>
  <c r="EH60" i="30"/>
  <c r="EH61" i="30" s="1"/>
  <c r="EI80" i="30"/>
  <c r="EJ52" i="30"/>
  <c r="EJ73" i="30" s="1"/>
  <c r="EI66" i="30" l="1"/>
  <c r="EI75" i="30" s="1"/>
  <c r="EG68" i="30"/>
  <c r="EG74" i="30"/>
  <c r="EF71" i="30"/>
  <c r="EF77" i="30" s="1"/>
  <c r="EF76" i="30"/>
  <c r="EJ57" i="30"/>
  <c r="EJ65" i="30"/>
  <c r="EH62" i="30"/>
  <c r="EJ80" i="30"/>
  <c r="EK52" i="30"/>
  <c r="EK73" i="30" s="1"/>
  <c r="EI60" i="30" l="1"/>
  <c r="EI61" i="30" s="1"/>
  <c r="EJ66" i="30"/>
  <c r="EJ75" i="30" s="1"/>
  <c r="EH68" i="30"/>
  <c r="EH74" i="30"/>
  <c r="EG71" i="30"/>
  <c r="EG77" i="30" s="1"/>
  <c r="EG76" i="30"/>
  <c r="EK57" i="30"/>
  <c r="EK65" i="30"/>
  <c r="EI62" i="30"/>
  <c r="EK80" i="30"/>
  <c r="EL52" i="30"/>
  <c r="EL73" i="30" s="1"/>
  <c r="EK66" i="30" l="1"/>
  <c r="EK75" i="30" s="1"/>
  <c r="EJ60" i="30"/>
  <c r="EJ61" i="30" s="1"/>
  <c r="EJ62" i="30" s="1"/>
  <c r="EI68" i="30"/>
  <c r="EI74" i="30"/>
  <c r="EH71" i="30"/>
  <c r="EH77" i="30" s="1"/>
  <c r="EH76" i="30"/>
  <c r="EL57" i="30"/>
  <c r="EL65" i="30"/>
  <c r="EL80" i="30"/>
  <c r="EM52" i="30"/>
  <c r="EM73" i="30" s="1"/>
  <c r="EK60" i="30" l="1"/>
  <c r="EK61" i="30" s="1"/>
  <c r="EK62" i="30" s="1"/>
  <c r="EL66" i="30"/>
  <c r="EL75" i="30" s="1"/>
  <c r="EJ68" i="30"/>
  <c r="EJ74" i="30"/>
  <c r="EI71" i="30"/>
  <c r="EI77" i="30" s="1"/>
  <c r="EI76" i="30"/>
  <c r="EM57" i="30"/>
  <c r="EM65" i="30"/>
  <c r="EM80" i="30"/>
  <c r="EN52" i="30"/>
  <c r="EN73" i="30" s="1"/>
  <c r="EL60" i="30" l="1"/>
  <c r="EL61" i="30" s="1"/>
  <c r="EL62" i="30" s="1"/>
  <c r="EM66" i="30"/>
  <c r="EM75" i="30" s="1"/>
  <c r="EK68" i="30"/>
  <c r="EK74" i="30"/>
  <c r="EJ71" i="30"/>
  <c r="EJ77" i="30" s="1"/>
  <c r="EJ76" i="30"/>
  <c r="EN57" i="30"/>
  <c r="EN65" i="30"/>
  <c r="EM60" i="30"/>
  <c r="EM61" i="30" s="1"/>
  <c r="EN80" i="30"/>
  <c r="EO52" i="30"/>
  <c r="EO73" i="30" s="1"/>
  <c r="EN66" i="30" l="1"/>
  <c r="EN75" i="30" s="1"/>
  <c r="EL68" i="30"/>
  <c r="EL74" i="30"/>
  <c r="EK71" i="30"/>
  <c r="EK77" i="30" s="1"/>
  <c r="EK76" i="30"/>
  <c r="EO57" i="30"/>
  <c r="EO65" i="30"/>
  <c r="EM62" i="30"/>
  <c r="EO80" i="30"/>
  <c r="EP52" i="30"/>
  <c r="EP73" i="30" s="1"/>
  <c r="EN60" i="30" l="1"/>
  <c r="EN61" i="30" s="1"/>
  <c r="EN62" i="30" s="1"/>
  <c r="EO66" i="30"/>
  <c r="EO75" i="30" s="1"/>
  <c r="EM68" i="30"/>
  <c r="EM74" i="30"/>
  <c r="EL71" i="30"/>
  <c r="EL77" i="30" s="1"/>
  <c r="EL76" i="30"/>
  <c r="EP57" i="30"/>
  <c r="EP65" i="30"/>
  <c r="EP80" i="30"/>
  <c r="EQ52" i="30"/>
  <c r="EQ73" i="30" s="1"/>
  <c r="EO60" i="30" l="1"/>
  <c r="EO61" i="30" s="1"/>
  <c r="EO62" i="30" s="1"/>
  <c r="EP66" i="30"/>
  <c r="EP75" i="30" s="1"/>
  <c r="EN68" i="30"/>
  <c r="EN74" i="30"/>
  <c r="EM71" i="30"/>
  <c r="EM77" i="30" s="1"/>
  <c r="EM76" i="30"/>
  <c r="EQ57" i="30"/>
  <c r="EQ65" i="30"/>
  <c r="EQ80" i="30"/>
  <c r="D16" i="32" s="1"/>
  <c r="ER52" i="30"/>
  <c r="ER73" i="30" s="1"/>
  <c r="EP60" i="30" l="1"/>
  <c r="EP61" i="30" s="1"/>
  <c r="EP62" i="30" s="1"/>
  <c r="E16" i="32"/>
  <c r="EQ66" i="30"/>
  <c r="EO68" i="30"/>
  <c r="EO74" i="30"/>
  <c r="EN71" i="30"/>
  <c r="EN77" i="30" s="1"/>
  <c r="EN76" i="30"/>
  <c r="ER57" i="30"/>
  <c r="ER65" i="30"/>
  <c r="ER80" i="30"/>
  <c r="ES52" i="30"/>
  <c r="ES73" i="30" s="1"/>
  <c r="EQ75" i="30" l="1"/>
  <c r="EQ60" i="30"/>
  <c r="EQ61" i="30" s="1"/>
  <c r="EQ62" i="30" s="1"/>
  <c r="EQ74" i="30" s="1"/>
  <c r="ER66" i="30"/>
  <c r="ER75" i="30" s="1"/>
  <c r="EP68" i="30"/>
  <c r="EP74" i="30"/>
  <c r="EO71" i="30"/>
  <c r="EO77" i="30" s="1"/>
  <c r="EO76" i="30"/>
  <c r="ES57" i="30"/>
  <c r="ES65" i="30"/>
  <c r="ES66" i="30" s="1"/>
  <c r="ES75" i="30" s="1"/>
  <c r="ES80" i="30"/>
  <c r="ER60" i="30"/>
  <c r="ER61" i="30" s="1"/>
  <c r="ET52" i="30"/>
  <c r="ET73" i="30" s="1"/>
  <c r="EQ68" i="30" l="1"/>
  <c r="EQ71" i="30" s="1"/>
  <c r="EP71" i="30"/>
  <c r="EP77" i="30" s="1"/>
  <c r="EP76" i="30"/>
  <c r="ET57" i="30"/>
  <c r="ET65" i="30"/>
  <c r="ER62" i="30"/>
  <c r="ET80" i="30"/>
  <c r="ES60" i="30"/>
  <c r="ES61" i="30" s="1"/>
  <c r="EU52" i="30"/>
  <c r="EU73" i="30" s="1"/>
  <c r="EQ76" i="30" l="1"/>
  <c r="ET66" i="30"/>
  <c r="ET75" i="30" s="1"/>
  <c r="EQ77" i="30"/>
  <c r="ER68" i="30"/>
  <c r="ER74" i="30"/>
  <c r="EU57" i="30"/>
  <c r="EU65" i="30"/>
  <c r="ES62" i="30"/>
  <c r="EU80" i="30"/>
  <c r="ET60" i="30"/>
  <c r="ET61" i="30" s="1"/>
  <c r="EV52" i="30"/>
  <c r="EV73" i="30" s="1"/>
  <c r="EU66" i="30" l="1"/>
  <c r="EU75" i="30" s="1"/>
  <c r="ES68" i="30"/>
  <c r="ES74" i="30"/>
  <c r="ER71" i="30"/>
  <c r="ER77" i="30" s="1"/>
  <c r="ER76" i="30"/>
  <c r="EV57" i="30"/>
  <c r="EV65" i="30"/>
  <c r="ET62" i="30"/>
  <c r="EV80" i="30"/>
  <c r="EW52" i="30"/>
  <c r="EW73" i="30" s="1"/>
  <c r="EU60" i="30" l="1"/>
  <c r="EU61" i="30" s="1"/>
  <c r="EV66" i="30"/>
  <c r="EV75" i="30" s="1"/>
  <c r="ET68" i="30"/>
  <c r="ET74" i="30"/>
  <c r="ES71" i="30"/>
  <c r="ES77" i="30" s="1"/>
  <c r="ES76" i="30"/>
  <c r="EW57" i="30"/>
  <c r="EW65" i="30"/>
  <c r="EU62" i="30"/>
  <c r="EV60" i="30"/>
  <c r="EV61" i="30" s="1"/>
  <c r="EW80" i="30"/>
  <c r="EX52" i="30"/>
  <c r="EX73" i="30" s="1"/>
  <c r="EW66" i="30" l="1"/>
  <c r="EW75" i="30" s="1"/>
  <c r="EU68" i="30"/>
  <c r="EU74" i="30"/>
  <c r="ET71" i="30"/>
  <c r="ET77" i="30" s="1"/>
  <c r="ET76" i="30"/>
  <c r="EX57" i="30"/>
  <c r="EX65" i="30"/>
  <c r="EV62" i="30"/>
  <c r="EW60" i="30"/>
  <c r="EW61" i="30" s="1"/>
  <c r="EX80" i="30"/>
  <c r="EY52" i="30"/>
  <c r="EY73" i="30" s="1"/>
  <c r="EX66" i="30" l="1"/>
  <c r="EX75" i="30" s="1"/>
  <c r="EV68" i="30"/>
  <c r="EV74" i="30"/>
  <c r="EU71" i="30"/>
  <c r="EU77" i="30" s="1"/>
  <c r="EU76" i="30"/>
  <c r="EY57" i="30"/>
  <c r="EY65" i="30"/>
  <c r="EW62" i="30"/>
  <c r="EX60" i="30"/>
  <c r="EX61" i="30" s="1"/>
  <c r="EY80" i="30"/>
  <c r="EZ52" i="30"/>
  <c r="EZ73" i="30" s="1"/>
  <c r="EY66" i="30" l="1"/>
  <c r="EY75" i="30" s="1"/>
  <c r="EW68" i="30"/>
  <c r="EW74" i="30"/>
  <c r="EV71" i="30"/>
  <c r="EV77" i="30" s="1"/>
  <c r="EV76" i="30"/>
  <c r="EZ57" i="30"/>
  <c r="EZ65" i="30"/>
  <c r="EX62" i="30"/>
  <c r="EY60" i="30"/>
  <c r="EY61" i="30" s="1"/>
  <c r="EZ80" i="30"/>
  <c r="FA52" i="30"/>
  <c r="FA73" i="30" s="1"/>
  <c r="EZ66" i="30" l="1"/>
  <c r="EZ75" i="30" s="1"/>
  <c r="EX68" i="30"/>
  <c r="EX74" i="30"/>
  <c r="EW71" i="30"/>
  <c r="EW77" i="30" s="1"/>
  <c r="EW76" i="30"/>
  <c r="FA57" i="30"/>
  <c r="FA65" i="30"/>
  <c r="EY62" i="30"/>
  <c r="FA80" i="30"/>
  <c r="FB52" i="30"/>
  <c r="FB73" i="30" s="1"/>
  <c r="EZ60" i="30" l="1"/>
  <c r="EZ61" i="30" s="1"/>
  <c r="FA66" i="30"/>
  <c r="FA75" i="30" s="1"/>
  <c r="EY68" i="30"/>
  <c r="EY74" i="30"/>
  <c r="EX71" i="30"/>
  <c r="EX77" i="30" s="1"/>
  <c r="EX76" i="30"/>
  <c r="FB57" i="30"/>
  <c r="FB65" i="30"/>
  <c r="EZ62" i="30"/>
  <c r="FA60" i="30"/>
  <c r="FA61" i="30" s="1"/>
  <c r="FB80" i="30"/>
  <c r="FC52" i="30"/>
  <c r="FC73" i="30" s="1"/>
  <c r="FB66" i="30" l="1"/>
  <c r="EZ68" i="30"/>
  <c r="EZ74" i="30"/>
  <c r="EY71" i="30"/>
  <c r="EY77" i="30" s="1"/>
  <c r="EY76" i="30"/>
  <c r="FC57" i="30"/>
  <c r="FC65" i="30"/>
  <c r="FA62" i="30"/>
  <c r="FC80" i="30"/>
  <c r="D17" i="32" s="1"/>
  <c r="FD52" i="30"/>
  <c r="FD73" i="30" s="1"/>
  <c r="E17" i="32" l="1"/>
  <c r="FB75" i="30"/>
  <c r="FB60" i="30"/>
  <c r="FB61" i="30" s="1"/>
  <c r="FB62" i="30" s="1"/>
  <c r="FB68" i="30" s="1"/>
  <c r="FC66" i="30"/>
  <c r="FA68" i="30"/>
  <c r="FA74" i="30"/>
  <c r="EZ71" i="30"/>
  <c r="EZ77" i="30" s="1"/>
  <c r="EZ76" i="30"/>
  <c r="FD57" i="30"/>
  <c r="FD65" i="30"/>
  <c r="FD80" i="30"/>
  <c r="FE52" i="30"/>
  <c r="FE73" i="30" s="1"/>
  <c r="FB74" i="30" l="1"/>
  <c r="FC75" i="30"/>
  <c r="FC60" i="30"/>
  <c r="FC61" i="30" s="1"/>
  <c r="FC62" i="30" s="1"/>
  <c r="FC74" i="30" s="1"/>
  <c r="FD66" i="30"/>
  <c r="FD75" i="30" s="1"/>
  <c r="FA71" i="30"/>
  <c r="FA77" i="30" s="1"/>
  <c r="FA76" i="30"/>
  <c r="FB71" i="30"/>
  <c r="FB76" i="30"/>
  <c r="FE57" i="30"/>
  <c r="FE65" i="30"/>
  <c r="FE80" i="30"/>
  <c r="FF52" i="30"/>
  <c r="FF73" i="30" s="1"/>
  <c r="FD60" i="30" l="1"/>
  <c r="FD61" i="30" s="1"/>
  <c r="FD62" i="30" s="1"/>
  <c r="FC68" i="30"/>
  <c r="FC71" i="30" s="1"/>
  <c r="FC77" i="30" s="1"/>
  <c r="FE66" i="30"/>
  <c r="FE75" i="30" s="1"/>
  <c r="FB77" i="30"/>
  <c r="FF57" i="30"/>
  <c r="FF65" i="30"/>
  <c r="FE60" i="30"/>
  <c r="FF80" i="30"/>
  <c r="FG52" i="30"/>
  <c r="FG73" i="30" s="1"/>
  <c r="FE61" i="30" l="1"/>
  <c r="FE62" i="30" s="1"/>
  <c r="FC76" i="30"/>
  <c r="FF66" i="30"/>
  <c r="FF75" i="30" s="1"/>
  <c r="FD68" i="30"/>
  <c r="FD74" i="30"/>
  <c r="FG57" i="30"/>
  <c r="FG65" i="30"/>
  <c r="FG80" i="30"/>
  <c r="FH52" i="30"/>
  <c r="FH73" i="30" s="1"/>
  <c r="FF60" i="30" l="1"/>
  <c r="FF61" i="30" s="1"/>
  <c r="FG66" i="30"/>
  <c r="FG75" i="30" s="1"/>
  <c r="FE68" i="30"/>
  <c r="FE74" i="30"/>
  <c r="FD71" i="30"/>
  <c r="FD77" i="30" s="1"/>
  <c r="FD76" i="30"/>
  <c r="FH57" i="30"/>
  <c r="FH65" i="30"/>
  <c r="FF62" i="30"/>
  <c r="FG60" i="30"/>
  <c r="FG61" i="30" s="1"/>
  <c r="FH80" i="30"/>
  <c r="FI52" i="30"/>
  <c r="FI73" i="30" s="1"/>
  <c r="FH66" i="30" l="1"/>
  <c r="FH75" i="30" s="1"/>
  <c r="FF68" i="30"/>
  <c r="FF74" i="30"/>
  <c r="FE71" i="30"/>
  <c r="FE77" i="30" s="1"/>
  <c r="FE76" i="30"/>
  <c r="FI57" i="30"/>
  <c r="FI65" i="30"/>
  <c r="FG62" i="30"/>
  <c r="FH60" i="30"/>
  <c r="FH61" i="30" s="1"/>
  <c r="FI80" i="30"/>
  <c r="FJ52" i="30"/>
  <c r="FJ73" i="30" s="1"/>
  <c r="FI66" i="30" l="1"/>
  <c r="FI75" i="30" s="1"/>
  <c r="FG68" i="30"/>
  <c r="FG74" i="30"/>
  <c r="FF71" i="30"/>
  <c r="FF77" i="30" s="1"/>
  <c r="FF76" i="30"/>
  <c r="FJ57" i="30"/>
  <c r="FJ65" i="30"/>
  <c r="FH62" i="30"/>
  <c r="FI60" i="30"/>
  <c r="FI61" i="30" s="1"/>
  <c r="FJ80" i="30"/>
  <c r="FK52" i="30"/>
  <c r="FK73" i="30" s="1"/>
  <c r="FJ66" i="30" l="1"/>
  <c r="FJ75" i="30" s="1"/>
  <c r="FH68" i="30"/>
  <c r="FH74" i="30"/>
  <c r="FG71" i="30"/>
  <c r="FG77" i="30" s="1"/>
  <c r="FG76" i="30"/>
  <c r="FK57" i="30"/>
  <c r="FK65" i="30"/>
  <c r="FI62" i="30"/>
  <c r="FJ60" i="30"/>
  <c r="FJ61" i="30" s="1"/>
  <c r="FK80" i="30"/>
  <c r="FL52" i="30"/>
  <c r="FL73" i="30" s="1"/>
  <c r="FK66" i="30" l="1"/>
  <c r="FK75" i="30" s="1"/>
  <c r="FI68" i="30"/>
  <c r="FI74" i="30"/>
  <c r="FH71" i="30"/>
  <c r="FH77" i="30" s="1"/>
  <c r="FH76" i="30"/>
  <c r="FL57" i="30"/>
  <c r="FL65" i="30"/>
  <c r="FJ62" i="30"/>
  <c r="FK60" i="30"/>
  <c r="FK61" i="30" s="1"/>
  <c r="FL80" i="30"/>
  <c r="FM52" i="30"/>
  <c r="FM73" i="30" s="1"/>
  <c r="FL66" i="30" l="1"/>
  <c r="FL75" i="30" s="1"/>
  <c r="FJ68" i="30"/>
  <c r="FJ74" i="30"/>
  <c r="FI71" i="30"/>
  <c r="FI77" i="30" s="1"/>
  <c r="FI76" i="30"/>
  <c r="FM57" i="30"/>
  <c r="FM65" i="30"/>
  <c r="FK62" i="30"/>
  <c r="FL60" i="30"/>
  <c r="FL61" i="30" s="1"/>
  <c r="FM80" i="30"/>
  <c r="FN52" i="30"/>
  <c r="FN73" i="30" s="1"/>
  <c r="FM66" i="30" l="1"/>
  <c r="FM75" i="30" s="1"/>
  <c r="FK68" i="30"/>
  <c r="FK74" i="30"/>
  <c r="FJ71" i="30"/>
  <c r="FJ77" i="30" s="1"/>
  <c r="FJ76" i="30"/>
  <c r="FN57" i="30"/>
  <c r="FN65" i="30"/>
  <c r="FL62" i="30"/>
  <c r="FM60" i="30"/>
  <c r="FM61" i="30" s="1"/>
  <c r="FN80" i="30"/>
  <c r="FO52" i="30"/>
  <c r="FO73" i="30" s="1"/>
  <c r="FN66" i="30" l="1"/>
  <c r="FN75" i="30" s="1"/>
  <c r="FL68" i="30"/>
  <c r="FL74" i="30"/>
  <c r="FK71" i="30"/>
  <c r="FK77" i="30" s="1"/>
  <c r="FK76" i="30"/>
  <c r="FO57" i="30"/>
  <c r="FO65" i="30"/>
  <c r="FM62" i="30"/>
  <c r="FN60" i="30"/>
  <c r="FN61" i="30" s="1"/>
  <c r="FO80" i="30"/>
  <c r="D18" i="32" s="1"/>
  <c r="FP52" i="30"/>
  <c r="FP73" i="30" s="1"/>
  <c r="E18" i="32" l="1"/>
  <c r="FO66" i="30"/>
  <c r="FM68" i="30"/>
  <c r="FM74" i="30"/>
  <c r="FL71" i="30"/>
  <c r="FL77" i="30" s="1"/>
  <c r="FL76" i="30"/>
  <c r="FP57" i="30"/>
  <c r="FP65" i="30"/>
  <c r="FN62" i="30"/>
  <c r="FP80" i="30"/>
  <c r="FQ52" i="30"/>
  <c r="FQ73" i="30" s="1"/>
  <c r="FO75" i="30" l="1"/>
  <c r="FO60" i="30"/>
  <c r="FO61" i="30" s="1"/>
  <c r="FO62" i="30" s="1"/>
  <c r="FO74" i="30" s="1"/>
  <c r="FP66" i="30"/>
  <c r="FP75" i="30" s="1"/>
  <c r="FN68" i="30"/>
  <c r="FN74" i="30"/>
  <c r="FO68" i="30"/>
  <c r="FM71" i="30"/>
  <c r="FM77" i="30" s="1"/>
  <c r="FM76" i="30"/>
  <c r="FQ57" i="30"/>
  <c r="FQ65" i="30"/>
  <c r="FP60" i="30"/>
  <c r="FQ80" i="30"/>
  <c r="FR52" i="30"/>
  <c r="FR73" i="30" s="1"/>
  <c r="FP61" i="30" l="1"/>
  <c r="FP62" i="30" s="1"/>
  <c r="FQ66" i="30"/>
  <c r="FQ75" i="30" s="1"/>
  <c r="FO71" i="30"/>
  <c r="FO76" i="30"/>
  <c r="FN71" i="30"/>
  <c r="FN77" i="30" s="1"/>
  <c r="FN76" i="30"/>
  <c r="FR57" i="30"/>
  <c r="FR65" i="30"/>
  <c r="FQ60" i="30"/>
  <c r="FQ61" i="30" s="1"/>
  <c r="FR80" i="30"/>
  <c r="FS52" i="30"/>
  <c r="FS73" i="30" s="1"/>
  <c r="FR66" i="30" l="1"/>
  <c r="FR75" i="30" s="1"/>
  <c r="FP68" i="30"/>
  <c r="FP74" i="30"/>
  <c r="FO77" i="30"/>
  <c r="FS57" i="30"/>
  <c r="FS65" i="30"/>
  <c r="FQ62" i="30"/>
  <c r="FS80" i="30"/>
  <c r="FT52" i="30"/>
  <c r="FT73" i="30" s="1"/>
  <c r="FS66" i="30" l="1"/>
  <c r="FQ68" i="30"/>
  <c r="FQ74" i="30"/>
  <c r="FP71" i="30"/>
  <c r="FP77" i="30" s="1"/>
  <c r="FP76" i="30"/>
  <c r="FT57" i="30"/>
  <c r="FT65" i="30"/>
  <c r="FR60" i="30"/>
  <c r="FT80" i="30"/>
  <c r="FU52" i="30"/>
  <c r="FU73" i="30" s="1"/>
  <c r="FS60" i="30" l="1"/>
  <c r="FS75" i="30"/>
  <c r="FT66" i="30"/>
  <c r="FQ71" i="30"/>
  <c r="FQ77" i="30" s="1"/>
  <c r="FQ76" i="30"/>
  <c r="FU57" i="30"/>
  <c r="FU65" i="30"/>
  <c r="FU66" i="30" s="1"/>
  <c r="FR61" i="30"/>
  <c r="FS61" i="30"/>
  <c r="FU80" i="30"/>
  <c r="FV52" i="30"/>
  <c r="FV73" i="30" s="1"/>
  <c r="FU75" i="30" l="1"/>
  <c r="FU60" i="30"/>
  <c r="FT60" i="30"/>
  <c r="FT75" i="30"/>
  <c r="FV57" i="30"/>
  <c r="FV65" i="30"/>
  <c r="FS62" i="30"/>
  <c r="FR62" i="30"/>
  <c r="FV80" i="30"/>
  <c r="FW52" i="30"/>
  <c r="FW73" i="30" s="1"/>
  <c r="FU61" i="30" l="1"/>
  <c r="FT61" i="30"/>
  <c r="FT62" i="30" s="1"/>
  <c r="FT68" i="30" s="1"/>
  <c r="FT71" i="30" s="1"/>
  <c r="FV66" i="30"/>
  <c r="FR68" i="30"/>
  <c r="FR74" i="30"/>
  <c r="FS68" i="30"/>
  <c r="FS74" i="30"/>
  <c r="FW57" i="30"/>
  <c r="FW65" i="30"/>
  <c r="FW66" i="30" s="1"/>
  <c r="FW80" i="30"/>
  <c r="FX52" i="30"/>
  <c r="FX73" i="30" s="1"/>
  <c r="FT74" i="30" l="1"/>
  <c r="FW75" i="30"/>
  <c r="FW60" i="30"/>
  <c r="FU62" i="30"/>
  <c r="FU68" i="30" s="1"/>
  <c r="FU71" i="30" s="1"/>
  <c r="FV60" i="30"/>
  <c r="FV61" i="30" s="1"/>
  <c r="FV62" i="30" s="1"/>
  <c r="FV68" i="30" s="1"/>
  <c r="FV75" i="30"/>
  <c r="FS71" i="30"/>
  <c r="FS76" i="30"/>
  <c r="FT76" i="30"/>
  <c r="FR71" i="30"/>
  <c r="FR77" i="30" s="1"/>
  <c r="FR76" i="30"/>
  <c r="FX57" i="30"/>
  <c r="FX65" i="30"/>
  <c r="FX80" i="30"/>
  <c r="FY52" i="30"/>
  <c r="FY73" i="30" s="1"/>
  <c r="FU76" i="30" l="1"/>
  <c r="FU74" i="30"/>
  <c r="FV71" i="30"/>
  <c r="FV77" i="30" s="1"/>
  <c r="FV76" i="30"/>
  <c r="FV74" i="30"/>
  <c r="FX66" i="30"/>
  <c r="FW61" i="30"/>
  <c r="FW62" i="30" s="1"/>
  <c r="FU77" i="30"/>
  <c r="FT77" i="30"/>
  <c r="FS77" i="30"/>
  <c r="FY57" i="30"/>
  <c r="FY65" i="30"/>
  <c r="FY80" i="30"/>
  <c r="FZ52" i="30"/>
  <c r="FZ73" i="30" s="1"/>
  <c r="FW68" i="30" l="1"/>
  <c r="FW74" i="30"/>
  <c r="FX75" i="30"/>
  <c r="FX60" i="30"/>
  <c r="FX61" i="30" s="1"/>
  <c r="FY66" i="30"/>
  <c r="FZ57" i="30"/>
  <c r="FZ65" i="30"/>
  <c r="FZ80" i="30"/>
  <c r="GA52" i="30"/>
  <c r="GA73" i="30" s="1"/>
  <c r="FX62" i="30" l="1"/>
  <c r="FY60" i="30"/>
  <c r="FY61" i="30" s="1"/>
  <c r="FY62" i="30" s="1"/>
  <c r="FY68" i="30" s="1"/>
  <c r="FY71" i="30" s="1"/>
  <c r="FY75" i="30"/>
  <c r="FZ66" i="30"/>
  <c r="FW76" i="30"/>
  <c r="FW71" i="30"/>
  <c r="FW77" i="30" s="1"/>
  <c r="GA57" i="30"/>
  <c r="GA65" i="30"/>
  <c r="GA66" i="30" s="1"/>
  <c r="GA80" i="30"/>
  <c r="D19" i="32" s="1"/>
  <c r="E137" i="26" l="1"/>
  <c r="R19" i="32"/>
  <c r="R21" i="32" s="1"/>
  <c r="E137" i="25"/>
  <c r="E138" i="25" s="1"/>
  <c r="E19" i="32"/>
  <c r="GA75" i="30"/>
  <c r="C75" i="30" s="1"/>
  <c r="GA60" i="30"/>
  <c r="FZ60" i="30"/>
  <c r="FZ61" i="30" s="1"/>
  <c r="FZ62" i="30" s="1"/>
  <c r="FZ68" i="30" s="1"/>
  <c r="FZ75" i="30"/>
  <c r="FX68" i="30"/>
  <c r="FY74" i="30"/>
  <c r="FX74" i="30"/>
  <c r="C73" i="30"/>
  <c r="E138" i="26"/>
  <c r="BO81" i="30"/>
  <c r="BW81" i="30"/>
  <c r="CE81" i="30"/>
  <c r="CM81" i="30"/>
  <c r="CU81" i="30"/>
  <c r="DC81" i="30"/>
  <c r="DK81" i="30"/>
  <c r="DS81" i="30"/>
  <c r="EA81" i="30"/>
  <c r="EI81" i="30"/>
  <c r="EQ81" i="30"/>
  <c r="EY81" i="30"/>
  <c r="FG81" i="30"/>
  <c r="FO81" i="30"/>
  <c r="FW81" i="30"/>
  <c r="FB81" i="30"/>
  <c r="BL81" i="30"/>
  <c r="BT81" i="30"/>
  <c r="CB81" i="30"/>
  <c r="CJ81" i="30"/>
  <c r="CR81" i="30"/>
  <c r="CZ81" i="30"/>
  <c r="DH81" i="30"/>
  <c r="DP81" i="30"/>
  <c r="DX81" i="30"/>
  <c r="EF81" i="30"/>
  <c r="EN81" i="30"/>
  <c r="EV81" i="30"/>
  <c r="FD81" i="30"/>
  <c r="FL81" i="30"/>
  <c r="FT81" i="30"/>
  <c r="FY81" i="30"/>
  <c r="FZ81" i="30"/>
  <c r="BQ81" i="30"/>
  <c r="BY81" i="30"/>
  <c r="CG81" i="30"/>
  <c r="CO81" i="30"/>
  <c r="CW81" i="30"/>
  <c r="DE81" i="30"/>
  <c r="DM81" i="30"/>
  <c r="DU81" i="30"/>
  <c r="EC81" i="30"/>
  <c r="EK81" i="30"/>
  <c r="ES81" i="30"/>
  <c r="FA81" i="30"/>
  <c r="FI81" i="30"/>
  <c r="FQ81" i="30"/>
  <c r="FF81" i="30"/>
  <c r="BN81" i="30"/>
  <c r="BV81" i="30"/>
  <c r="CD81" i="30"/>
  <c r="CL81" i="30"/>
  <c r="CT81" i="30"/>
  <c r="DB81" i="30"/>
  <c r="DJ81" i="30"/>
  <c r="CA81" i="30"/>
  <c r="DG81" i="30"/>
  <c r="EM81" i="30"/>
  <c r="FS81" i="30"/>
  <c r="BX81" i="30"/>
  <c r="DD81" i="30"/>
  <c r="EJ81" i="30"/>
  <c r="FP81" i="30"/>
  <c r="BU81" i="30"/>
  <c r="DA81" i="30"/>
  <c r="EG81" i="30"/>
  <c r="FM81" i="30"/>
  <c r="BZ81" i="30"/>
  <c r="BS81" i="30"/>
  <c r="CY81" i="30"/>
  <c r="EE81" i="30"/>
  <c r="FK81" i="30"/>
  <c r="BP81" i="30"/>
  <c r="CV81" i="30"/>
  <c r="EB81" i="30"/>
  <c r="FH81" i="30"/>
  <c r="BM81" i="30"/>
  <c r="CS81" i="30"/>
  <c r="DY81" i="30"/>
  <c r="FE81" i="30"/>
  <c r="BR81" i="30"/>
  <c r="CX81" i="30"/>
  <c r="DR81" i="30"/>
  <c r="DZ81" i="30"/>
  <c r="EH81" i="30"/>
  <c r="EP81" i="30"/>
  <c r="EX81" i="30"/>
  <c r="CQ81" i="30"/>
  <c r="DW81" i="30"/>
  <c r="FC81" i="30"/>
  <c r="FR81" i="30"/>
  <c r="CN81" i="30"/>
  <c r="DT81" i="30"/>
  <c r="EZ81" i="30"/>
  <c r="FJ81" i="30"/>
  <c r="CK81" i="30"/>
  <c r="DQ81" i="30"/>
  <c r="EW81" i="30"/>
  <c r="FV81" i="30"/>
  <c r="CP81" i="30"/>
  <c r="FN81" i="30"/>
  <c r="CI81" i="30"/>
  <c r="DO81" i="30"/>
  <c r="EU81" i="30"/>
  <c r="GA81" i="30"/>
  <c r="CF81" i="30"/>
  <c r="DL81" i="30"/>
  <c r="ER81" i="30"/>
  <c r="FX81" i="30"/>
  <c r="CC81" i="30"/>
  <c r="DI81" i="30"/>
  <c r="EO81" i="30"/>
  <c r="FU81" i="30"/>
  <c r="CH81" i="30"/>
  <c r="DN81" i="30"/>
  <c r="DV81" i="30"/>
  <c r="ED81" i="30"/>
  <c r="EL81" i="30"/>
  <c r="ET81" i="30"/>
  <c r="DF81" i="30"/>
  <c r="T19" i="32" l="1"/>
  <c r="T21" i="32" s="1"/>
  <c r="GA61" i="30"/>
  <c r="GA62" i="30" s="1"/>
  <c r="GA68" i="30" s="1"/>
  <c r="FZ74" i="30"/>
  <c r="FX76" i="30"/>
  <c r="FX71" i="30"/>
  <c r="FY76" i="30"/>
  <c r="FZ71" i="30"/>
  <c r="FZ76" i="30"/>
  <c r="U19" i="32"/>
  <c r="FZ77" i="30" l="1"/>
  <c r="GA71" i="30"/>
  <c r="GA77" i="30" s="1"/>
  <c r="C77" i="30" s="1"/>
  <c r="GA76" i="30"/>
  <c r="C76" i="30" s="1"/>
  <c r="GA74" i="30"/>
  <c r="C74" i="30" s="1"/>
  <c r="FX77" i="30"/>
  <c r="FY77" i="30"/>
  <c r="U21" i="32"/>
  <c r="V19" i="32"/>
  <c r="V21" i="32" s="1"/>
  <c r="AS10" i="32"/>
  <c r="AT10" i="32" s="1"/>
  <c r="AV10" i="32" s="1"/>
  <c r="AJ11" i="32"/>
  <c r="AI11" i="32" s="1"/>
  <c r="AU10" i="32" l="1"/>
  <c r="AW10" i="32" s="1"/>
  <c r="AS11" i="32"/>
  <c r="AT11" i="32" s="1"/>
  <c r="AY10" i="32" l="1"/>
  <c r="AZ10" i="32" s="1"/>
  <c r="AJ12" i="32"/>
  <c r="AI12" i="32" s="1"/>
  <c r="AU11" i="32"/>
  <c r="AV11" i="32"/>
  <c r="AW11" i="32" l="1"/>
  <c r="AY11" i="32" s="1"/>
  <c r="AZ11" i="32" s="1"/>
  <c r="AJ13" i="32"/>
  <c r="AS13" i="32" s="1"/>
  <c r="AT13" i="32" s="1"/>
  <c r="AS12" i="32"/>
  <c r="AT12" i="32" s="1"/>
  <c r="AI13" i="32" l="1"/>
  <c r="AJ14" i="32" s="1"/>
  <c r="AV12" i="32"/>
  <c r="AU12" i="32"/>
  <c r="AU13" i="32"/>
  <c r="AV13" i="32"/>
  <c r="AW12" i="32" l="1"/>
  <c r="AY12" i="32" s="1"/>
  <c r="AZ12" i="32" s="1"/>
  <c r="AI14" i="32"/>
  <c r="AJ15" i="32" s="1"/>
  <c r="AS15" i="32" s="1"/>
  <c r="AT15" i="32" s="1"/>
  <c r="AW13" i="32"/>
  <c r="AY13" i="32" s="1"/>
  <c r="AZ13" i="32" s="1"/>
  <c r="AS14" i="32"/>
  <c r="AT14" i="32" s="1"/>
  <c r="AI15" i="32" l="1"/>
  <c r="AI19" i="32" s="1"/>
  <c r="AZ17" i="32" s="1"/>
  <c r="AJ19" i="32"/>
  <c r="AV14" i="32"/>
  <c r="AU14" i="32"/>
  <c r="AU15" i="32"/>
  <c r="AV15" i="32"/>
  <c r="AW14" i="32" l="1"/>
  <c r="AY14" i="32" s="1"/>
  <c r="AZ14" i="32" s="1"/>
  <c r="AW15" i="32"/>
  <c r="AY15" i="32" l="1"/>
  <c r="AZ15" i="32" s="1"/>
  <c r="AZ19" i="32" s="1"/>
  <c r="AW19" i="32"/>
</calcChain>
</file>

<file path=xl/comments1.xml><?xml version="1.0" encoding="utf-8"?>
<comments xmlns="http://schemas.openxmlformats.org/spreadsheetml/2006/main">
  <authors>
    <author>Ben Rogers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6.4794641% historical calculated for DAC, Region Central over period 200704 - 201704.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minimum:
Outside DFE &gt; 1600
Inside DFE &gt; 1450</t>
        </r>
      </text>
    </comment>
  </commentList>
</comments>
</file>

<file path=xl/comments2.xml><?xml version="1.0" encoding="utf-8"?>
<comments xmlns="http://schemas.openxmlformats.org/spreadsheetml/2006/main">
  <authors>
    <author>Ben</author>
    <author>Ben Rogers</author>
  </authors>
  <commentList>
    <comment ref="I5" authorId="0" shapeId="0">
      <text>
        <r>
          <rPr>
            <sz val="9"/>
            <color indexed="81"/>
            <rFont val="Tahoma"/>
            <family val="2"/>
          </rPr>
          <t>&lt; 3 kWp(DC): use Micro-Inverter
&gt; 3 KWp(DC): use Central Inverter and, for installations with significant shading, an Optimizer</t>
        </r>
      </text>
    </comment>
    <comment ref="I7" authorId="1" shapeId="0">
      <text>
        <r>
          <rPr>
            <sz val="9"/>
            <color indexed="81"/>
            <rFont val="Tahoma"/>
            <family val="2"/>
          </rPr>
          <t>required only with Micro-Inverters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Comes standard on all systems, no input required.</t>
        </r>
      </text>
    </comment>
    <comment ref="B20" authorId="1" shapeId="0">
      <text>
        <r>
          <rPr>
            <sz val="9"/>
            <color indexed="81"/>
            <rFont val="Tahoma"/>
            <family val="2"/>
          </rPr>
          <t>For regions where rates have significant seasonal differences (e.g. Baja), use a Promedio.</t>
        </r>
      </text>
    </comment>
    <comment ref="A34" authorId="1" shapeId="0">
      <text>
        <r>
          <rPr>
            <sz val="9"/>
            <color indexed="81"/>
            <rFont val="Tahoma"/>
            <family val="2"/>
          </rPr>
          <t>Required input to compute annual usage.  
If data is unavailable for some months, leave blank; do not enter "0".
If history is insufficient or customer expects usage to change, enter expected monthly usage in a single cell and annual usage will be computed as 12 times that value.</t>
        </r>
      </text>
    </comment>
  </commentList>
</comments>
</file>

<file path=xl/comments3.xml><?xml version="1.0" encoding="utf-8"?>
<comments xmlns="http://schemas.openxmlformats.org/spreadsheetml/2006/main">
  <authors>
    <author>Ben Rogers</author>
  </authors>
  <commentList>
    <comment ref="C23" authorId="0" shapeId="0">
      <text>
        <r>
          <rPr>
            <sz val="9"/>
            <color indexed="81"/>
            <rFont val="Tahoma"/>
            <family val="2"/>
          </rPr>
          <t>This method assumes that any Customer Initial Payment is split among investors commensurate with their % investment.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This "preferred" method applies ALL of any Customer Initial Payment to the EqInv first, effectively reducing the cost of capital and making more depreciation available to fund</t>
        </r>
      </text>
    </comment>
    <comment ref="A80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Payment necessary to make Equity Investor IRR at time of buyout equal to IRR at end of year 15</t>
        </r>
      </text>
    </comment>
  </commentList>
</comments>
</file>

<file path=xl/comments4.xml><?xml version="1.0" encoding="utf-8"?>
<comments xmlns="http://schemas.openxmlformats.org/spreadsheetml/2006/main">
  <authors>
    <author>Ben Rogers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=IFERROR(VLOOKUP(A2,PV_Module_List!$A$5:$G$20265,7,FALSE),"NaN")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=IFERROR(VLOOKUP(A26,Inverter_List!$A$5:$G$20265,7,FALSE)/100,"NaN")</t>
        </r>
      </text>
    </comment>
  </commentList>
</comments>
</file>

<file path=xl/comments5.xml><?xml version="1.0" encoding="utf-8"?>
<comments xmlns="http://schemas.openxmlformats.org/spreadsheetml/2006/main">
  <authors>
    <author>Ben Rogers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For Tarifa 1, there is no separate rate schedule for "de verano" and "fuera de verano", but structuring it like this to make uniform with other Tarifa 1 rate categories for Savings formula logic</t>
        </r>
      </text>
    </comment>
  </commentList>
</comments>
</file>

<file path=xl/sharedStrings.xml><?xml version="1.0" encoding="utf-8"?>
<sst xmlns="http://schemas.openxmlformats.org/spreadsheetml/2006/main" count="3228" uniqueCount="1039">
  <si>
    <t>System Size</t>
  </si>
  <si>
    <t>USD</t>
  </si>
  <si>
    <t>PV Panels</t>
  </si>
  <si>
    <t>Inverters</t>
  </si>
  <si>
    <t>Optimizer</t>
  </si>
  <si>
    <t>Consumption Monitoring</t>
  </si>
  <si>
    <t>Labor</t>
  </si>
  <si>
    <t>BOS-electrical</t>
  </si>
  <si>
    <t>BOS-mechanical</t>
  </si>
  <si>
    <t>Installer Total Price</t>
  </si>
  <si>
    <t>Overall</t>
  </si>
  <si>
    <t>Performance Guarantee</t>
  </si>
  <si>
    <t>FUND PRICE</t>
  </si>
  <si>
    <t>DAP</t>
  </si>
  <si>
    <t>IVA</t>
  </si>
  <si>
    <t>CFE Annual Increase</t>
  </si>
  <si>
    <t>CFE Bill</t>
  </si>
  <si>
    <t>%</t>
  </si>
  <si>
    <t>Year</t>
  </si>
  <si>
    <t>Inputs</t>
  </si>
  <si>
    <t>First Name</t>
  </si>
  <si>
    <t>Last Name</t>
  </si>
  <si>
    <t>Address</t>
  </si>
  <si>
    <t>City</t>
  </si>
  <si>
    <t>State</t>
  </si>
  <si>
    <t>Zip Code</t>
  </si>
  <si>
    <t>Total</t>
  </si>
  <si>
    <t>Savings from CFE</t>
  </si>
  <si>
    <t>Initial Payment</t>
  </si>
  <si>
    <t>Included</t>
  </si>
  <si>
    <t>Annual Payment Increase</t>
  </si>
  <si>
    <t>Term (years)</t>
  </si>
  <si>
    <t>Long term for immediate savings</t>
  </si>
  <si>
    <t>Totals</t>
  </si>
  <si>
    <t>Remote Monitoring</t>
  </si>
  <si>
    <t># Panels</t>
  </si>
  <si>
    <t>Repair Service</t>
  </si>
  <si>
    <t>Before Solar</t>
  </si>
  <si>
    <t>After Solar</t>
  </si>
  <si>
    <t xml:space="preserve">            ----</t>
  </si>
  <si>
    <t>1A</t>
  </si>
  <si>
    <t>1B</t>
  </si>
  <si>
    <t>1C</t>
  </si>
  <si>
    <t>1D</t>
  </si>
  <si>
    <t>1E</t>
  </si>
  <si>
    <t>1F</t>
  </si>
  <si>
    <t>CARGOS POR</t>
  </si>
  <si>
    <t>REGION BAJA CALIFORNIA - CUOTAS MENSUALES EN VERANO</t>
  </si>
  <si>
    <t>Cargo fijo ($/mes)</t>
  </si>
  <si>
    <t>($/kWh)</t>
  </si>
  <si>
    <t>REGION BAJA CALIFORNIA - CUOTAS MENSUALES FUERA EN VERANO</t>
  </si>
  <si>
    <t xml:space="preserve">REGION CENTRAL </t>
  </si>
  <si>
    <t xml:space="preserve">REGION NOROESTE </t>
  </si>
  <si>
    <t>energía ($/kWh)</t>
  </si>
  <si>
    <t xml:space="preserve">REGION NORTE Y NORESTE </t>
  </si>
  <si>
    <t xml:space="preserve">REGION SUR Y PENINSULAR </t>
  </si>
  <si>
    <t>Tarifa 2</t>
  </si>
  <si>
    <t xml:space="preserve">Cargo por energía ($/kWh) </t>
  </si>
  <si>
    <t>Range</t>
  </si>
  <si>
    <t>1-50</t>
  </si>
  <si>
    <t>51 - 100</t>
  </si>
  <si>
    <t>Adic.</t>
  </si>
  <si>
    <t>Cargo fijo ($)</t>
  </si>
  <si>
    <t>Mensual</t>
  </si>
  <si>
    <t>Central</t>
  </si>
  <si>
    <t>Unit Price</t>
  </si>
  <si>
    <t># Units</t>
  </si>
  <si>
    <t>SubTotal</t>
  </si>
  <si>
    <t>Inflation Rate</t>
  </si>
  <si>
    <t>Financing Escalator</t>
  </si>
  <si>
    <t>Wp rating</t>
  </si>
  <si>
    <t>$/Wp</t>
  </si>
  <si>
    <t>Supplier</t>
  </si>
  <si>
    <t>Notes</t>
  </si>
  <si>
    <t>PV Solar Modules</t>
  </si>
  <si>
    <t>Model</t>
  </si>
  <si>
    <t>Trina</t>
  </si>
  <si>
    <t>Exel</t>
  </si>
  <si>
    <t>320Wp poly</t>
  </si>
  <si>
    <t>CSI</t>
  </si>
  <si>
    <t>DM Solar</t>
  </si>
  <si>
    <t>EXW: GDL, MTY, DF</t>
  </si>
  <si>
    <t>GSL</t>
  </si>
  <si>
    <t>ET Solar</t>
  </si>
  <si>
    <t>Recom</t>
  </si>
  <si>
    <t>Jinko</t>
  </si>
  <si>
    <t>JA Solar</t>
  </si>
  <si>
    <t>SunPreme</t>
  </si>
  <si>
    <t>Tigo</t>
  </si>
  <si>
    <t>TS4-D</t>
  </si>
  <si>
    <t>EXW: MER, GDL, MTY, DF</t>
  </si>
  <si>
    <t>TS4-M</t>
  </si>
  <si>
    <t>Monitoring</t>
  </si>
  <si>
    <t>TS4-S</t>
  </si>
  <si>
    <t>Safety - shut off</t>
  </si>
  <si>
    <t>TS4-O</t>
  </si>
  <si>
    <t>Optimize - shading</t>
  </si>
  <si>
    <t>TS4-L</t>
  </si>
  <si>
    <t>Long strings</t>
  </si>
  <si>
    <t>Enphase</t>
  </si>
  <si>
    <t>TIGO</t>
  </si>
  <si>
    <t>CCA-PS-INT</t>
  </si>
  <si>
    <t>Cloud connect - interior</t>
  </si>
  <si>
    <t>CCAK-IGDIN</t>
  </si>
  <si>
    <t>Cloud connect - interior DIN</t>
  </si>
  <si>
    <t>CCA-DINOUT</t>
  </si>
  <si>
    <t>Cloud connect - exterior DIN</t>
  </si>
  <si>
    <t>GTWY-WCOMM</t>
  </si>
  <si>
    <t>Wireless gateway</t>
  </si>
  <si>
    <t>ENV-120 M</t>
  </si>
  <si>
    <t>WF-01</t>
  </si>
  <si>
    <t>System Monitoring</t>
  </si>
  <si>
    <t>Region</t>
  </si>
  <si>
    <t xml:space="preserve"> (ERdC - $189) Envoy monitoring portal</t>
  </si>
  <si>
    <t>DAC</t>
  </si>
  <si>
    <t>Installer Margin</t>
  </si>
  <si>
    <t>Installer Sales commission</t>
  </si>
  <si>
    <t>Pago inicial</t>
  </si>
  <si>
    <t>Incremento Anual</t>
  </si>
  <si>
    <t>Termino (Años)</t>
  </si>
  <si>
    <t>Termino a largo plazo ahorros inmediatos</t>
  </si>
  <si>
    <t>Incluido</t>
  </si>
  <si>
    <t>Servicio de Reparacion</t>
  </si>
  <si>
    <t>Garantia de Desempeño</t>
  </si>
  <si>
    <t xml:space="preserve">Antes </t>
  </si>
  <si>
    <t>Año</t>
  </si>
  <si>
    <t>Pago Inicial</t>
  </si>
  <si>
    <t>Ahorros vs CFE</t>
  </si>
  <si>
    <t>Recibo CFE</t>
  </si>
  <si>
    <t>Manufacturer</t>
  </si>
  <si>
    <t>Optimizers</t>
  </si>
  <si>
    <t>Component</t>
  </si>
  <si>
    <t>MXN/USD</t>
  </si>
  <si>
    <t>MXN</t>
  </si>
  <si>
    <t>System Specification</t>
  </si>
  <si>
    <r>
      <t>2</t>
    </r>
    <r>
      <rPr>
        <vertAlign val="superscript"/>
        <sz val="8"/>
        <rFont val="Verdana"/>
        <family val="2"/>
      </rPr>
      <t>nd</t>
    </r>
    <r>
      <rPr>
        <sz val="8"/>
        <rFont val="Verdana"/>
        <family val="2"/>
      </rPr>
      <t xml:space="preserve"> Last Name</t>
    </r>
  </si>
  <si>
    <t>Comm Accessories</t>
  </si>
  <si>
    <t>Wifi kit for Enphase</t>
  </si>
  <si>
    <t>Noroeste</t>
  </si>
  <si>
    <t>STC</t>
  </si>
  <si>
    <t>PTC</t>
  </si>
  <si>
    <t>Sun Hours</t>
  </si>
  <si>
    <t>Inverter Loss %</t>
  </si>
  <si>
    <t>Other Loss %</t>
  </si>
  <si>
    <t>CFE Total Bill (Year1)</t>
  </si>
  <si>
    <t>System Annual Degradation Rate</t>
  </si>
  <si>
    <t>Customer Usage</t>
  </si>
  <si>
    <t>Customer offset</t>
  </si>
  <si>
    <t>Cash Flow Retention %</t>
  </si>
  <si>
    <t>kWh</t>
  </si>
  <si>
    <t>MXN/kWh</t>
  </si>
  <si>
    <t>CFE Total Rate (MXN/kWh)</t>
  </si>
  <si>
    <t>Customer Usage (kWh/yr)</t>
  </si>
  <si>
    <t>per W</t>
  </si>
  <si>
    <t>CFE Fixed Cost per Bill (bi-mo) (MXN)</t>
  </si>
  <si>
    <t>CFE Rate per kWh (MXN)</t>
  </si>
  <si>
    <t>System Production (kWh/year)</t>
  </si>
  <si>
    <t>System Factor(kWh/kw)</t>
  </si>
  <si>
    <t>System Size (W)</t>
  </si>
  <si>
    <t>Ahorros $</t>
  </si>
  <si>
    <t>Corporate Tax Rate</t>
  </si>
  <si>
    <t>Outputs</t>
  </si>
  <si>
    <t>CFE Regions</t>
  </si>
  <si>
    <t>List Value</t>
  </si>
  <si>
    <t>CFE Value</t>
  </si>
  <si>
    <t>CFE Rates</t>
  </si>
  <si>
    <t>CFE Rate Category</t>
  </si>
  <si>
    <t>Customer Savings Actual (Year1)</t>
  </si>
  <si>
    <t>Equity Investor %</t>
  </si>
  <si>
    <t>E-Gauge</t>
  </si>
  <si>
    <t>Direct</t>
  </si>
  <si>
    <t>Home &amp; System Monitoring</t>
  </si>
  <si>
    <t>Performance Guarantee (Markup)</t>
  </si>
  <si>
    <t>Offset Pct</t>
  </si>
  <si>
    <t>Fund Price (MXN)</t>
  </si>
  <si>
    <t>Ahorros %</t>
  </si>
  <si>
    <t>TSM-270PA05A</t>
  </si>
  <si>
    <t>CS6P-270P</t>
  </si>
  <si>
    <t>CS6U-320P</t>
  </si>
  <si>
    <t>RCM-325-6PA</t>
  </si>
  <si>
    <t>SNPM-GxB-310 Bifacial</t>
  </si>
  <si>
    <t>Operating Expense (USD/kW)</t>
  </si>
  <si>
    <t>Operating Expense (MXN/Year)</t>
  </si>
  <si>
    <t>Equity Ownership (Equity Investor)</t>
  </si>
  <si>
    <t>Resumen Año 1</t>
  </si>
  <si>
    <t>GCL-P6-72-320</t>
  </si>
  <si>
    <t>GCL-P6-60-270</t>
  </si>
  <si>
    <t>Trina Solar</t>
  </si>
  <si>
    <t>Canadian Solar</t>
  </si>
  <si>
    <t>GCL System Integration Technology</t>
  </si>
  <si>
    <t>Sunpreme</t>
  </si>
  <si>
    <t>Customer Residual</t>
  </si>
  <si>
    <t>original-&gt;</t>
  </si>
  <si>
    <t>Pre-IVA Cost from Installer</t>
  </si>
  <si>
    <t>IVA to Installer</t>
  </si>
  <si>
    <t>Total Cost from Installer</t>
  </si>
  <si>
    <t>http://app.cfe.gob.mx/Aplicaciones/CCFE/Tarifas/Tarifas/Tarifas_industria.asp?Tarifa=CMABT&amp;Anio=2017</t>
  </si>
  <si>
    <t>http://app.cfe.gob.mx/Aplicaciones/CCFE/Tarifas/Tarifas/tarifas_casa.asp</t>
  </si>
  <si>
    <t>Lease Term</t>
  </si>
  <si>
    <t>Fund Price/Watt (MXN)</t>
  </si>
  <si>
    <t>Customer Initial Payment (MXN)</t>
  </si>
  <si>
    <t>Labor (MXN/W)</t>
  </si>
  <si>
    <t>BOS-Electrical (MXN/W)</t>
  </si>
  <si>
    <t>BOS-Mechanical (MXN/W)</t>
  </si>
  <si>
    <t>Lease Term (Years)</t>
  </si>
  <si>
    <t>Savings</t>
  </si>
  <si>
    <t>Year 1 Summary</t>
  </si>
  <si>
    <t>Ahorros</t>
  </si>
  <si>
    <t>Equity Investor Required IRR %</t>
  </si>
  <si>
    <t>CFE Rate (PreTax)</t>
  </si>
  <si>
    <t>CFE Usage (PreTax)</t>
  </si>
  <si>
    <t>CFE Cargo Fijo</t>
  </si>
  <si>
    <t>CFE DAP</t>
  </si>
  <si>
    <t>CFE IVA</t>
  </si>
  <si>
    <t>Degrad rate</t>
  </si>
  <si>
    <t>CFE Bill (PreTax)</t>
  </si>
  <si>
    <t>Solar System</t>
  </si>
  <si>
    <t>Solar System Production</t>
  </si>
  <si>
    <t>Savings ($)</t>
  </si>
  <si>
    <t>Savings (%)</t>
  </si>
  <si>
    <t>CFE Service Number</t>
  </si>
  <si>
    <t>Comm Accessory</t>
  </si>
  <si>
    <t>Customer Usage Offset</t>
  </si>
  <si>
    <t>System Production (kWh/yr)</t>
  </si>
  <si>
    <t>Wp (DC)</t>
  </si>
  <si>
    <t>PTC (DC)</t>
  </si>
  <si>
    <t>sys size &gt;=</t>
  </si>
  <si>
    <t>sys size &lt;=</t>
  </si>
  <si>
    <t>Wac rating (AC)</t>
  </si>
  <si>
    <t>Min Wp (DC)</t>
  </si>
  <si>
    <t>Max Wp (DC)</t>
  </si>
  <si>
    <t>Factor</t>
  </si>
  <si>
    <t>Symo 10.0-3 208/240v</t>
  </si>
  <si>
    <t>Symo 12.0-3 208/240v</t>
  </si>
  <si>
    <t>Symo 15.0-3 208/240v</t>
  </si>
  <si>
    <t>Inversor TL + Comunicación Wifi + NEMA 4x + 2mppt + Interruptor DC</t>
  </si>
  <si>
    <t>WiFi + interruptor DC + AFCI + 2 MPPT</t>
  </si>
  <si>
    <t>WiFi + interruptor DC + AFCI + 1 MPPT</t>
  </si>
  <si>
    <t>Line Voltage</t>
  </si>
  <si>
    <t>240v</t>
  </si>
  <si>
    <t>Phases</t>
  </si>
  <si>
    <t>Savings Rate (Year 1)</t>
  </si>
  <si>
    <t>CFE Hilos (Phases)</t>
  </si>
  <si>
    <t>PTC/Wp</t>
  </si>
  <si>
    <t>We will remotely monitor your system for you for 15 years</t>
  </si>
  <si>
    <t>Peace of mind that your system will perform for 15 years</t>
  </si>
  <si>
    <t>No need to worry about repairs for 15 years</t>
  </si>
  <si>
    <t>CFE Limite para region</t>
  </si>
  <si>
    <t>0 Procupaciones por reparacion por 15 años</t>
  </si>
  <si>
    <t>Desempeño Garantizado al 100% por 15 años</t>
  </si>
  <si>
    <t>CFE Limits</t>
  </si>
  <si>
    <t>CFE Rate Period</t>
  </si>
  <si>
    <t>RANGO DE CONSUMO</t>
  </si>
  <si>
    <t>Básico 1-75</t>
  </si>
  <si>
    <t>Intermedio 76-140</t>
  </si>
  <si>
    <t>Excedente</t>
  </si>
  <si>
    <t>Básico 1-100</t>
  </si>
  <si>
    <t>Intermedio 101-150</t>
  </si>
  <si>
    <t>Intermedio 76-150</t>
  </si>
  <si>
    <t>Básico 1-125</t>
  </si>
  <si>
    <t>Intermedio 126-225</t>
  </si>
  <si>
    <t>Intermedio 76-175</t>
  </si>
  <si>
    <t>Básico 1-150</t>
  </si>
  <si>
    <t>Intermedio bajo 151-300</t>
  </si>
  <si>
    <t>Intermedio alto 301-450</t>
  </si>
  <si>
    <t>Básico 1-175</t>
  </si>
  <si>
    <t>Intermedio bajo 176-400</t>
  </si>
  <si>
    <t>Intermedio alto 401-600</t>
  </si>
  <si>
    <t>Intermedio 76-200</t>
  </si>
  <si>
    <t>Básico 1-300</t>
  </si>
  <si>
    <t>Intermedio bajo 301-750</t>
  </si>
  <si>
    <t>Intermedio alto 751-900</t>
  </si>
  <si>
    <t>Intermedio 301-1,200</t>
  </si>
  <si>
    <t>Recent History</t>
  </si>
  <si>
    <t>Intermedio alto 1,201-2,500</t>
  </si>
  <si>
    <t>Bsico 1-75</t>
  </si>
  <si>
    <t>1st Bucket</t>
  </si>
  <si>
    <t>2nd Bucket</t>
  </si>
  <si>
    <t>3rd Bucket</t>
  </si>
  <si>
    <t>Tarifa 1A - TEMPORADA DE VERANO</t>
  </si>
  <si>
    <t>Tarifa 1A - TEMPORADA FUERA DE VERANO</t>
  </si>
  <si>
    <t>Tarifa 1E - TEMPORADA DE VERANO</t>
  </si>
  <si>
    <t>Tarifa 1D - TEMPORADA DE VERANO</t>
  </si>
  <si>
    <t>Tarifa 1F - TEMPORADA DE VERANO</t>
  </si>
  <si>
    <t>Tarifa 1C - TEMPORADA DE VERANO</t>
  </si>
  <si>
    <t>Tarifa 1B - TEMPORADA DE VERANO</t>
  </si>
  <si>
    <t>Tarifa 1F - TEMPORADA FUERA DE VERANO</t>
  </si>
  <si>
    <t>Tarifa 1E - TEMPORADA FUERA DE VERANO</t>
  </si>
  <si>
    <t>Tarifa 1D - TEMPORADA FUERA DE VERANO</t>
  </si>
  <si>
    <t>Tarifa 1C - TEMPORADA FUERA DE VERANO</t>
  </si>
  <si>
    <t>Tarifa 1B - TEMPORADA FUERA DE VERANO</t>
  </si>
  <si>
    <t>Limit</t>
  </si>
  <si>
    <t>Rate</t>
  </si>
  <si>
    <t>Blended</t>
  </si>
  <si>
    <t>Avg (Verano, 
Invierno)</t>
  </si>
  <si>
    <t>For CFE Rate (PreTax) After Solar, Beginning in Year 2</t>
  </si>
  <si>
    <t>Tarifa 1 - TEMPORADA FUERA DE VERANO</t>
  </si>
  <si>
    <t>Tarifa 1 - TEMPORADA DE VERANO</t>
  </si>
  <si>
    <t>Initial Cash Flows</t>
  </si>
  <si>
    <t>After-Tax</t>
  </si>
  <si>
    <t>Before-Tax</t>
  </si>
  <si>
    <t>SolCity MX Cost (paid to Installer)</t>
  </si>
  <si>
    <t>SolCity MX Net</t>
  </si>
  <si>
    <t>SolCity MX Margin</t>
  </si>
  <si>
    <t>Depreciation Based on Equity Investor % Equity</t>
  </si>
  <si>
    <t>Fund Cash Flows (Annual)</t>
  </si>
  <si>
    <t>Customer FCF</t>
  </si>
  <si>
    <t>Carried Losses</t>
  </si>
  <si>
    <t>Tax Basis</t>
  </si>
  <si>
    <t>Tax</t>
  </si>
  <si>
    <t>Net Cash Flow</t>
  </si>
  <si>
    <t>Investor Cash Flows (Monthly)</t>
  </si>
  <si>
    <t>Month</t>
  </si>
  <si>
    <t>Date</t>
  </si>
  <si>
    <t>Equity Investor FCF</t>
  </si>
  <si>
    <t>Equity Investor ROI</t>
  </si>
  <si>
    <t>Buyout Price</t>
  </si>
  <si>
    <t>Buyout Price (% of Fund Price)</t>
  </si>
  <si>
    <t>Tarifa2</t>
  </si>
  <si>
    <t>Effective</t>
  </si>
  <si>
    <t>Customer Inputs</t>
  </si>
  <si>
    <t>Nameplate</t>
  </si>
  <si>
    <t>Choose your term and savings</t>
  </si>
  <si>
    <t>Escoge tu plazo y ahorros</t>
  </si>
  <si>
    <t>Autorización para solicitar Reportes de Crédito</t>
  </si>
  <si>
    <t>Formato Único</t>
  </si>
  <si>
    <t xml:space="preserve">Por este conducto autorizo expresamente a Solcity Distribución Mexico SAPI de CV.  para que por conducto de sus funcionarios facultados lleve a cabo Investigaciones, sobre mi comportamiento crediticio o el de la Empresa que represento en Circulo de Credito SA de CV.                                                                                       </t>
  </si>
  <si>
    <t xml:space="preserve">Así mismo, declaro que conozco la naturaleza y alcance de la información que se solicitará, del uso que Solcity Distribución Mexico SAPI de CV, hará de tal información y de que ésta podrá realizar consultas periódicas sobre mi historial o el de la empresa que represento, consintiendo que esta autorización se encuentre vigente por un período de tres (3) años contados a partir de sus expedición y en todo caso durante el tiempo que se mantenga la relación jurídica. </t>
  </si>
  <si>
    <t>En caso de que la solicitante sea una Persona Moral,  declaro bajo protesta de decir verdad Ser Representante Legal de la empresa mencionada en esta autorización.</t>
  </si>
  <si>
    <t xml:space="preserve">Autorización para: </t>
  </si>
  <si>
    <t>Persona Física</t>
  </si>
  <si>
    <t>Persona Física con            Actividad Empresarial</t>
  </si>
  <si>
    <t>Nombre del solicitante (Persona Física o Razón Social de la Persona Moral):</t>
  </si>
  <si>
    <t>Para el caso de Persona Moral, nombre del Representante Legal:</t>
  </si>
  <si>
    <t>Fecha (en que se autoriza la consulta):</t>
  </si>
  <si>
    <t xml:space="preserve">RFC: </t>
  </si>
  <si>
    <t>Calle y número:</t>
  </si>
  <si>
    <t>Colonia:</t>
  </si>
  <si>
    <t xml:space="preserve">Ciudad: </t>
  </si>
  <si>
    <t xml:space="preserve">Estado: </t>
  </si>
  <si>
    <t xml:space="preserve">Código Postal: </t>
  </si>
  <si>
    <t xml:space="preserve">Teléfono (s) de casa y/o oficina: </t>
  </si>
  <si>
    <t>Estoy consciente y acepto que este documento quede bajo propiedad de Solcity Distribución Mexico SAPI de CV y/o Sociedad de Información Crediticia consultada para efectos de control y cumplimiento del artículo 28 de la Ley para Regular a Las Sociedades de Información Crediticia; mismo que señala que las Sociedades sólo podrán proporcionar información a un Usuario, cuando éste cuente con la autorización expresa del Cliente mediante su firma autógrafa.</t>
  </si>
  <si>
    <t xml:space="preserve">Firma de la PF, PFAE, Representante Legal de la empresa. </t>
  </si>
  <si>
    <t>OBSERVACIONES PARA SER ATENDIDAS AL MOMENTO DE REQUISITAR EL FORMATO:</t>
  </si>
  <si>
    <t>IMPORTANTE: Este formato debe ser llenado individualmente, para una sola persona física ó para una sola empresa. En caso de requerir el Historial crediticio del representante legal, se llenará un formato adicional.</t>
  </si>
  <si>
    <t>1.- Llenar este formato preferentemente en computadora y de no ser así, deberá ser con letra de molde y clara, evitando las abreviaturas. Utilizar letras mayúsculas.
2.- Anexar copia de identificación oficial (credencial del IFE o pasaporte vigente) del solicitante. FM2 en caso de extranjeros. 
3.- La firma en presente formato deberá ser idéntica a la que se encuentra en la identificación (si ha cambiado se recomienda practicarla previamente).
4.- El presente formato no se aceptará si no contine todos los datos requeridos o si tiene tachaduras, borrones y/o enmendaduras.
5.- Si el domicilio es diferente al registrado en la identificación, se recomienda verificar que el CP coincida con el municipio. Fuente: www.sepomex.gob.mx</t>
  </si>
  <si>
    <r>
      <rPr>
        <b/>
        <sz val="10"/>
        <rFont val="Arial"/>
        <family val="2"/>
      </rPr>
      <t>Para uso exclusivo de Solcity Distribución Mexico SAPI de CV</t>
    </r>
    <r>
      <rPr>
        <sz val="10"/>
        <rFont val="Arial"/>
        <family val="2"/>
      </rPr>
      <t xml:space="preserve">
</t>
    </r>
    <r>
      <rPr>
        <sz val="8"/>
        <rFont val="Arial"/>
        <family val="2"/>
      </rPr>
      <t>(Obligatorio el llenado de estos campos por el Funcionario Facultado)</t>
    </r>
  </si>
  <si>
    <t>Clave de usuario (Member Code):</t>
  </si>
  <si>
    <t>Fecha de la consulta (dd-mm-aaaa):</t>
  </si>
  <si>
    <t>Folio de consulta (Obligatorio)</t>
  </si>
  <si>
    <t>Proposal Acceptance Signature</t>
  </si>
  <si>
    <t>Firma de Aceptacion de Propuesta</t>
  </si>
  <si>
    <t>Customer</t>
  </si>
  <si>
    <t>Field</t>
  </si>
  <si>
    <t>Value</t>
  </si>
  <si>
    <t>Note</t>
  </si>
  <si>
    <t>Lessee</t>
  </si>
  <si>
    <t>Customer's first &amp; last names (if Individual) or full company name (if Company)</t>
  </si>
  <si>
    <t>LesseeTelephone</t>
  </si>
  <si>
    <t>Customer's telephone number</t>
  </si>
  <si>
    <t>LesseeEmail</t>
  </si>
  <si>
    <t>Customer's email address</t>
  </si>
  <si>
    <t>PropertyAddress</t>
  </si>
  <si>
    <t>PropertyCity</t>
  </si>
  <si>
    <t>PropertyState</t>
  </si>
  <si>
    <t>PropertyZipCode</t>
  </si>
  <si>
    <t>CheckingAccountBank</t>
  </si>
  <si>
    <t>Customer's bank for auto-debit</t>
  </si>
  <si>
    <t>CheckingAccountNumber</t>
  </si>
  <si>
    <t>Customer's checking account number for auto-debit</t>
  </si>
  <si>
    <t>CreditCardType</t>
  </si>
  <si>
    <t>Visa</t>
  </si>
  <si>
    <t>Customer's credit card type, in the event of auto-debit failure</t>
  </si>
  <si>
    <t>CreditCardNumber</t>
  </si>
  <si>
    <t>Customer's credit card number</t>
  </si>
  <si>
    <t>CreditCardExpiry</t>
  </si>
  <si>
    <t>CreditCardSecurityCode</t>
  </si>
  <si>
    <t>Customer's credit card security code</t>
  </si>
  <si>
    <t>TermYears</t>
  </si>
  <si>
    <t>GuaranteedProductionYear1</t>
  </si>
  <si>
    <t>Guaranteed production of system in first year (kWh)</t>
  </si>
  <si>
    <t>InitialPaymentMXN</t>
  </si>
  <si>
    <t>MonthlyPaymentYear1</t>
  </si>
  <si>
    <t>FinanceEscalator</t>
  </si>
  <si>
    <t>Customer (if Individual)</t>
  </si>
  <si>
    <t>Ind_Nationality</t>
  </si>
  <si>
    <t>Nationality</t>
  </si>
  <si>
    <t>Ind_IdNo</t>
  </si>
  <si>
    <t>Government identification number</t>
  </si>
  <si>
    <t>Customer (if Company)</t>
  </si>
  <si>
    <t>Co_DeedNo</t>
  </si>
  <si>
    <t>Public deed number</t>
  </si>
  <si>
    <t>Co_DeedDated</t>
  </si>
  <si>
    <t>Co_DeedNotaryNo</t>
  </si>
  <si>
    <t>Notary number, before which public deed was granted</t>
  </si>
  <si>
    <t>Co_DeedNotaryLoc</t>
  </si>
  <si>
    <t>Notary location</t>
  </si>
  <si>
    <t>Co_DeedNotaryName</t>
  </si>
  <si>
    <t>Notary name</t>
  </si>
  <si>
    <t>Co_DeedRegistryLoc</t>
  </si>
  <si>
    <t>Co_DeedFolioNo</t>
  </si>
  <si>
    <t>Notary Commercial Folio number</t>
  </si>
  <si>
    <t>Co_Rep</t>
  </si>
  <si>
    <t>Full name of individual representative of Company</t>
  </si>
  <si>
    <t>Co_Rep_DeedNo</t>
  </si>
  <si>
    <t>Public deed number, which grants individual representative power of attorney</t>
  </si>
  <si>
    <t>Co_Rep_DeedDated</t>
  </si>
  <si>
    <t>Co_Rep_DeedNotaryNo</t>
  </si>
  <si>
    <t>Notary number, before which public deed was granted (for Representative)</t>
  </si>
  <si>
    <t>Co_Rep_DeedNotaryLoc</t>
  </si>
  <si>
    <t>Notary location (for Representative)</t>
  </si>
  <si>
    <t>Co_Rep_DeedNotaryName</t>
  </si>
  <si>
    <t>Notary name (for Representative)</t>
  </si>
  <si>
    <t>Co_Rep_DeedRegistryLoc</t>
  </si>
  <si>
    <t>Co_Rep_DeedFolioNo</t>
  </si>
  <si>
    <t>Notary Commercial Folio number (for Representative)</t>
  </si>
  <si>
    <t>Joint Obligor</t>
  </si>
  <si>
    <t>JointObligor</t>
  </si>
  <si>
    <t>Joint Obligor's first &amp; last names (if Individual) or full company name (if Company)</t>
  </si>
  <si>
    <t>JointObligorEmail</t>
  </si>
  <si>
    <t>Joint Obligor's email address</t>
  </si>
  <si>
    <t>Joint Obligor (if Individual)</t>
  </si>
  <si>
    <t>JO_Ind_Nationality</t>
  </si>
  <si>
    <t>JO_Ind_IdNo</t>
  </si>
  <si>
    <t>Joint Obligor (if Company)</t>
  </si>
  <si>
    <t>JO_Co_DeedNo</t>
  </si>
  <si>
    <t>JO_Co_DeedDated</t>
  </si>
  <si>
    <t>JO_Co_DeedNotaryNo</t>
  </si>
  <si>
    <t>JO_Co_DeedNotaryLoc</t>
  </si>
  <si>
    <t>JO_Co_DeedNotaryName</t>
  </si>
  <si>
    <t>JO_Co_DeedRegistryLoc</t>
  </si>
  <si>
    <t>JO_Co_DeedFolioNo</t>
  </si>
  <si>
    <t>JO_Co_Rep_DeedNo</t>
  </si>
  <si>
    <t>JO_Co_Rep_DeedDated</t>
  </si>
  <si>
    <t>JO_Co_Rep_DeedNotaryNo</t>
  </si>
  <si>
    <t>JO_Co_Rep_DeedNotaryLoc</t>
  </si>
  <si>
    <t>JO_Co_Rep_DeedNotaryName</t>
  </si>
  <si>
    <t>Checking Account Number</t>
  </si>
  <si>
    <t>Checking Account Bank</t>
  </si>
  <si>
    <t>Credit Card Type</t>
  </si>
  <si>
    <t>Credit Card Number</t>
  </si>
  <si>
    <t>Credit Card Expiry</t>
  </si>
  <si>
    <t>Credit Card Security Code</t>
  </si>
  <si>
    <t>Term Years</t>
  </si>
  <si>
    <t>Guaranteed Production (Year 1)</t>
  </si>
  <si>
    <t>SavingsRateYear1</t>
  </si>
  <si>
    <t>Monthly Payment (Year 1)</t>
  </si>
  <si>
    <t>Savings rate in first year (estimated)</t>
  </si>
  <si>
    <t>Annual Increase</t>
  </si>
  <si>
    <t>Company (if applicable)</t>
  </si>
  <si>
    <t>Individual's Nationality</t>
  </si>
  <si>
    <t>Company Deed Number</t>
  </si>
  <si>
    <t>Company Deed Dated</t>
  </si>
  <si>
    <t>Company Rep</t>
  </si>
  <si>
    <t>Company Deed Notary Location</t>
  </si>
  <si>
    <t>Company Deed Notary Name</t>
  </si>
  <si>
    <t>Company Deed Notary Registry Location</t>
  </si>
  <si>
    <t>Company Deed Notary Folio Number</t>
  </si>
  <si>
    <t>Company Deed Notary Number</t>
  </si>
  <si>
    <t>Joint Obligor Email</t>
  </si>
  <si>
    <t>Joint Obligor's Nationality</t>
  </si>
  <si>
    <t>JO_Co_Rep</t>
  </si>
  <si>
    <t>Joint Obligor Company Rep</t>
  </si>
  <si>
    <t>Joint Obligor Company Deed Number</t>
  </si>
  <si>
    <t>Joint Obligor Company Deed Dated</t>
  </si>
  <si>
    <t>Joint Obligor Company Deed Notary Number</t>
  </si>
  <si>
    <t>Joint Obligor Company Deed Notary Location</t>
  </si>
  <si>
    <t>Joint Obligor Company Deed Notary Name</t>
  </si>
  <si>
    <t>Joint Obligor Company Deed Notary Registry Location</t>
  </si>
  <si>
    <t>Joint Obligor Company Deed Notary Folio Number</t>
  </si>
  <si>
    <t>Mnemonic</t>
  </si>
  <si>
    <t>To be completed after Customer agrees to Proposal, before sending this file to MySOL.  Cells filled in Grey or Blue should be completed.</t>
  </si>
  <si>
    <t>MySOL SUMMARY</t>
  </si>
  <si>
    <t>MySOL BENEFITS</t>
  </si>
  <si>
    <t>Customize Your MySOL Plan</t>
  </si>
  <si>
    <t>Before MySOL</t>
  </si>
  <si>
    <t>After MySOL</t>
  </si>
  <si>
    <t>MySOL Bill</t>
  </si>
  <si>
    <t>MySOL Bill (PreTax)</t>
  </si>
  <si>
    <t>MySOL IVA</t>
  </si>
  <si>
    <t>CFE + MySOL Bill</t>
  </si>
  <si>
    <t>CFE + MySOL</t>
  </si>
  <si>
    <t>MySOL</t>
  </si>
  <si>
    <t>Recibo CFE + MySOL</t>
  </si>
  <si>
    <t>MySOL Margin</t>
  </si>
  <si>
    <t>Pre-IVA Cost from MySOL</t>
  </si>
  <si>
    <t>IVA to MySOL</t>
  </si>
  <si>
    <t>Total Cost from MySOL</t>
  </si>
  <si>
    <t>SolCity MX Price (rec'd from MySOL/Fund)</t>
  </si>
  <si>
    <t>MySOL Equity</t>
  </si>
  <si>
    <t>MySOL % of Initial Customer Payment</t>
  </si>
  <si>
    <t>MySOL/SolCity MX Net</t>
  </si>
  <si>
    <t>Depreciation Based on MySOL % Equity</t>
  </si>
  <si>
    <t>RESUMEN MySOL</t>
  </si>
  <si>
    <t xml:space="preserve">BENEFICIOS MySOL </t>
  </si>
  <si>
    <t>Personaliza tu Plan MySOL</t>
  </si>
  <si>
    <t>Ahora con MySOL</t>
  </si>
  <si>
    <t>Recibo MySOL</t>
  </si>
  <si>
    <t>MySOL Total Rate (MXN/kWh)</t>
  </si>
  <si>
    <t>MySOL Total Bill (Year1)</t>
  </si>
  <si>
    <t>MySOL Pre-EqInv Margin (MXN)</t>
  </si>
  <si>
    <t>MySOL Pre-EqInv Margin (%)</t>
  </si>
  <si>
    <t>MySOL Post-EqInv Margin (MXN)</t>
  </si>
  <si>
    <t>MySOL Post-EqInv Margin (%)</t>
  </si>
  <si>
    <t>Equity Retained by MySOL %</t>
  </si>
  <si>
    <t>Equity Ownership (MySOL)</t>
  </si>
  <si>
    <t>MySOL Operating Costs Expected</t>
  </si>
  <si>
    <t>Proposal Chart Labels</t>
  </si>
  <si>
    <t>Monthly payments to MySOL during the first year of term</t>
  </si>
  <si>
    <t>Customer initial payment</t>
  </si>
  <si>
    <t>Customer's street address (should match CFE bill)</t>
  </si>
  <si>
    <t>Customer's city (should match CFE bill)</t>
  </si>
  <si>
    <t>Customer's state (should match CFE bill)</t>
  </si>
  <si>
    <t>Customer's zip code (should match CFE bill)</t>
  </si>
  <si>
    <t>Term length (Years)</t>
  </si>
  <si>
    <t>Annual increase in monthly payment amount to MySOL</t>
  </si>
  <si>
    <t>MySOL Markup</t>
  </si>
  <si>
    <t>Monthly Payments to MySOL</t>
  </si>
  <si>
    <t>MySOL saves you money on your utility bill</t>
  </si>
  <si>
    <t>Pagos Mensuales a MySOL</t>
  </si>
  <si>
    <t>Con MySOL ahorras en tu recibo de luz</t>
  </si>
  <si>
    <t>Public Registry location</t>
  </si>
  <si>
    <t>Public Registry location (for Representative)</t>
  </si>
  <si>
    <t>Company Rep Deed Number</t>
  </si>
  <si>
    <t>Company Rep Deed Dated</t>
  </si>
  <si>
    <t>Company Rep Deed Notary Number</t>
  </si>
  <si>
    <t>Company Rep Deed Notary Location</t>
  </si>
  <si>
    <t>Company Rep Deed Notary Name</t>
  </si>
  <si>
    <t>Company Rep Deed Notary Registry Location</t>
  </si>
  <si>
    <t>Company Rep Deed Notary Folio Number</t>
  </si>
  <si>
    <t>Joint Obligor Company Rep Deed Number</t>
  </si>
  <si>
    <t>Joint Obligor Company Rep Deed Dated</t>
  </si>
  <si>
    <t>Joint Obligor Company Rep Deed Notary Number</t>
  </si>
  <si>
    <t>Joint Obligor Company Rep Deed Notary Location</t>
  </si>
  <si>
    <t>Joint Obligor Company Rep Deed Notary Name</t>
  </si>
  <si>
    <t>Customer's credit card expiration (mm/yyyy)</t>
  </si>
  <si>
    <t>Public deed dated (dd/mm/yyyy)</t>
  </si>
  <si>
    <t>Public deed dated, which grants individual representative power of attorney (dd/mm/yyyy)</t>
  </si>
  <si>
    <t>Deed Number</t>
  </si>
  <si>
    <t>Deed Dated</t>
  </si>
  <si>
    <t>Deed Notary Number</t>
  </si>
  <si>
    <t>Deed Notary Location</t>
  </si>
  <si>
    <t>Deed Notary Name</t>
  </si>
  <si>
    <t>Deed Notary Registry Location</t>
  </si>
  <si>
    <t>Deed Notary Folio Number</t>
  </si>
  <si>
    <t>Representative Deed Number</t>
  </si>
  <si>
    <t>Representative Deed Dated</t>
  </si>
  <si>
    <t>Representative Deed Notary Number</t>
  </si>
  <si>
    <t>Representative Deed Notary Location</t>
  </si>
  <si>
    <t>Representative Deed Notary Name</t>
  </si>
  <si>
    <t>Representative Deed Notary Folio Number</t>
  </si>
  <si>
    <t>Representative</t>
  </si>
  <si>
    <t>Joint Obligor's Identification Number</t>
  </si>
  <si>
    <t>Identification Number</t>
  </si>
  <si>
    <t>Representative Deed Notary Public Registry</t>
  </si>
  <si>
    <t>Questionnaire for Additional Information</t>
  </si>
  <si>
    <t>If Customer is Company:</t>
  </si>
  <si>
    <t>If Customer is Individual:</t>
  </si>
  <si>
    <t>If there is a Joint Obligor</t>
  </si>
  <si>
    <t>If Joint Obligor is Individual:</t>
  </si>
  <si>
    <t>If Joint Obligor is Company:</t>
  </si>
  <si>
    <t>Cuestionario para información adicional</t>
  </si>
  <si>
    <t>Telefono</t>
  </si>
  <si>
    <t>Cliente (Persona Fisica)</t>
  </si>
  <si>
    <t>Direccion de Correo</t>
  </si>
  <si>
    <t>Nacionalidad</t>
  </si>
  <si>
    <t>Número de Identificación</t>
  </si>
  <si>
    <t>Numero de Escritura</t>
  </si>
  <si>
    <t>Fecha de Escritura</t>
  </si>
  <si>
    <t>Numero de Notaria</t>
  </si>
  <si>
    <t>Localidad de la Notaria</t>
  </si>
  <si>
    <t>Nombre del Notario</t>
  </si>
  <si>
    <t>Localidad de Registro Publico</t>
  </si>
  <si>
    <t>Folio de Registro Publico</t>
  </si>
  <si>
    <t>Representante Legal</t>
  </si>
  <si>
    <t>Numero de Escritua de Poderes del Representante Legal</t>
  </si>
  <si>
    <t>Numero de Notaria de Escritura de Poderes</t>
  </si>
  <si>
    <t>Localidad de Registro Publico de Escritura de Poderes</t>
  </si>
  <si>
    <t>Nombre de Notario en Escritura de Poderes</t>
  </si>
  <si>
    <t>Obligado Solidario</t>
  </si>
  <si>
    <t>Si Hay un Obligado Solidario</t>
  </si>
  <si>
    <t>Cliente (Persona Moral)</t>
  </si>
  <si>
    <t>Obligado Solidario (Persona Fisica)</t>
  </si>
  <si>
    <t>Obligado Solidario (Persona Moral)</t>
  </si>
  <si>
    <t>Fecha de Escritura de Poderes del Representante Legal</t>
  </si>
  <si>
    <t>Localidad de la Notaria en Escritura de Poderes</t>
  </si>
  <si>
    <t>Folio de Registro Publico de Escritura de Poderes</t>
  </si>
  <si>
    <t>Telephone</t>
  </si>
  <si>
    <t>Email</t>
  </si>
  <si>
    <t>Individual's Identification Number</t>
  </si>
  <si>
    <t>Monitoreo Remoto 24 horas al dia</t>
  </si>
  <si>
    <t>Monitoreamos el sistema los 365 dias del año por 15 años</t>
  </si>
  <si>
    <t>RATE</t>
  </si>
  <si>
    <t>Tarifa 1</t>
  </si>
  <si>
    <t>LIMIT(kWh/month)</t>
  </si>
  <si>
    <t>LIMIT(kWh/year)</t>
  </si>
  <si>
    <t>Tarifa 1 Limits</t>
  </si>
  <si>
    <t>TSM-PD14 330</t>
  </si>
  <si>
    <t>CSK-P 275Wp</t>
  </si>
  <si>
    <t>GCL P6/270</t>
  </si>
  <si>
    <t>GCL P6/320</t>
  </si>
  <si>
    <t>JKM270PP</t>
  </si>
  <si>
    <t>JKM320PP</t>
  </si>
  <si>
    <t>JKM325PP</t>
  </si>
  <si>
    <t>Container 40' DDP</t>
  </si>
  <si>
    <t>TSM-PA08A 275</t>
  </si>
  <si>
    <t>TSM-DD05A.08(II) 285</t>
  </si>
  <si>
    <t>TSM-DD14A(II) 340</t>
  </si>
  <si>
    <t>PTC/STC</t>
  </si>
  <si>
    <t>Cell</t>
  </si>
  <si>
    <t>Poly</t>
  </si>
  <si>
    <t>Mono</t>
  </si>
  <si>
    <t>Choose Variable</t>
  </si>
  <si>
    <t>Components (MXN/W)</t>
  </si>
  <si>
    <t>Fund ROI</t>
  </si>
  <si>
    <t>after EGuage</t>
  </si>
  <si>
    <t>Trina Solar_TSM-PD14 330</t>
  </si>
  <si>
    <t>EGuage Paid Upfront</t>
  </si>
  <si>
    <t>O&amp;M Paid Upfront</t>
  </si>
  <si>
    <t>O&amp;M Remainder to add to Final Payment</t>
  </si>
  <si>
    <t>Solar Provider Partner (SPP)</t>
  </si>
  <si>
    <t>Price to SPP with IVA (MXN/W)</t>
  </si>
  <si>
    <t>if Initial Payment &gt; 0, then funds go first to Eguage</t>
  </si>
  <si>
    <t>if Initial Payment insufficient then remainder covered in equal monthly payments during Year 2</t>
  </si>
  <si>
    <t>EGuage Remainder to add to Year 2</t>
  </si>
  <si>
    <t>EGuage Pymt (Customer to MySOL in Yr2, if need)</t>
  </si>
  <si>
    <t>this is the net amount that gets distributed to equity investors commensurate with their % ownership</t>
  </si>
  <si>
    <t>if Initial Payment insufficient then remainder added to Final Payment</t>
  </si>
  <si>
    <t>if Lease Term is less than 15 years, then Customer pays upfront (if funds available), otherwise at end of Term</t>
  </si>
  <si>
    <t>Customer Initial Payment (Gross)</t>
  </si>
  <si>
    <t>Customer Initial Payment (Net to Fund)</t>
  </si>
  <si>
    <t>SPP Markup</t>
  </si>
  <si>
    <t>SPP Sales Comm (Markup)</t>
  </si>
  <si>
    <t>Tigo_TS4-D</t>
  </si>
  <si>
    <t>PV Panel Default</t>
  </si>
  <si>
    <t>Ags.</t>
  </si>
  <si>
    <t>Aguascalientes</t>
  </si>
  <si>
    <t>B.C.</t>
  </si>
  <si>
    <t>Baja California</t>
  </si>
  <si>
    <t>B.C.S.</t>
  </si>
  <si>
    <t>Baja California Sur</t>
  </si>
  <si>
    <t>Camp.</t>
  </si>
  <si>
    <t>Campeche</t>
  </si>
  <si>
    <t>Chis.</t>
  </si>
  <si>
    <t>Chiapas</t>
  </si>
  <si>
    <t>Chih.</t>
  </si>
  <si>
    <t>Chihuahua</t>
  </si>
  <si>
    <t>Coah.</t>
  </si>
  <si>
    <t>Coahuila</t>
  </si>
  <si>
    <t>Col.</t>
  </si>
  <si>
    <t>Colima</t>
  </si>
  <si>
    <t>CDMX</t>
  </si>
  <si>
    <t>Mexico City</t>
  </si>
  <si>
    <t>Dgo.</t>
  </si>
  <si>
    <t>Durango</t>
  </si>
  <si>
    <t>Gto.</t>
  </si>
  <si>
    <t>Guanajuato</t>
  </si>
  <si>
    <t>Gro.</t>
  </si>
  <si>
    <t>Guerrero</t>
  </si>
  <si>
    <t>Hgo.</t>
  </si>
  <si>
    <t>Hidalgo</t>
  </si>
  <si>
    <t>Jal.</t>
  </si>
  <si>
    <t>Jalisco</t>
  </si>
  <si>
    <t>Edomex.</t>
  </si>
  <si>
    <t>México</t>
  </si>
  <si>
    <t>Mich.</t>
  </si>
  <si>
    <t>Michoacán</t>
  </si>
  <si>
    <t>Mor.</t>
  </si>
  <si>
    <t>Morelos</t>
  </si>
  <si>
    <t>Nay.</t>
  </si>
  <si>
    <t>Nayarit</t>
  </si>
  <si>
    <t>N.L.</t>
  </si>
  <si>
    <t>Nuevo León</t>
  </si>
  <si>
    <t>Oax.</t>
  </si>
  <si>
    <t>Oaxaca</t>
  </si>
  <si>
    <t>Pue.</t>
  </si>
  <si>
    <t>Puebla</t>
  </si>
  <si>
    <t>Qro.</t>
  </si>
  <si>
    <t>Querétaro</t>
  </si>
  <si>
    <t>Q.R.</t>
  </si>
  <si>
    <t>Quintana Roo</t>
  </si>
  <si>
    <t>S.L.P.</t>
  </si>
  <si>
    <t>San Luis Potosí</t>
  </si>
  <si>
    <t>Sin.</t>
  </si>
  <si>
    <t>Sinaloa</t>
  </si>
  <si>
    <t>Son.</t>
  </si>
  <si>
    <t>Sonora</t>
  </si>
  <si>
    <t>Tab.</t>
  </si>
  <si>
    <t>Tabasco</t>
  </si>
  <si>
    <t>Tamps.</t>
  </si>
  <si>
    <t>Tamaulipas</t>
  </si>
  <si>
    <t>Tlax.</t>
  </si>
  <si>
    <t>Tlaxcala</t>
  </si>
  <si>
    <t>Ver.</t>
  </si>
  <si>
    <t>Veracruz</t>
  </si>
  <si>
    <t>Yuc.</t>
  </si>
  <si>
    <t>Yucatán</t>
  </si>
  <si>
    <t>Zac.</t>
  </si>
  <si>
    <t>Zacatecas</t>
  </si>
  <si>
    <t>Abbreviation</t>
  </si>
  <si>
    <t>APS</t>
  </si>
  <si>
    <t>Micro Inversor APS YC500 Dual</t>
  </si>
  <si>
    <t>M250</t>
  </si>
  <si>
    <t>ABB</t>
  </si>
  <si>
    <t>UNO-2.0-I-OUTD-S-US</t>
  </si>
  <si>
    <t>UNO-2.5-I-OUTD-S-US</t>
  </si>
  <si>
    <t>PVI-3.0-OUTD-S-US</t>
  </si>
  <si>
    <t>PVI-3.6-OUTD-S-US</t>
  </si>
  <si>
    <t>PVI-3.8-OUTD-S-US</t>
  </si>
  <si>
    <t>PVI-4.2-OUTD-S-US</t>
  </si>
  <si>
    <t>PVI-5000-OUTD-S-US</t>
  </si>
  <si>
    <t>PVI-6000-OUTD-S-US</t>
  </si>
  <si>
    <t>Fronius</t>
  </si>
  <si>
    <t>Galvo 1.5</t>
  </si>
  <si>
    <t>Galvo 2.0</t>
  </si>
  <si>
    <t>Galvo 2.5</t>
  </si>
  <si>
    <t>Galvo 3.1</t>
  </si>
  <si>
    <t xml:space="preserve">Primo 3.8-1 </t>
  </si>
  <si>
    <t>Primo 5.0-1</t>
  </si>
  <si>
    <t>Primo 6.0-1</t>
  </si>
  <si>
    <t>Primo 7.6-1</t>
  </si>
  <si>
    <t>Primo 8.2-1</t>
  </si>
  <si>
    <t>Primo 10.0-1</t>
  </si>
  <si>
    <t>Primo 11.4-1</t>
  </si>
  <si>
    <t>Primo 12.5-1</t>
  </si>
  <si>
    <t>Primo 15.0-1</t>
  </si>
  <si>
    <t>Ingeteam</t>
  </si>
  <si>
    <t>Inge 1Play 2.5TLM-DCSW</t>
  </si>
  <si>
    <t>Inge 1Play 3TLM-DCSW</t>
  </si>
  <si>
    <t>Inge 1Play 3.3TLM-DCSW</t>
  </si>
  <si>
    <t>Inge 1Play 3.68 TLM-DCSW</t>
  </si>
  <si>
    <t>Inge 1Play 4.6TLM-DCSW</t>
  </si>
  <si>
    <t>Inge 1Play 5TLM-DCSW</t>
  </si>
  <si>
    <t>Inge 1Play 6TLM-DCSW</t>
  </si>
  <si>
    <t>KACO</t>
  </si>
  <si>
    <t>blueplanet 2.0 TL1 M2 WM OD US33</t>
  </si>
  <si>
    <t>blueplanet 3.0 TL1 M2 WM OD US33</t>
  </si>
  <si>
    <t>blueplanet 4.0 TL1 M2 WM OD US33</t>
  </si>
  <si>
    <t>blueplanet 5.0 TL1 M2 WM OD US33</t>
  </si>
  <si>
    <t>SMA</t>
  </si>
  <si>
    <t>Sunny Boy SB1.5</t>
  </si>
  <si>
    <t>Sunny Boy SB2.5</t>
  </si>
  <si>
    <t>SB3.0-1SP-US-40</t>
  </si>
  <si>
    <t>SB3.8-1SP-US-40</t>
  </si>
  <si>
    <t>SB5.0-1SP-US-40</t>
  </si>
  <si>
    <t>SB6.0-1SP-US-40</t>
  </si>
  <si>
    <t>SB7.0-1SP-US-40</t>
  </si>
  <si>
    <t>PVI-10.0-OUTD-S1-US 480-NG</t>
  </si>
  <si>
    <t>TRIO-20.0-TL-OUTD-S-US 480</t>
  </si>
  <si>
    <t>TRIO-27.6-TL-OUTD-S-US 480</t>
  </si>
  <si>
    <t>Symo 10.0-3 480v</t>
  </si>
  <si>
    <t>Symo 12.5-3 480v</t>
  </si>
  <si>
    <t>Symo 15.0-3 480v</t>
  </si>
  <si>
    <t>Symo 17.5-3 480v</t>
  </si>
  <si>
    <t>Symo 20.0-3 480v</t>
  </si>
  <si>
    <t>Symo 22.7-3 480v</t>
  </si>
  <si>
    <t>Symo 24.0-3 480v</t>
  </si>
  <si>
    <t>Sun 15 TL M (S)</t>
  </si>
  <si>
    <t>Sun 15 TL M (P+)</t>
  </si>
  <si>
    <t>Sun 20 TL M (S)</t>
  </si>
  <si>
    <t>Sun 20 TL M (P+)</t>
  </si>
  <si>
    <t>Sun 24 TL M (P+)</t>
  </si>
  <si>
    <t>Sun 33 TL M (P+)</t>
  </si>
  <si>
    <t>Sun 40 TL M (P+)</t>
  </si>
  <si>
    <t>Powador 48.0 TL3 M</t>
  </si>
  <si>
    <t>Powador 48.0 TL3 SPD 1+2</t>
  </si>
  <si>
    <t xml:space="preserve">blueplanet 50.0 TL3 XL </t>
  </si>
  <si>
    <t>STP 12000TL-US-10</t>
  </si>
  <si>
    <t>STP 15000TL-US-10</t>
  </si>
  <si>
    <t>STP 20000TL-US-10</t>
  </si>
  <si>
    <t>STP 30000TL-US-10</t>
  </si>
  <si>
    <t>208-240v</t>
  </si>
  <si>
    <t>208 - 240v</t>
  </si>
  <si>
    <t>208/220/240v</t>
  </si>
  <si>
    <t>480v</t>
  </si>
  <si>
    <t>STP 50000TL-US-10</t>
  </si>
  <si>
    <t>Exel Solar</t>
  </si>
  <si>
    <t>Dos paneles por Micro-Inversor</t>
  </si>
  <si>
    <t>1 MPPT, NEMA 4X, Con transformador HF, Interruptor DC</t>
  </si>
  <si>
    <t>2 MPPT, NEMA 4X</t>
  </si>
  <si>
    <t>3 MPPT, NEMA 4X, Interruptor DC</t>
  </si>
  <si>
    <t>4 MPPT, NEMA 4X, Interruptor DC</t>
  </si>
  <si>
    <t>5 MPPT, NEMA 4X, Interruptor DC</t>
  </si>
  <si>
    <t>6 MPPT, NEMA 4X, Interruptor DC</t>
  </si>
  <si>
    <t>7 MPPT, NEMA 4X, Interruptor DC</t>
  </si>
  <si>
    <t>8 MPPT, NEMA 4X, Interruptor DC</t>
  </si>
  <si>
    <t>Comunicación Wifi integrado + Interruptor DC + AFCI</t>
  </si>
  <si>
    <t>Interruptor DC AC integrado</t>
  </si>
  <si>
    <t>Rapid Shutdown</t>
  </si>
  <si>
    <t>MPPT, DC breaker, fuses, transformer</t>
  </si>
  <si>
    <t>MPPT, NEMA4X, DC breaker</t>
  </si>
  <si>
    <t>STD version: double MPPT, terminal block input, DC switch.</t>
  </si>
  <si>
    <t>PRO version: 2 DC connect option, DC fuses, switch &amp; surge arresters.</t>
  </si>
  <si>
    <t>Inverter only. No added protection</t>
  </si>
  <si>
    <t xml:space="preserve">DC fuses, voltage supressor </t>
  </si>
  <si>
    <t>incl. Webconnect</t>
  </si>
  <si>
    <t>ECU-MX-YC500</t>
  </si>
  <si>
    <t>PV Panel Ratio</t>
  </si>
  <si>
    <t>Initial &amp; Final Payment</t>
  </si>
  <si>
    <t>Savings vs CFE</t>
  </si>
  <si>
    <t xml:space="preserve">After MySOL               </t>
  </si>
  <si>
    <t>Antes</t>
  </si>
  <si>
    <t xml:space="preserve">Pago Inicial y Pago Final </t>
  </si>
  <si>
    <t>TIGO_GTWY-WCOMM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</si>
  <si>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</si>
  <si>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</si>
  <si>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</si>
  <si>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</si>
  <si>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</si>
  <si>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</si>
  <si>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</si>
  <si>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</si>
  <si>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</si>
  <si>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</si>
  <si>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</si>
  <si>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</si>
  <si>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CFE Monthly History</t>
  </si>
  <si>
    <t xml:space="preserve">Ahora con MySOL               </t>
  </si>
  <si>
    <t>Sur y Peninsular</t>
  </si>
  <si>
    <t>Discount Rate</t>
  </si>
  <si>
    <t>Cash Purchase</t>
  </si>
  <si>
    <t>MySOL Service Plan</t>
  </si>
  <si>
    <t>Inverter Replacement Year</t>
  </si>
  <si>
    <t>Cash Price</t>
  </si>
  <si>
    <t>Maintenance + Repair</t>
  </si>
  <si>
    <t>O&amp;M Markup</t>
  </si>
  <si>
    <t>Downtime</t>
  </si>
  <si>
    <t>Total (Today's Dollars)</t>
  </si>
  <si>
    <t>Buyout Price Schedule</t>
  </si>
  <si>
    <t>IRR</t>
  </si>
  <si>
    <t>Total w/ IVA</t>
  </si>
  <si>
    <t>No Tarifa 1</t>
  </si>
  <si>
    <t>Less Production</t>
  </si>
  <si>
    <t>Downtime Calc</t>
  </si>
  <si>
    <t>Cash System Inputs</t>
  </si>
  <si>
    <t>Import Duty on PV Panels</t>
  </si>
  <si>
    <t>Buyout Price - Cumulative Savings</t>
  </si>
  <si>
    <t>Debt Investor % of Fund Price</t>
  </si>
  <si>
    <t>Equity Investor % of Fund Price</t>
  </si>
  <si>
    <t>MySOL % of Fund Price</t>
  </si>
  <si>
    <t>Debt Investor %</t>
  </si>
  <si>
    <t>Debt Investor Required IRR</t>
  </si>
  <si>
    <t>if Initial Payment &gt; 0, then funds go first to EGuage</t>
  </si>
  <si>
    <t>Debt Investor % of Customer Initial Payment</t>
  </si>
  <si>
    <t>Equity Investor % of Customer Initial Payment</t>
  </si>
  <si>
    <t>MySOL % of Customer Initial Payment</t>
  </si>
  <si>
    <t>Debt Investor FCF</t>
  </si>
  <si>
    <t>Equity Investor % of % of Cash Flows</t>
  </si>
  <si>
    <t>Debt Investor % of % of Cash Flows</t>
  </si>
  <si>
    <t>MySOL % of % of Cash Flows</t>
  </si>
  <si>
    <t>Amount Financed</t>
  </si>
  <si>
    <t>Debt Investor ROI</t>
  </si>
  <si>
    <t>Net Cash Flow Available to Debt Investor</t>
  </si>
  <si>
    <t>Cumulative NPV @ Debt Investor Required IRR</t>
  </si>
  <si>
    <t>Net Cash Flow Available to Equity Investor</t>
  </si>
  <si>
    <t>Cumulative NPV @ Equity Investor Required IRR</t>
  </si>
  <si>
    <t>Net Cash Flow Available to Investors</t>
  </si>
  <si>
    <t>Cumulative NPV @ Blended Investor Required IRR</t>
  </si>
  <si>
    <t>Blended IRR</t>
  </si>
  <si>
    <t>Final Payment @ Term End</t>
  </si>
  <si>
    <t>System Margin</t>
  </si>
  <si>
    <t>SPP</t>
  </si>
  <si>
    <t>Unit Cost</t>
  </si>
  <si>
    <t>Norte y Noreste</t>
  </si>
  <si>
    <t>REGION BAJA CALIFORNIA SUR</t>
  </si>
  <si>
    <t>REGION BAJA CALIFORNIA</t>
  </si>
  <si>
    <t>REGION BAJA CALIFORNIA SUR - CUOTAS MENSUALES EN VERANO</t>
  </si>
  <si>
    <t>REGION BAJA CALIFORNIA SUR - CUOTAS MENSUALES FUERA EN VERANO</t>
  </si>
  <si>
    <t>En Verano o Fuera en Verano</t>
  </si>
  <si>
    <t>KACO_blueplanet 3.0 TL1 M2 WM OD US33</t>
  </si>
  <si>
    <t>LA PAZ, BAJA CALIFORNIA SUR</t>
  </si>
  <si>
    <t>TIJUANA, BAJA CALIFORNIA</t>
  </si>
  <si>
    <t>LORETO, BAJA CALIFORNIA SUR</t>
  </si>
  <si>
    <t>CABO SAN LUCAS, BAJA CALIFORNIA SUR</t>
  </si>
  <si>
    <t>Avg</t>
  </si>
  <si>
    <t>COMONDÚ, BAJA CALIFORNIA SUR</t>
  </si>
  <si>
    <t>west coast</t>
  </si>
  <si>
    <t>southern tip</t>
  </si>
  <si>
    <t>east coast</t>
  </si>
  <si>
    <t>inland</t>
  </si>
  <si>
    <t>SAN IGNACIO, BAJA CALIFORNIA</t>
  </si>
  <si>
    <t>From CFE Web Site re Baja:  The period of application of the summer quotas comprises the 6 warmest months of the year, according to the observations of the thermometric stations that govern in each locality. The remaining 6 months apply for Out-of-Summer fees</t>
  </si>
  <si>
    <t>The analysis below (data from weatherbase.com) suggests that the warmest six months are May - October for a handful of cities around Baja, so using that algo</t>
  </si>
  <si>
    <t>Rankings</t>
  </si>
  <si>
    <t>Tilt</t>
  </si>
  <si>
    <t>Azimuth</t>
  </si>
  <si>
    <t>Monterrey</t>
  </si>
  <si>
    <t>Tepic (PV)</t>
  </si>
  <si>
    <t>Tijuana</t>
  </si>
  <si>
    <t>Guadalajara</t>
  </si>
  <si>
    <t>key</t>
  </si>
  <si>
    <t>City for Sun Hours</t>
  </si>
  <si>
    <t>Irradiance Cities</t>
  </si>
  <si>
    <t>Azimuth of PV Panels</t>
  </si>
  <si>
    <t>KACO_blueplanet 4.0 TL1 M2 WM OD US33</t>
  </si>
  <si>
    <t>MySOL Service Plan Summary</t>
  </si>
  <si>
    <t>MySOL Plan de Servicio</t>
  </si>
  <si>
    <t>O&amp;M Expenses</t>
  </si>
  <si>
    <t>MySOL Equity FCF (before O&amp;M)</t>
  </si>
  <si>
    <t>MySOL Equity FCF (after O&amp;M)</t>
  </si>
  <si>
    <t>MySOL O&amp;M Cost (Expected)</t>
  </si>
  <si>
    <t>MySOL O&amp;M Revenue (rec'd from Fund)</t>
  </si>
  <si>
    <t>MySOL Equity ROI (before O&amp;M)</t>
  </si>
  <si>
    <t>MySOL Equity ROI (after O&amp;M)</t>
  </si>
  <si>
    <t>Irradiance Key</t>
  </si>
  <si>
    <t>Irradiance Key Row</t>
  </si>
  <si>
    <t>Purchase from CFE</t>
  </si>
  <si>
    <t>Usage</t>
  </si>
  <si>
    <t>System Production</t>
  </si>
  <si>
    <t>Month Abbreviations</t>
  </si>
  <si>
    <t>APS_Micro Inversor APS YC500 Dual</t>
  </si>
  <si>
    <t>Enphase_M250</t>
  </si>
  <si>
    <t>ABB_UNO-2.0-I-OUTD-S-US</t>
  </si>
  <si>
    <t>ABB_UNO-2.5-I-OUTD-S-US</t>
  </si>
  <si>
    <t>ABB_PVI-3.0-OUTD-S-US</t>
  </si>
  <si>
    <t>ABB_PVI-3.6-OUTD-S-US</t>
  </si>
  <si>
    <t>ABB_PVI-3.8-OUTD-S-US</t>
  </si>
  <si>
    <t>ABB_PVI-4.2-OUTD-S-US</t>
  </si>
  <si>
    <t>ABB_PVI-5000-OUTD-S-US</t>
  </si>
  <si>
    <t>ABB_PVI-6000-OUTD-S-US</t>
  </si>
  <si>
    <t>Fronius_Galvo 1.5</t>
  </si>
  <si>
    <t>Fronius_Galvo 2.0</t>
  </si>
  <si>
    <t>Fronius_Galvo 2.5</t>
  </si>
  <si>
    <t>Fronius_Galvo 3.1</t>
  </si>
  <si>
    <t xml:space="preserve">Fronius_Primo 3.8-1 </t>
  </si>
  <si>
    <t>Fronius_Primo 5.0-1</t>
  </si>
  <si>
    <t>Fronius_Primo 6.0-1</t>
  </si>
  <si>
    <t>Fronius_Primo 7.6-1</t>
  </si>
  <si>
    <t>Fronius_Primo 8.2-1</t>
  </si>
  <si>
    <t>Fronius_Primo 10.0-1</t>
  </si>
  <si>
    <t>Fronius_Primo 11.4-1</t>
  </si>
  <si>
    <t>Fronius_Primo 12.5-1</t>
  </si>
  <si>
    <t>Fronius_Primo 15.0-1</t>
  </si>
  <si>
    <t>Ingeteam_Inge 1Play 2.5TLM-DCSW</t>
  </si>
  <si>
    <t>Ingeteam_Inge 1Play 3TLM-DCSW</t>
  </si>
  <si>
    <t>Ingeteam_Inge 1Play 3.3TLM-DCSW</t>
  </si>
  <si>
    <t>Ingeteam_Inge 1Play 3.68 TLM-DCSW</t>
  </si>
  <si>
    <t>Ingeteam_Inge 1Play 4.6TLM-DCSW</t>
  </si>
  <si>
    <t>Ingeteam_Inge 1Play 5TLM-DCSW</t>
  </si>
  <si>
    <t>Ingeteam_Inge 1Play 6TLM-DCSW</t>
  </si>
  <si>
    <t>KACO_blueplanet 2.0 TL1 M2 WM OD US33</t>
  </si>
  <si>
    <t>KACO_blueplanet 5.0 TL1 M2 WM OD US33</t>
  </si>
  <si>
    <t>SMA_Sunny Boy SB1.5</t>
  </si>
  <si>
    <t>SMA_Sunny Boy SB2.5</t>
  </si>
  <si>
    <t>SMA_SB3.0-1SP-US-40</t>
  </si>
  <si>
    <t>SMA_SB3.8-1SP-US-40</t>
  </si>
  <si>
    <t>SMA_SB5.0-1SP-US-40</t>
  </si>
  <si>
    <t>SMA_SB6.0-1SP-US-40</t>
  </si>
  <si>
    <t>SMA_SB7.0-1SP-US-40</t>
  </si>
  <si>
    <t>ABB_PVI-10.0-OUTD-S1-US 480-NG</t>
  </si>
  <si>
    <t>ABB_TRIO-20.0-TL-OUTD-S-US 480</t>
  </si>
  <si>
    <t>ABB_TRIO-27.6-TL-OUTD-S-US 480</t>
  </si>
  <si>
    <t>Fronius_Symo 10.0-3 208/240v</t>
  </si>
  <si>
    <t>Fronius_Symo 12.0-3 208/240v</t>
  </si>
  <si>
    <t>Fronius_Symo 15.0-3 208/240v</t>
  </si>
  <si>
    <t>Fronius_Symo 10.0-3 480v</t>
  </si>
  <si>
    <t>Fronius_Symo 12.5-3 480v</t>
  </si>
  <si>
    <t>Fronius_Symo 15.0-3 480v</t>
  </si>
  <si>
    <t>Fronius_Symo 17.5-3 480v</t>
  </si>
  <si>
    <t>Fronius_Symo 20.0-3 480v</t>
  </si>
  <si>
    <t>Fronius_Symo 22.7-3 480v</t>
  </si>
  <si>
    <t>Fronius_Symo 24.0-3 480v</t>
  </si>
  <si>
    <t>Ingeteam_Sun 15 TL M (S)</t>
  </si>
  <si>
    <t>Ingeteam_Sun 15 TL M (P+)</t>
  </si>
  <si>
    <t>Ingeteam_Sun 20 TL M (S)</t>
  </si>
  <si>
    <t>Ingeteam_Sun 20 TL M (P+)</t>
  </si>
  <si>
    <t>Ingeteam_Sun 24 TL M (P+)</t>
  </si>
  <si>
    <t>Ingeteam_Sun 33 TL M (P+)</t>
  </si>
  <si>
    <t>Ingeteam_Sun 40 TL M (P+)</t>
  </si>
  <si>
    <t>KACO_Powador 48.0 TL3 M</t>
  </si>
  <si>
    <t>KACO_Powador 48.0 TL3 SPD 1+2</t>
  </si>
  <si>
    <t xml:space="preserve">KACO_blueplanet 50.0 TL3 XL </t>
  </si>
  <si>
    <t>SMA_STP 10000TL-US-10</t>
  </si>
  <si>
    <t>SMA_STP 12000TL-US-10</t>
  </si>
  <si>
    <t>SMA_STP 15000TL-US-10</t>
  </si>
  <si>
    <t>SMA_STP 20000TL-US-10</t>
  </si>
  <si>
    <t>SMA_STP 30000TL-US-10</t>
  </si>
  <si>
    <t>SMA_STP 50000TL-US-10</t>
  </si>
  <si>
    <t>STP 10000TL-US-10</t>
  </si>
  <si>
    <t>DC Disconnect AFCI</t>
  </si>
  <si>
    <t>Colonia</t>
  </si>
  <si>
    <t>Mo Usage kWh</t>
  </si>
  <si>
    <t>Mo Total MXN</t>
  </si>
  <si>
    <t>Optimal Summer</t>
  </si>
  <si>
    <t>Savings Rate (Min)</t>
  </si>
  <si>
    <t>Savings Rate (Max)</t>
  </si>
  <si>
    <t>Savings Rate (Increment)</t>
  </si>
  <si>
    <t>CFE Region</t>
  </si>
  <si>
    <t>CFE Rate (MXN/kWh)</t>
  </si>
  <si>
    <t>CFE Cargo Fijo (MXN)</t>
  </si>
  <si>
    <t>Promedio de 12 Meses</t>
  </si>
  <si>
    <t>Preferred</t>
  </si>
  <si>
    <t>Status Quo</t>
  </si>
  <si>
    <t>Scenario Parameters</t>
  </si>
  <si>
    <t>Bolsa de Energía</t>
  </si>
  <si>
    <t>Net Usage</t>
  </si>
  <si>
    <t>Savings vs Cash (Today's Dollars)</t>
  </si>
  <si>
    <t>Buyout Analysis</t>
  </si>
  <si>
    <t>MySOL Monthly Analysis in Year 1</t>
  </si>
  <si>
    <t>TOTALS</t>
  </si>
  <si>
    <t>MySOL Service Plan vs Cash Purchase Analysis</t>
  </si>
  <si>
    <t>Usage (kWh)</t>
  </si>
  <si>
    <t>Include O&amp;M After Term Upfront?</t>
  </si>
  <si>
    <t>False</t>
  </si>
  <si>
    <t>Include EGauge Upfront?</t>
  </si>
  <si>
    <t>EGauge Paid Upfront</t>
  </si>
  <si>
    <t>EGauge Remainder to add to Year 2</t>
  </si>
  <si>
    <t>after EGauge</t>
  </si>
  <si>
    <t>Nominal Payment @ Term End (MXN)</t>
  </si>
  <si>
    <t>Total Payment @ Term End (MXN)</t>
  </si>
  <si>
    <t>TIGO_CCA-PS-INT</t>
  </si>
  <si>
    <t>Promedio Ponderado</t>
  </si>
  <si>
    <t>Cancun</t>
  </si>
  <si>
    <t>Leon</t>
  </si>
  <si>
    <t>Mazatlan</t>
  </si>
  <si>
    <t>Merida</t>
  </si>
  <si>
    <t>Queretaro</t>
  </si>
  <si>
    <t>San Luis Potosi</t>
  </si>
  <si>
    <t>Optimal Year Round</t>
  </si>
  <si>
    <t>Flat Surface</t>
  </si>
  <si>
    <t>Customer Monthly Usage --&gt;</t>
  </si>
  <si>
    <t>Tilt Angle of PV Panels</t>
  </si>
  <si>
    <t>Tilt Goal of PV Panels</t>
  </si>
  <si>
    <t>Promedio</t>
  </si>
  <si>
    <t>Value of Bolsa de Energia --&gt;</t>
  </si>
  <si>
    <t>Mexicali</t>
  </si>
  <si>
    <t>Miguel Hidalgo</t>
  </si>
  <si>
    <t>Morelia</t>
  </si>
  <si>
    <t>Naulcapan de Juarez</t>
  </si>
  <si>
    <t>Nuevo Laredo</t>
  </si>
  <si>
    <t>Oaxaca de Juarez</t>
  </si>
  <si>
    <t>Pachuca de Soto</t>
  </si>
  <si>
    <t>Puebla de Zaragoza</t>
  </si>
  <si>
    <t>Reynosa</t>
  </si>
  <si>
    <t>Saltillo</t>
  </si>
  <si>
    <t>San Nicolas de los Garza</t>
  </si>
  <si>
    <t>Santa Catarina</t>
  </si>
  <si>
    <t>Tilt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</si>
</sst>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$-409]#,##0.00;[Red]\-[$$-409]#,##0.00"/>
    <numFmt numFmtId="166" formatCode="_(\$* #,##0.00_);_(\$* \(#,##0.00\);_(\$* \-??_);_(@_)"/>
    <numFmt numFmtId="167" formatCode="[$$-409]#,##0;[Red]\-[$$-409]#,##0"/>
    <numFmt numFmtId="168" formatCode="0.0"/>
    <numFmt numFmtId="169" formatCode="_(\$* #,##0_);_(\$* \(#,##0\);_(\$* \-??_);_(@_)"/>
    <numFmt numFmtId="170" formatCode="_-* #,##0.00_-;\-* #,##0.00_-;_-* \-??_-;_-@_-"/>
    <numFmt numFmtId="171" formatCode="_-* #,##0_-;\-* #,##0_-;_-* \-??_-;_-@_-"/>
    <numFmt numFmtId="172" formatCode="\$#,##0"/>
    <numFmt numFmtId="173" formatCode="\$#,##0_);&quot;($&quot;#,##0\);&quot;-- &quot;"/>
    <numFmt numFmtId="174" formatCode="\$#,##0_);&quot;($&quot;#,##0\)"/>
    <numFmt numFmtId="175" formatCode="\$#,##0.0_);&quot;($&quot;#,##0.0\);&quot;-- &quot;"/>
    <numFmt numFmtId="176" formatCode="mm/dd/yy"/>
    <numFmt numFmtId="177" formatCode="_(* #,##0_);_(* \(#,##0\);_(* &quot;-&quot;??_);_(@_)"/>
    <numFmt numFmtId="178" formatCode="_(* #,##0.00_);[Red]_(* \-#,##0.00_);_(* &quot;-&quot;??_);_(@_)"/>
    <numFmt numFmtId="179" formatCode="_(* #,##0_);[Red]_(* \-#,##0_);_(* &quot;-&quot;??_);_(@_)"/>
    <numFmt numFmtId="180" formatCode="_(* #,##0.0000_);[Red]_(* \-#,##0.0000_);_(* &quot;-&quot;??_);_(@_)"/>
    <numFmt numFmtId="181" formatCode="[$$-409]#,##0.00;[Red][$$-409]#,##0.00"/>
    <numFmt numFmtId="182" formatCode="_(* #,##0_);[Red]_(* \-#,##0_);_(* &quot;-&quot;_);_(@_)"/>
    <numFmt numFmtId="183" formatCode="_(&quot;$&quot;* #,##0.0000_);_(&quot;$&quot;* \(#,##0.0000\);_(&quot;$&quot;* &quot;-&quot;????_);_(@_)"/>
    <numFmt numFmtId="184" formatCode="_(\$* #,##0_);_(\$* \(#,##0\);_(\$* \-_);_(@_)"/>
    <numFmt numFmtId="185" formatCode="#,##0.0;[Red]\-#,##0.0"/>
    <numFmt numFmtId="186" formatCode="dd/mm/yyyy;@"/>
    <numFmt numFmtId="187" formatCode="_(\$* #,##0.0000_);_(\$* \(#,##0.0000\);_(\$* \-??_);_(@_)"/>
    <numFmt numFmtId="188" formatCode="[$$-409]#,##0_);\([$$-409]#,##0\)"/>
    <numFmt numFmtId="189" formatCode="0.00%;[Red]\-0.00%"/>
    <numFmt numFmtId="190" formatCode="0%;[Red]\-0%"/>
    <numFmt numFmtId="191" formatCode="_(* #,##0.0_);[Red]_(* \-#,##0.0_);_(* &quot;-&quot;?_);_(@_)"/>
    <numFmt numFmtId="192" formatCode="_(* #,##0.0000_);[Red]_(* \-#,##0.0000_);_(* &quot;-&quot;????_);_(@_)"/>
    <numFmt numFmtId="193" formatCode="0.0%;[Red]\-0.0%"/>
    <numFmt numFmtId="194" formatCode="_(* #,##0_);[Red]_(* \-#,##0_);_(* &quot;&quot;\ \-\ &quot;&quot;_);_(@_)"/>
    <numFmt numFmtId="195" formatCode="_(* #,##0.00_);[Red]_(* \-#,##0.00_);_(* &quot;-&quot;_);_(@_)"/>
    <numFmt numFmtId="196" formatCode="_(* #,##0_);[Red]_(* \-#,##0_);_(* &quot;-&quot;????_);_(@_)"/>
    <numFmt numFmtId="197" formatCode="_(* #,##0_);[Red]_(* \-#,##0_);_(* 0_);_(@_)"/>
    <numFmt numFmtId="198" formatCode="_(* #,##0.0000_);[Red]_(* \-#,##0.0000_);_(* 0_);_(@_)"/>
  </numFmts>
  <fonts count="52" x14ac:knownFonts="1">
    <font>
      <sz val="10"/>
      <name val="Arial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indexed="8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6"/>
      <name val="Arial"/>
      <family val="2"/>
    </font>
    <font>
      <b/>
      <sz val="13"/>
      <color indexed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7.5"/>
      <color indexed="63"/>
      <name val="TradeGothicLTStd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color indexed="9"/>
      <name val="Arial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vertAlign val="superscript"/>
      <sz val="8"/>
      <name val="Verdana"/>
      <family val="2"/>
    </font>
    <font>
      <sz val="8"/>
      <color rgb="FF0000FF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8"/>
      <color theme="10"/>
      <name val="Verdana"/>
      <family val="2"/>
    </font>
    <font>
      <b/>
      <sz val="10"/>
      <color rgb="FF000000"/>
      <name val="Arial"/>
      <family val="2"/>
    </font>
    <font>
      <b/>
      <u/>
      <sz val="10"/>
      <name val="Arial"/>
      <family val="2"/>
    </font>
    <font>
      <sz val="10"/>
      <name val="Book Antiqua"/>
      <family val="1"/>
    </font>
    <font>
      <b/>
      <sz val="28"/>
      <name val="Arial Narrow"/>
      <family val="2"/>
    </font>
    <font>
      <sz val="8"/>
      <name val="Arial"/>
      <family val="2"/>
    </font>
    <font>
      <sz val="9"/>
      <name val="Arial"/>
      <family val="2"/>
    </font>
    <font>
      <b/>
      <sz val="8"/>
      <color rgb="FFFF0000"/>
      <name val="Verdana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sz val="8"/>
      <color rgb="FFC0C0C0"/>
      <name val="Verdana"/>
      <family val="2"/>
    </font>
    <font>
      <sz val="14"/>
      <name val="Arial"/>
      <family val="2"/>
    </font>
    <font>
      <b/>
      <sz val="11"/>
      <color indexed="9"/>
      <name val="Arial"/>
      <family val="2"/>
    </font>
    <font>
      <b/>
      <sz val="8"/>
      <color theme="0"/>
      <name val="Verdana"/>
      <family val="2"/>
    </font>
    <font>
      <b/>
      <sz val="14"/>
      <name val="Verdana"/>
      <family val="2"/>
    </font>
    <font>
      <b/>
      <sz val="10"/>
      <color theme="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17"/>
        <bgColor indexed="21"/>
      </patternFill>
    </fill>
    <fill>
      <patternFill patternType="solid">
        <fgColor indexed="4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DCE6F1"/>
        <bgColor indexed="64"/>
      </patternFill>
    </fill>
  </fills>
  <borders count="108">
    <border>
      <left/>
      <right/>
      <top/>
      <bottom/>
      <diagonal/>
    </border>
    <border>
      <left/>
      <right/>
      <top/>
      <bottom style="hair">
        <color indexed="8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medium">
        <color rgb="FF0000FF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rgb="FF0000FF"/>
      </bottom>
      <diagonal/>
    </border>
    <border>
      <left/>
      <right/>
      <top style="medium">
        <color auto="1"/>
      </top>
      <bottom style="medium">
        <color rgb="FF0000FF"/>
      </bottom>
      <diagonal/>
    </border>
    <border>
      <left/>
      <right style="medium">
        <color auto="1"/>
      </right>
      <top style="medium">
        <color auto="1"/>
      </top>
      <bottom style="medium">
        <color rgb="FF0000FF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auto="1"/>
      </right>
      <top style="medium">
        <color rgb="FF0000FF"/>
      </top>
      <bottom style="medium">
        <color rgb="FF0000FF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7">
    <xf numFmtId="0" fontId="0" fillId="0" borderId="0"/>
    <xf numFmtId="170" fontId="8" fillId="0" borderId="0"/>
    <xf numFmtId="166" fontId="10" fillId="0" borderId="0"/>
    <xf numFmtId="0" fontId="8" fillId="0" borderId="0"/>
    <xf numFmtId="0" fontId="10" fillId="0" borderId="0"/>
    <xf numFmtId="9" fontId="10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5" fillId="0" borderId="0"/>
    <xf numFmtId="0" fontId="8" fillId="0" borderId="0"/>
    <xf numFmtId="0" fontId="8" fillId="0" borderId="0"/>
    <xf numFmtId="0" fontId="23" fillId="0" borderId="0" applyNumberFormat="0" applyFill="0" applyBorder="0" applyAlignment="0" applyProtection="0"/>
    <xf numFmtId="0" fontId="7" fillId="0" borderId="0"/>
    <xf numFmtId="0" fontId="39" fillId="0" borderId="0"/>
    <xf numFmtId="0" fontId="6" fillId="0" borderId="0"/>
  </cellStyleXfs>
  <cellXfs count="760">
    <xf numFmtId="0" fontId="0" fillId="0" borderId="0" xfId="0"/>
    <xf numFmtId="0" fontId="8" fillId="0" borderId="0" xfId="3" applyFont="1"/>
    <xf numFmtId="0" fontId="9" fillId="0" borderId="0" xfId="3" applyFont="1"/>
    <xf numFmtId="0" fontId="8" fillId="0" borderId="0" xfId="3"/>
    <xf numFmtId="0" fontId="11" fillId="0" borderId="0" xfId="3" applyFont="1" applyFill="1"/>
    <xf numFmtId="0" fontId="12" fillId="0" borderId="0" xfId="3" applyFont="1"/>
    <xf numFmtId="0" fontId="13" fillId="0" borderId="0" xfId="3" applyFont="1"/>
    <xf numFmtId="0" fontId="14" fillId="0" borderId="0" xfId="3" applyFont="1"/>
    <xf numFmtId="0" fontId="16" fillId="0" borderId="0" xfId="3" applyFont="1"/>
    <xf numFmtId="2" fontId="8" fillId="0" borderId="0" xfId="3" applyNumberFormat="1" applyAlignment="1">
      <alignment horizontal="left"/>
    </xf>
    <xf numFmtId="0" fontId="18" fillId="0" borderId="0" xfId="3" applyFont="1" applyBorder="1" applyAlignment="1">
      <alignment vertical="center"/>
    </xf>
    <xf numFmtId="0" fontId="19" fillId="0" borderId="0" xfId="3" applyFont="1"/>
    <xf numFmtId="174" fontId="18" fillId="3" borderId="0" xfId="2" applyNumberFormat="1" applyFont="1" applyFill="1" applyBorder="1" applyAlignment="1" applyProtection="1">
      <alignment horizontal="left" vertical="center"/>
    </xf>
    <xf numFmtId="173" fontId="18" fillId="3" borderId="0" xfId="2" applyNumberFormat="1" applyFont="1" applyFill="1" applyBorder="1" applyAlignment="1" applyProtection="1">
      <alignment horizontal="left" vertical="center"/>
    </xf>
    <xf numFmtId="164" fontId="18" fillId="3" borderId="0" xfId="2" applyNumberFormat="1" applyFont="1" applyFill="1" applyBorder="1" applyAlignment="1" applyProtection="1">
      <alignment horizontal="left" vertical="center"/>
    </xf>
    <xf numFmtId="0" fontId="18" fillId="3" borderId="0" xfId="2" applyNumberFormat="1" applyFont="1" applyFill="1" applyBorder="1" applyAlignment="1" applyProtection="1">
      <alignment horizontal="left" vertical="center"/>
    </xf>
    <xf numFmtId="0" fontId="22" fillId="0" borderId="0" xfId="3" applyFont="1"/>
    <xf numFmtId="175" fontId="18" fillId="3" borderId="0" xfId="2" applyNumberFormat="1" applyFont="1" applyFill="1" applyBorder="1" applyAlignment="1" applyProtection="1">
      <alignment horizontal="left" vertical="center"/>
    </xf>
    <xf numFmtId="0" fontId="20" fillId="0" borderId="1" xfId="3" applyFont="1" applyBorder="1"/>
    <xf numFmtId="0" fontId="14" fillId="0" borderId="1" xfId="3" applyFont="1" applyBorder="1"/>
    <xf numFmtId="0" fontId="20" fillId="0" borderId="1" xfId="3" applyFont="1" applyBorder="1" applyAlignment="1">
      <alignment horizontal="right"/>
    </xf>
    <xf numFmtId="0" fontId="20" fillId="0" borderId="0" xfId="3" applyFont="1"/>
    <xf numFmtId="0" fontId="14" fillId="0" borderId="0" xfId="3" applyFont="1" applyAlignment="1">
      <alignment horizontal="left" indent="1"/>
    </xf>
    <xf numFmtId="167" fontId="20" fillId="0" borderId="0" xfId="3" applyNumberFormat="1" applyFont="1"/>
    <xf numFmtId="164" fontId="9" fillId="0" borderId="0" xfId="3" applyNumberFormat="1" applyFont="1"/>
    <xf numFmtId="9" fontId="21" fillId="0" borderId="0" xfId="5" applyNumberFormat="1" applyFont="1" applyAlignment="1">
      <alignment horizontal="left"/>
    </xf>
    <xf numFmtId="0" fontId="27" fillId="0" borderId="0" xfId="0" applyFont="1"/>
    <xf numFmtId="166" fontId="26" fillId="5" borderId="0" xfId="2" applyFont="1" applyFill="1" applyAlignment="1">
      <alignment horizontal="center"/>
    </xf>
    <xf numFmtId="0" fontId="26" fillId="5" borderId="0" xfId="0" applyFont="1" applyFill="1"/>
    <xf numFmtId="166" fontId="27" fillId="0" borderId="0" xfId="2" applyFont="1" applyAlignment="1">
      <alignment horizontal="center"/>
    </xf>
    <xf numFmtId="44" fontId="27" fillId="0" borderId="0" xfId="0" applyNumberFormat="1" applyFont="1"/>
    <xf numFmtId="0" fontId="28" fillId="5" borderId="0" xfId="0" applyFont="1" applyFill="1"/>
    <xf numFmtId="0" fontId="27" fillId="0" borderId="2" xfId="0" applyFont="1" applyBorder="1"/>
    <xf numFmtId="10" fontId="27" fillId="0" borderId="0" xfId="0" applyNumberFormat="1" applyFont="1"/>
    <xf numFmtId="0" fontId="29" fillId="0" borderId="0" xfId="4" applyFont="1" applyAlignment="1">
      <alignment horizontal="center" wrapText="1"/>
    </xf>
    <xf numFmtId="0" fontId="29" fillId="0" borderId="0" xfId="4" applyFont="1" applyAlignment="1">
      <alignment horizontal="center"/>
    </xf>
    <xf numFmtId="0" fontId="30" fillId="0" borderId="0" xfId="4" applyFont="1"/>
    <xf numFmtId="168" fontId="30" fillId="0" borderId="0" xfId="4" applyNumberFormat="1" applyFont="1" applyAlignment="1">
      <alignment horizontal="center"/>
    </xf>
    <xf numFmtId="0" fontId="27" fillId="0" borderId="0" xfId="3" applyFont="1"/>
    <xf numFmtId="0" fontId="30" fillId="0" borderId="0" xfId="4" applyFont="1" applyFill="1"/>
    <xf numFmtId="0" fontId="27" fillId="0" borderId="0" xfId="3" applyFont="1" applyAlignment="1">
      <alignment horizontal="right"/>
    </xf>
    <xf numFmtId="164" fontId="27" fillId="0" borderId="0" xfId="3" applyNumberFormat="1" applyFont="1"/>
    <xf numFmtId="0" fontId="30" fillId="0" borderId="0" xfId="4" applyFont="1" applyBorder="1"/>
    <xf numFmtId="0" fontId="27" fillId="0" borderId="12" xfId="3" applyFont="1" applyBorder="1"/>
    <xf numFmtId="0" fontId="27" fillId="0" borderId="0" xfId="3" applyFont="1" applyBorder="1"/>
    <xf numFmtId="165" fontId="27" fillId="0" borderId="0" xfId="3" applyNumberFormat="1" applyFont="1" applyBorder="1" applyAlignment="1">
      <alignment horizontal="right"/>
    </xf>
    <xf numFmtId="165" fontId="27" fillId="0" borderId="0" xfId="3" applyNumberFormat="1" applyFont="1" applyAlignment="1">
      <alignment horizontal="right"/>
    </xf>
    <xf numFmtId="164" fontId="27" fillId="0" borderId="0" xfId="3" applyNumberFormat="1" applyFont="1" applyAlignment="1">
      <alignment horizontal="center"/>
    </xf>
    <xf numFmtId="0" fontId="28" fillId="0" borderId="0" xfId="3" applyFont="1"/>
    <xf numFmtId="165" fontId="27" fillId="0" borderId="0" xfId="3" applyNumberFormat="1" applyFont="1" applyFill="1" applyAlignment="1">
      <alignment horizontal="right"/>
    </xf>
    <xf numFmtId="171" fontId="27" fillId="0" borderId="0" xfId="1" applyNumberFormat="1" applyFont="1" applyFill="1"/>
    <xf numFmtId="1" fontId="27" fillId="0" borderId="0" xfId="3" applyNumberFormat="1" applyFont="1" applyFill="1"/>
    <xf numFmtId="0" fontId="27" fillId="0" borderId="2" xfId="3" applyFont="1" applyBorder="1"/>
    <xf numFmtId="169" fontId="30" fillId="0" borderId="2" xfId="2" applyNumberFormat="1" applyFont="1" applyBorder="1"/>
    <xf numFmtId="164" fontId="27" fillId="0" borderId="0" xfId="3" applyNumberFormat="1" applyFont="1" applyFill="1"/>
    <xf numFmtId="169" fontId="30" fillId="0" borderId="0" xfId="2" applyNumberFormat="1" applyFont="1" applyFill="1"/>
    <xf numFmtId="165" fontId="27" fillId="0" borderId="2" xfId="3" applyNumberFormat="1" applyFont="1" applyBorder="1" applyAlignment="1">
      <alignment horizontal="right"/>
    </xf>
    <xf numFmtId="169" fontId="30" fillId="0" borderId="2" xfId="2" applyNumberFormat="1" applyFont="1" applyFill="1" applyBorder="1"/>
    <xf numFmtId="165" fontId="28" fillId="0" borderId="0" xfId="3" applyNumberFormat="1" applyFont="1" applyAlignment="1">
      <alignment horizontal="right"/>
    </xf>
    <xf numFmtId="164" fontId="28" fillId="0" borderId="0" xfId="3" applyNumberFormat="1" applyFont="1"/>
    <xf numFmtId="0" fontId="27" fillId="0" borderId="0" xfId="3" applyNumberFormat="1" applyFont="1"/>
    <xf numFmtId="164" fontId="27" fillId="0" borderId="2" xfId="3" applyNumberFormat="1" applyFont="1" applyBorder="1"/>
    <xf numFmtId="164" fontId="28" fillId="0" borderId="0" xfId="3" applyNumberFormat="1" applyFont="1" applyAlignment="1">
      <alignment horizontal="right"/>
    </xf>
    <xf numFmtId="169" fontId="29" fillId="0" borderId="0" xfId="2" applyNumberFormat="1" applyFont="1"/>
    <xf numFmtId="43" fontId="27" fillId="0" borderId="0" xfId="0" applyNumberFormat="1" applyFont="1"/>
    <xf numFmtId="167" fontId="14" fillId="0" borderId="0" xfId="3" applyNumberFormat="1" applyFont="1"/>
    <xf numFmtId="0" fontId="14" fillId="0" borderId="1" xfId="3" applyFont="1" applyBorder="1" applyAlignment="1">
      <alignment horizontal="center"/>
    </xf>
    <xf numFmtId="167" fontId="14" fillId="0" borderId="1" xfId="3" applyNumberFormat="1" applyFont="1" applyBorder="1"/>
    <xf numFmtId="0" fontId="27" fillId="0" borderId="0" xfId="0" applyFont="1"/>
    <xf numFmtId="178" fontId="27" fillId="0" borderId="0" xfId="0" applyNumberFormat="1" applyFont="1"/>
    <xf numFmtId="0" fontId="30" fillId="0" borderId="0" xfId="4" applyFont="1"/>
    <xf numFmtId="168" fontId="30" fillId="0" borderId="0" xfId="4" applyNumberFormat="1" applyFont="1" applyAlignment="1">
      <alignment horizontal="center"/>
    </xf>
    <xf numFmtId="0" fontId="27" fillId="0" borderId="0" xfId="3" applyFont="1"/>
    <xf numFmtId="0" fontId="30" fillId="0" borderId="0" xfId="4" applyFont="1" applyFill="1"/>
    <xf numFmtId="165" fontId="27" fillId="0" borderId="0" xfId="3" applyNumberFormat="1" applyFont="1"/>
    <xf numFmtId="169" fontId="30" fillId="0" borderId="0" xfId="2" applyNumberFormat="1" applyFont="1"/>
    <xf numFmtId="177" fontId="27" fillId="0" borderId="0" xfId="3" applyNumberFormat="1" applyFont="1" applyFill="1" applyAlignment="1">
      <alignment horizontal="right"/>
    </xf>
    <xf numFmtId="169" fontId="30" fillId="0" borderId="0" xfId="2" applyNumberFormat="1" applyFont="1" applyBorder="1"/>
    <xf numFmtId="0" fontId="27" fillId="0" borderId="0" xfId="0" applyFont="1" applyBorder="1"/>
    <xf numFmtId="0" fontId="27" fillId="0" borderId="11" xfId="0" applyFont="1" applyBorder="1"/>
    <xf numFmtId="0" fontId="27" fillId="0" borderId="17" xfId="0" applyFont="1" applyBorder="1"/>
    <xf numFmtId="0" fontId="28" fillId="0" borderId="22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7" fillId="0" borderId="12" xfId="0" applyFont="1" applyBorder="1"/>
    <xf numFmtId="180" fontId="27" fillId="0" borderId="11" xfId="0" applyNumberFormat="1" applyFont="1" applyBorder="1"/>
    <xf numFmtId="179" fontId="27" fillId="0" borderId="11" xfId="0" applyNumberFormat="1" applyFont="1" applyFill="1" applyBorder="1"/>
    <xf numFmtId="178" fontId="27" fillId="0" borderId="11" xfId="0" applyNumberFormat="1" applyFont="1" applyBorder="1"/>
    <xf numFmtId="0" fontId="27" fillId="0" borderId="16" xfId="0" applyFont="1" applyBorder="1"/>
    <xf numFmtId="0" fontId="28" fillId="0" borderId="0" xfId="3" applyFont="1" applyAlignment="1">
      <alignment horizontal="right"/>
    </xf>
    <xf numFmtId="164" fontId="30" fillId="0" borderId="0" xfId="5" applyNumberFormat="1" applyFont="1" applyBorder="1"/>
    <xf numFmtId="178" fontId="27" fillId="0" borderId="11" xfId="0" applyNumberFormat="1" applyFont="1" applyFill="1" applyBorder="1"/>
    <xf numFmtId="0" fontId="26" fillId="5" borderId="0" xfId="0" applyFont="1" applyFill="1" applyAlignment="1">
      <alignment horizontal="center"/>
    </xf>
    <xf numFmtId="0" fontId="27" fillId="0" borderId="0" xfId="0" applyNumberFormat="1" applyFont="1"/>
    <xf numFmtId="10" fontId="32" fillId="0" borderId="0" xfId="0" applyNumberFormat="1" applyFont="1" applyFill="1"/>
    <xf numFmtId="0" fontId="20" fillId="0" borderId="0" xfId="3" applyFont="1" applyFill="1"/>
    <xf numFmtId="0" fontId="14" fillId="0" borderId="0" xfId="3" applyFont="1" applyFill="1"/>
    <xf numFmtId="181" fontId="27" fillId="0" borderId="0" xfId="3" applyNumberFormat="1" applyFont="1" applyAlignment="1">
      <alignment horizontal="right"/>
    </xf>
    <xf numFmtId="10" fontId="27" fillId="0" borderId="0" xfId="3" applyNumberFormat="1" applyFont="1" applyAlignment="1">
      <alignment horizontal="right"/>
    </xf>
    <xf numFmtId="0" fontId="27" fillId="4" borderId="0" xfId="0" applyFont="1" applyFill="1" applyAlignment="1">
      <alignment horizontal="right"/>
    </xf>
    <xf numFmtId="164" fontId="27" fillId="0" borderId="0" xfId="3" applyNumberFormat="1" applyFont="1" applyBorder="1"/>
    <xf numFmtId="1" fontId="27" fillId="0" borderId="0" xfId="3" applyNumberFormat="1" applyFont="1" applyFill="1" applyBorder="1" applyAlignment="1">
      <alignment horizontal="right"/>
    </xf>
    <xf numFmtId="0" fontId="28" fillId="0" borderId="0" xfId="3" applyFont="1" applyAlignment="1"/>
    <xf numFmtId="0" fontId="36" fillId="0" borderId="0" xfId="73" applyFont="1" applyAlignment="1"/>
    <xf numFmtId="0" fontId="27" fillId="0" borderId="0" xfId="3" applyFont="1" applyAlignment="1"/>
    <xf numFmtId="0" fontId="28" fillId="0" borderId="0" xfId="3" applyFont="1" applyBorder="1" applyAlignment="1">
      <alignment wrapText="1"/>
    </xf>
    <xf numFmtId="0" fontId="28" fillId="0" borderId="0" xfId="3" applyFont="1" applyAlignment="1">
      <alignment horizontal="center" wrapText="1"/>
    </xf>
    <xf numFmtId="0" fontId="28" fillId="0" borderId="0" xfId="3" applyFont="1" applyAlignment="1">
      <alignment wrapText="1"/>
    </xf>
    <xf numFmtId="0" fontId="28" fillId="0" borderId="0" xfId="3" applyFont="1" applyAlignment="1">
      <alignment horizontal="center"/>
    </xf>
    <xf numFmtId="176" fontId="27" fillId="0" borderId="0" xfId="3" applyNumberFormat="1" applyFont="1" applyAlignment="1">
      <alignment wrapText="1"/>
    </xf>
    <xf numFmtId="0" fontId="27" fillId="0" borderId="0" xfId="3" applyFont="1" applyAlignment="1">
      <alignment wrapText="1"/>
    </xf>
    <xf numFmtId="0" fontId="28" fillId="0" borderId="0" xfId="3" applyFont="1" applyAlignment="1">
      <alignment horizontal="left"/>
    </xf>
    <xf numFmtId="0" fontId="27" fillId="0" borderId="0" xfId="0" applyFont="1" applyAlignment="1">
      <alignment wrapText="1"/>
    </xf>
    <xf numFmtId="179" fontId="27" fillId="0" borderId="11" xfId="0" applyNumberFormat="1" applyFont="1" applyBorder="1"/>
    <xf numFmtId="10" fontId="27" fillId="0" borderId="11" xfId="0" applyNumberFormat="1" applyFont="1" applyFill="1" applyBorder="1"/>
    <xf numFmtId="177" fontId="27" fillId="0" borderId="11" xfId="3" applyNumberFormat="1" applyFont="1" applyFill="1" applyBorder="1" applyAlignment="1">
      <alignment horizontal="right"/>
    </xf>
    <xf numFmtId="0" fontId="27" fillId="0" borderId="0" xfId="0" applyFont="1" applyProtection="1">
      <protection locked="0"/>
    </xf>
    <xf numFmtId="0" fontId="28" fillId="0" borderId="0" xfId="0" applyFont="1" applyProtection="1">
      <protection locked="0"/>
    </xf>
    <xf numFmtId="182" fontId="28" fillId="0" borderId="24" xfId="0" applyNumberFormat="1" applyFont="1" applyBorder="1" applyProtection="1">
      <protection locked="0"/>
    </xf>
    <xf numFmtId="182" fontId="28" fillId="0" borderId="18" xfId="0" applyNumberFormat="1" applyFont="1" applyBorder="1" applyProtection="1">
      <protection locked="0"/>
    </xf>
    <xf numFmtId="182" fontId="28" fillId="0" borderId="23" xfId="0" applyNumberFormat="1" applyFont="1" applyBorder="1" applyProtection="1">
      <protection locked="0"/>
    </xf>
    <xf numFmtId="182" fontId="32" fillId="6" borderId="0" xfId="0" applyNumberFormat="1" applyFont="1" applyFill="1" applyProtection="1">
      <protection locked="0"/>
    </xf>
    <xf numFmtId="182" fontId="27" fillId="0" borderId="0" xfId="0" applyNumberFormat="1" applyFont="1" applyBorder="1" applyProtection="1">
      <protection locked="0"/>
    </xf>
    <xf numFmtId="164" fontId="32" fillId="6" borderId="0" xfId="0" applyNumberFormat="1" applyFont="1" applyFill="1" applyProtection="1">
      <protection locked="0"/>
    </xf>
    <xf numFmtId="0" fontId="27" fillId="0" borderId="12" xfId="0" applyFont="1" applyBorder="1" applyProtection="1">
      <protection locked="0"/>
    </xf>
    <xf numFmtId="0" fontId="32" fillId="6" borderId="2" xfId="0" applyFont="1" applyFill="1" applyBorder="1" applyProtection="1">
      <protection locked="0"/>
    </xf>
    <xf numFmtId="0" fontId="32" fillId="6" borderId="11" xfId="0" applyFont="1" applyFill="1" applyBorder="1" applyProtection="1">
      <protection locked="0"/>
    </xf>
    <xf numFmtId="165" fontId="27" fillId="0" borderId="0" xfId="3" applyNumberFormat="1" applyFont="1" applyFill="1" applyAlignment="1" applyProtection="1">
      <alignment horizontal="right"/>
    </xf>
    <xf numFmtId="1" fontId="27" fillId="0" borderId="0" xfId="3" applyNumberFormat="1" applyFont="1" applyFill="1" applyBorder="1"/>
    <xf numFmtId="2" fontId="27" fillId="0" borderId="0" xfId="3" applyNumberFormat="1" applyFont="1" applyFill="1" applyBorder="1" applyAlignment="1">
      <alignment horizontal="right"/>
    </xf>
    <xf numFmtId="1" fontId="28" fillId="0" borderId="0" xfId="3" applyNumberFormat="1" applyFont="1" applyFill="1" applyBorder="1" applyAlignment="1">
      <alignment horizontal="right"/>
    </xf>
    <xf numFmtId="182" fontId="27" fillId="0" borderId="0" xfId="3" applyNumberFormat="1" applyFont="1" applyFill="1"/>
    <xf numFmtId="0" fontId="17" fillId="2" borderId="0" xfId="3" applyFont="1" applyFill="1" applyBorder="1" applyAlignment="1">
      <alignment horizontal="left" vertical="center"/>
    </xf>
    <xf numFmtId="164" fontId="27" fillId="0" borderId="0" xfId="0" applyNumberFormat="1" applyFont="1" applyBorder="1"/>
    <xf numFmtId="178" fontId="27" fillId="0" borderId="0" xfId="0" applyNumberFormat="1" applyFont="1" applyFill="1" applyBorder="1"/>
    <xf numFmtId="167" fontId="21" fillId="0" borderId="0" xfId="5" applyNumberFormat="1" applyFont="1" applyAlignment="1"/>
    <xf numFmtId="9" fontId="21" fillId="0" borderId="0" xfId="5" applyNumberFormat="1" applyFont="1" applyAlignment="1"/>
    <xf numFmtId="0" fontId="20" fillId="0" borderId="1" xfId="3" applyFont="1" applyBorder="1" applyAlignment="1">
      <alignment horizontal="center" wrapText="1"/>
    </xf>
    <xf numFmtId="181" fontId="14" fillId="0" borderId="0" xfId="3" applyNumberFormat="1" applyFont="1"/>
    <xf numFmtId="2" fontId="30" fillId="0" borderId="26" xfId="4" applyNumberFormat="1" applyFont="1" applyFill="1" applyBorder="1" applyAlignment="1"/>
    <xf numFmtId="0" fontId="27" fillId="0" borderId="0" xfId="3" applyFont="1" applyFill="1" applyAlignment="1">
      <alignment horizontal="center"/>
    </xf>
    <xf numFmtId="0" fontId="27" fillId="0" borderId="0" xfId="3" applyFont="1" applyFill="1" applyBorder="1" applyAlignment="1">
      <alignment horizontal="center"/>
    </xf>
    <xf numFmtId="3" fontId="29" fillId="0" borderId="0" xfId="4" applyNumberFormat="1" applyFont="1" applyFill="1" applyBorder="1" applyAlignment="1">
      <alignment horizontal="center"/>
    </xf>
    <xf numFmtId="3" fontId="29" fillId="0" borderId="0" xfId="4" applyNumberFormat="1" applyFont="1" applyFill="1" applyAlignment="1">
      <alignment horizontal="center"/>
    </xf>
    <xf numFmtId="0" fontId="29" fillId="0" borderId="28" xfId="4" applyFont="1" applyFill="1" applyBorder="1" applyAlignment="1">
      <alignment horizontal="center" wrapText="1"/>
    </xf>
    <xf numFmtId="0" fontId="29" fillId="0" borderId="29" xfId="4" applyFont="1" applyFill="1" applyBorder="1" applyAlignment="1">
      <alignment horizontal="center" wrapText="1"/>
    </xf>
    <xf numFmtId="0" fontId="29" fillId="0" borderId="30" xfId="4" applyFont="1" applyFill="1" applyBorder="1" applyAlignment="1">
      <alignment horizontal="center" wrapText="1"/>
    </xf>
    <xf numFmtId="0" fontId="29" fillId="0" borderId="16" xfId="4" applyFont="1" applyFill="1" applyBorder="1" applyAlignment="1">
      <alignment horizontal="center"/>
    </xf>
    <xf numFmtId="0" fontId="29" fillId="0" borderId="2" xfId="4" applyFont="1" applyFill="1" applyBorder="1" applyAlignment="1">
      <alignment horizontal="center"/>
    </xf>
    <xf numFmtId="0" fontId="29" fillId="0" borderId="17" xfId="4" applyFont="1" applyFill="1" applyBorder="1" applyAlignment="1">
      <alignment horizontal="center"/>
    </xf>
    <xf numFmtId="171" fontId="27" fillId="0" borderId="26" xfId="1" applyNumberFormat="1" applyFont="1" applyFill="1" applyBorder="1" applyAlignment="1" applyProtection="1">
      <alignment horizontal="center"/>
    </xf>
    <xf numFmtId="171" fontId="27" fillId="0" borderId="27" xfId="1" applyNumberFormat="1" applyFont="1" applyFill="1" applyBorder="1" applyAlignment="1" applyProtection="1">
      <alignment horizontal="center"/>
    </xf>
    <xf numFmtId="171" fontId="27" fillId="0" borderId="12" xfId="1" applyNumberFormat="1" applyFont="1" applyFill="1" applyBorder="1" applyAlignment="1" applyProtection="1">
      <alignment horizontal="center"/>
    </xf>
    <xf numFmtId="171" fontId="27" fillId="0" borderId="11" xfId="1" applyNumberFormat="1" applyFont="1" applyFill="1" applyBorder="1" applyAlignment="1" applyProtection="1">
      <alignment horizontal="center"/>
    </xf>
    <xf numFmtId="171" fontId="27" fillId="0" borderId="16" xfId="1" applyNumberFormat="1" applyFont="1" applyFill="1" applyBorder="1" applyAlignment="1" applyProtection="1">
      <alignment horizontal="center"/>
    </xf>
    <xf numFmtId="171" fontId="27" fillId="0" borderId="17" xfId="1" applyNumberFormat="1" applyFont="1" applyFill="1" applyBorder="1" applyAlignment="1" applyProtection="1">
      <alignment horizontal="center"/>
    </xf>
    <xf numFmtId="3" fontId="30" fillId="0" borderId="0" xfId="4" applyNumberFormat="1" applyFont="1" applyFill="1" applyBorder="1" applyAlignment="1">
      <alignment horizontal="center"/>
    </xf>
    <xf numFmtId="177" fontId="27" fillId="0" borderId="0" xfId="3" applyNumberFormat="1" applyFont="1" applyFill="1" applyBorder="1" applyAlignment="1" applyProtection="1">
      <alignment horizontal="right"/>
    </xf>
    <xf numFmtId="179" fontId="27" fillId="0" borderId="0" xfId="0" applyNumberFormat="1" applyFont="1" applyBorder="1" applyProtection="1"/>
    <xf numFmtId="164" fontId="27" fillId="0" borderId="0" xfId="0" applyNumberFormat="1" applyFont="1" applyBorder="1" applyProtection="1"/>
    <xf numFmtId="0" fontId="28" fillId="7" borderId="31" xfId="0" applyFont="1" applyFill="1" applyBorder="1" applyAlignment="1" applyProtection="1">
      <alignment horizontal="center"/>
      <protection locked="0"/>
    </xf>
    <xf numFmtId="0" fontId="30" fillId="0" borderId="0" xfId="4" applyFont="1" applyFill="1" applyBorder="1" applyAlignment="1">
      <alignment horizontal="center" wrapText="1"/>
    </xf>
    <xf numFmtId="0" fontId="30" fillId="0" borderId="12" xfId="4" applyFont="1" applyFill="1" applyBorder="1" applyAlignment="1">
      <alignment horizontal="center" wrapText="1"/>
    </xf>
    <xf numFmtId="0" fontId="30" fillId="0" borderId="11" xfId="4" applyFont="1" applyFill="1" applyBorder="1" applyAlignment="1">
      <alignment horizontal="center" wrapText="1"/>
    </xf>
    <xf numFmtId="168" fontId="30" fillId="0" borderId="0" xfId="4" applyNumberFormat="1" applyFont="1" applyFill="1" applyBorder="1" applyAlignment="1">
      <alignment horizontal="center" wrapText="1"/>
    </xf>
    <xf numFmtId="168" fontId="30" fillId="0" borderId="12" xfId="4" applyNumberFormat="1" applyFont="1" applyFill="1" applyBorder="1" applyAlignment="1">
      <alignment horizontal="center" wrapText="1"/>
    </xf>
    <xf numFmtId="168" fontId="30" fillId="0" borderId="0" xfId="4" applyNumberFormat="1" applyFont="1" applyFill="1" applyAlignment="1">
      <alignment horizontal="center" wrapText="1"/>
    </xf>
    <xf numFmtId="0" fontId="30" fillId="0" borderId="0" xfId="4" applyFont="1" applyFill="1" applyAlignment="1">
      <alignment horizontal="center" wrapText="1"/>
    </xf>
    <xf numFmtId="164" fontId="30" fillId="0" borderId="17" xfId="4" applyNumberFormat="1" applyFont="1" applyFill="1" applyBorder="1"/>
    <xf numFmtId="167" fontId="30" fillId="0" borderId="17" xfId="4" applyNumberFormat="1" applyFont="1" applyFill="1" applyBorder="1"/>
    <xf numFmtId="167" fontId="30" fillId="0" borderId="2" xfId="4" applyNumberFormat="1" applyFont="1" applyFill="1" applyBorder="1"/>
    <xf numFmtId="167" fontId="30" fillId="0" borderId="16" xfId="4" applyNumberFormat="1" applyFont="1" applyFill="1" applyBorder="1"/>
    <xf numFmtId="164" fontId="30" fillId="0" borderId="2" xfId="5" applyNumberFormat="1" applyFont="1" applyFill="1" applyBorder="1"/>
    <xf numFmtId="42" fontId="30" fillId="0" borderId="17" xfId="4" applyNumberFormat="1" applyFont="1" applyFill="1" applyBorder="1"/>
    <xf numFmtId="42" fontId="30" fillId="0" borderId="2" xfId="4" applyNumberFormat="1" applyFont="1" applyFill="1" applyBorder="1"/>
    <xf numFmtId="2" fontId="30" fillId="0" borderId="16" xfId="4" applyNumberFormat="1" applyFont="1" applyFill="1" applyBorder="1" applyAlignment="1"/>
    <xf numFmtId="164" fontId="30" fillId="0" borderId="11" xfId="4" applyNumberFormat="1" applyFont="1" applyFill="1" applyBorder="1"/>
    <xf numFmtId="167" fontId="30" fillId="0" borderId="11" xfId="4" applyNumberFormat="1" applyFont="1" applyFill="1" applyBorder="1"/>
    <xf numFmtId="167" fontId="30" fillId="0" borderId="0" xfId="4" applyNumberFormat="1" applyFont="1" applyFill="1" applyBorder="1"/>
    <xf numFmtId="167" fontId="30" fillId="0" borderId="12" xfId="4" applyNumberFormat="1" applyFont="1" applyFill="1" applyBorder="1"/>
    <xf numFmtId="164" fontId="30" fillId="0" borderId="0" xfId="5" applyNumberFormat="1" applyFont="1" applyFill="1" applyBorder="1"/>
    <xf numFmtId="42" fontId="30" fillId="0" borderId="11" xfId="4" applyNumberFormat="1" applyFont="1" applyFill="1" applyBorder="1"/>
    <xf numFmtId="42" fontId="30" fillId="0" borderId="0" xfId="4" applyNumberFormat="1" applyFont="1" applyFill="1" applyBorder="1"/>
    <xf numFmtId="2" fontId="30" fillId="0" borderId="12" xfId="4" applyNumberFormat="1" applyFont="1" applyFill="1" applyBorder="1" applyAlignment="1"/>
    <xf numFmtId="164" fontId="30" fillId="0" borderId="27" xfId="4" applyNumberFormat="1" applyFont="1" applyFill="1" applyBorder="1"/>
    <xf numFmtId="167" fontId="30" fillId="0" borderId="27" xfId="4" applyNumberFormat="1" applyFont="1" applyFill="1" applyBorder="1"/>
    <xf numFmtId="167" fontId="30" fillId="0" borderId="25" xfId="4" applyNumberFormat="1" applyFont="1" applyFill="1" applyBorder="1"/>
    <xf numFmtId="167" fontId="30" fillId="0" borderId="26" xfId="4" applyNumberFormat="1" applyFont="1" applyFill="1" applyBorder="1"/>
    <xf numFmtId="164" fontId="30" fillId="0" borderId="25" xfId="5" applyNumberFormat="1" applyFont="1" applyFill="1" applyBorder="1"/>
    <xf numFmtId="42" fontId="30" fillId="0" borderId="27" xfId="4" applyNumberFormat="1" applyFont="1" applyFill="1" applyBorder="1"/>
    <xf numFmtId="42" fontId="30" fillId="0" borderId="25" xfId="4" applyNumberFormat="1" applyFont="1" applyFill="1" applyBorder="1"/>
    <xf numFmtId="168" fontId="29" fillId="0" borderId="2" xfId="4" applyNumberFormat="1" applyFont="1" applyFill="1" applyBorder="1" applyAlignment="1">
      <alignment horizontal="center"/>
    </xf>
    <xf numFmtId="168" fontId="29" fillId="0" borderId="16" xfId="4" applyNumberFormat="1" applyFont="1" applyFill="1" applyBorder="1" applyAlignment="1">
      <alignment horizontal="center"/>
    </xf>
    <xf numFmtId="168" fontId="29" fillId="0" borderId="0" xfId="4" applyNumberFormat="1" applyFont="1" applyFill="1" applyAlignment="1">
      <alignment horizontal="center"/>
    </xf>
    <xf numFmtId="0" fontId="29" fillId="0" borderId="11" xfId="4" applyFont="1" applyFill="1" applyBorder="1" applyAlignment="1">
      <alignment horizontal="center" wrapText="1"/>
    </xf>
    <xf numFmtId="168" fontId="29" fillId="0" borderId="0" xfId="4" applyNumberFormat="1" applyFont="1" applyFill="1" applyBorder="1" applyAlignment="1">
      <alignment horizontal="center" wrapText="1"/>
    </xf>
    <xf numFmtId="168" fontId="29" fillId="0" borderId="12" xfId="4" applyNumberFormat="1" applyFont="1" applyFill="1" applyBorder="1" applyAlignment="1">
      <alignment horizontal="center" wrapText="1"/>
    </xf>
    <xf numFmtId="168" fontId="29" fillId="0" borderId="0" xfId="4" applyNumberFormat="1" applyFont="1" applyFill="1" applyAlignment="1">
      <alignment horizontal="center" wrapText="1"/>
    </xf>
    <xf numFmtId="10" fontId="27" fillId="0" borderId="11" xfId="0" applyNumberFormat="1" applyFont="1" applyBorder="1"/>
    <xf numFmtId="0" fontId="27" fillId="0" borderId="34" xfId="0" applyFont="1" applyBorder="1"/>
    <xf numFmtId="0" fontId="27" fillId="0" borderId="33" xfId="0" applyFont="1" applyBorder="1"/>
    <xf numFmtId="0" fontId="27" fillId="0" borderId="32" xfId="0" applyFont="1" applyBorder="1"/>
    <xf numFmtId="3" fontId="27" fillId="0" borderId="0" xfId="0" applyNumberFormat="1" applyFont="1"/>
    <xf numFmtId="0" fontId="27" fillId="0" borderId="0" xfId="0" applyFont="1"/>
    <xf numFmtId="0" fontId="26" fillId="5" borderId="0" xfId="0" applyFont="1" applyFill="1"/>
    <xf numFmtId="0" fontId="28" fillId="5" borderId="0" xfId="0" applyFont="1" applyFill="1"/>
    <xf numFmtId="0" fontId="29" fillId="0" borderId="0" xfId="4" applyFont="1" applyAlignment="1">
      <alignment horizontal="center" wrapText="1"/>
    </xf>
    <xf numFmtId="0" fontId="29" fillId="0" borderId="0" xfId="4" applyFont="1" applyFill="1" applyAlignment="1">
      <alignment horizontal="center" wrapText="1"/>
    </xf>
    <xf numFmtId="0" fontId="29" fillId="0" borderId="0" xfId="4" applyFont="1" applyFill="1" applyAlignment="1">
      <alignment horizontal="center"/>
    </xf>
    <xf numFmtId="171" fontId="27" fillId="0" borderId="0" xfId="1" applyNumberFormat="1" applyFont="1" applyFill="1" applyBorder="1" applyAlignment="1" applyProtection="1">
      <alignment horizontal="center"/>
    </xf>
    <xf numFmtId="0" fontId="30" fillId="0" borderId="0" xfId="4" applyFont="1" applyFill="1"/>
    <xf numFmtId="167" fontId="30" fillId="0" borderId="0" xfId="4" applyNumberFormat="1" applyFont="1" applyFill="1"/>
    <xf numFmtId="166" fontId="30" fillId="0" borderId="0" xfId="2" applyNumberFormat="1" applyFont="1" applyFill="1"/>
    <xf numFmtId="14" fontId="30" fillId="0" borderId="0" xfId="4" applyNumberFormat="1" applyFont="1" applyFill="1"/>
    <xf numFmtId="0" fontId="30" fillId="0" borderId="0" xfId="4" applyNumberFormat="1" applyFont="1" applyFill="1"/>
    <xf numFmtId="164" fontId="30" fillId="0" borderId="0" xfId="5" applyNumberFormat="1" applyFont="1" applyFill="1"/>
    <xf numFmtId="0" fontId="27" fillId="0" borderId="0" xfId="0" applyFont="1" applyBorder="1" applyProtection="1"/>
    <xf numFmtId="0" fontId="27" fillId="0" borderId="2" xfId="0" applyFont="1" applyBorder="1" applyProtection="1"/>
    <xf numFmtId="0" fontId="27" fillId="0" borderId="11" xfId="0" applyFont="1" applyBorder="1" applyProtection="1"/>
    <xf numFmtId="182" fontId="27" fillId="0" borderId="0" xfId="0" applyNumberFormat="1" applyFont="1" applyFill="1" applyBorder="1" applyProtection="1"/>
    <xf numFmtId="182" fontId="27" fillId="0" borderId="2" xfId="0" applyNumberFormat="1" applyFont="1" applyFill="1" applyBorder="1" applyProtection="1"/>
    <xf numFmtId="0" fontId="32" fillId="6" borderId="0" xfId="0" applyFont="1" applyFill="1" applyBorder="1" applyProtection="1">
      <protection locked="0"/>
    </xf>
    <xf numFmtId="0" fontId="27" fillId="0" borderId="0" xfId="0" applyFont="1" applyFill="1" applyBorder="1" applyProtection="1"/>
    <xf numFmtId="0" fontId="28" fillId="0" borderId="18" xfId="0" applyFont="1" applyBorder="1" applyAlignment="1">
      <alignment horizontal="center"/>
    </xf>
    <xf numFmtId="0" fontId="27" fillId="0" borderId="0" xfId="0" applyFont="1" applyProtection="1"/>
    <xf numFmtId="49" fontId="27" fillId="0" borderId="11" xfId="0" applyNumberFormat="1" applyFont="1" applyBorder="1"/>
    <xf numFmtId="0" fontId="27" fillId="0" borderId="38" xfId="0" applyFont="1" applyBorder="1"/>
    <xf numFmtId="0" fontId="27" fillId="0" borderId="39" xfId="0" applyFont="1" applyBorder="1"/>
    <xf numFmtId="0" fontId="7" fillId="0" borderId="0" xfId="74"/>
    <xf numFmtId="0" fontId="26" fillId="0" borderId="0" xfId="74" applyFont="1"/>
    <xf numFmtId="0" fontId="28" fillId="0" borderId="0" xfId="3" applyFont="1" applyBorder="1" applyAlignment="1"/>
    <xf numFmtId="182" fontId="7" fillId="0" borderId="0" xfId="74" applyNumberFormat="1"/>
    <xf numFmtId="0" fontId="30" fillId="0" borderId="0" xfId="4" applyFont="1" applyAlignment="1">
      <alignment horizontal="center"/>
    </xf>
    <xf numFmtId="0" fontId="29" fillId="0" borderId="12" xfId="4" applyFont="1" applyBorder="1" applyAlignment="1">
      <alignment horizontal="center" wrapText="1"/>
    </xf>
    <xf numFmtId="0" fontId="29" fillId="0" borderId="0" xfId="4" applyFont="1" applyBorder="1" applyAlignment="1">
      <alignment horizontal="center" wrapText="1"/>
    </xf>
    <xf numFmtId="0" fontId="29" fillId="0" borderId="11" xfId="4" applyFont="1" applyBorder="1" applyAlignment="1">
      <alignment horizontal="center" wrapText="1"/>
    </xf>
    <xf numFmtId="0" fontId="30" fillId="0" borderId="12" xfId="4" applyFont="1" applyBorder="1" applyAlignment="1">
      <alignment horizontal="center" wrapText="1"/>
    </xf>
    <xf numFmtId="0" fontId="30" fillId="0" borderId="0" xfId="4" applyFont="1" applyBorder="1" applyAlignment="1">
      <alignment horizontal="center" wrapText="1"/>
    </xf>
    <xf numFmtId="0" fontId="30" fillId="0" borderId="11" xfId="4" applyFont="1" applyBorder="1" applyAlignment="1">
      <alignment horizontal="center" wrapText="1"/>
    </xf>
    <xf numFmtId="0" fontId="30" fillId="0" borderId="16" xfId="4" applyFont="1" applyBorder="1" applyAlignment="1">
      <alignment horizontal="center" wrapText="1"/>
    </xf>
    <xf numFmtId="0" fontId="30" fillId="0" borderId="2" xfId="4" applyFont="1" applyBorder="1" applyAlignment="1">
      <alignment horizontal="center" wrapText="1"/>
    </xf>
    <xf numFmtId="0" fontId="30" fillId="0" borderId="17" xfId="4" applyFont="1" applyBorder="1" applyAlignment="1">
      <alignment horizontal="center" wrapText="1"/>
    </xf>
    <xf numFmtId="0" fontId="27" fillId="0" borderId="25" xfId="3" applyFont="1" applyBorder="1"/>
    <xf numFmtId="0" fontId="27" fillId="0" borderId="27" xfId="3" applyFont="1" applyBorder="1"/>
    <xf numFmtId="0" fontId="27" fillId="0" borderId="11" xfId="3" applyFont="1" applyBorder="1"/>
    <xf numFmtId="0" fontId="27" fillId="0" borderId="17" xfId="3" applyFont="1" applyBorder="1"/>
    <xf numFmtId="183" fontId="27" fillId="0" borderId="0" xfId="3" applyNumberFormat="1" applyFont="1"/>
    <xf numFmtId="0" fontId="28" fillId="7" borderId="40" xfId="3" applyFont="1" applyFill="1" applyBorder="1" applyAlignment="1">
      <alignment horizontal="center"/>
    </xf>
    <xf numFmtId="0" fontId="27" fillId="0" borderId="26" xfId="3" applyNumberFormat="1" applyFont="1" applyBorder="1"/>
    <xf numFmtId="0" fontId="27" fillId="0" borderId="25" xfId="3" applyNumberFormat="1" applyFont="1" applyBorder="1"/>
    <xf numFmtId="0" fontId="27" fillId="0" borderId="27" xfId="3" applyNumberFormat="1" applyFont="1" applyBorder="1"/>
    <xf numFmtId="0" fontId="27" fillId="0" borderId="12" xfId="3" applyNumberFormat="1" applyFont="1" applyBorder="1"/>
    <xf numFmtId="0" fontId="27" fillId="0" borderId="0" xfId="3" applyNumberFormat="1" applyFont="1" applyBorder="1"/>
    <xf numFmtId="0" fontId="27" fillId="0" borderId="11" xfId="3" applyNumberFormat="1" applyFont="1" applyBorder="1"/>
    <xf numFmtId="0" fontId="27" fillId="0" borderId="16" xfId="3" applyNumberFormat="1" applyFont="1" applyBorder="1"/>
    <xf numFmtId="0" fontId="27" fillId="0" borderId="2" xfId="3" applyNumberFormat="1" applyFont="1" applyBorder="1"/>
    <xf numFmtId="0" fontId="27" fillId="0" borderId="17" xfId="3" applyNumberFormat="1" applyFont="1" applyBorder="1"/>
    <xf numFmtId="0" fontId="30" fillId="0" borderId="12" xfId="4" applyFont="1" applyBorder="1" applyAlignment="1">
      <alignment horizontal="right" wrapText="1"/>
    </xf>
    <xf numFmtId="0" fontId="30" fillId="0" borderId="16" xfId="4" applyFont="1" applyBorder="1" applyAlignment="1">
      <alignment horizontal="right"/>
    </xf>
    <xf numFmtId="183" fontId="27" fillId="0" borderId="26" xfId="3" applyNumberFormat="1" applyFont="1" applyBorder="1"/>
    <xf numFmtId="183" fontId="27" fillId="0" borderId="12" xfId="3" applyNumberFormat="1" applyFont="1" applyBorder="1"/>
    <xf numFmtId="183" fontId="27" fillId="0" borderId="16" xfId="3" applyNumberFormat="1" applyFont="1" applyBorder="1"/>
    <xf numFmtId="0" fontId="29" fillId="0" borderId="44" xfId="4" applyFont="1" applyBorder="1" applyAlignment="1">
      <alignment horizontal="center" wrapText="1"/>
    </xf>
    <xf numFmtId="0" fontId="29" fillId="0" borderId="45" xfId="4" applyFont="1" applyBorder="1" applyAlignment="1">
      <alignment horizontal="center" wrapText="1"/>
    </xf>
    <xf numFmtId="0" fontId="30" fillId="0" borderId="46" xfId="4" applyFont="1" applyBorder="1" applyAlignment="1">
      <alignment horizontal="right" wrapText="1"/>
    </xf>
    <xf numFmtId="0" fontId="30" fillId="0" borderId="47" xfId="4" applyFont="1" applyBorder="1" applyAlignment="1">
      <alignment horizontal="center" wrapText="1"/>
    </xf>
    <xf numFmtId="0" fontId="30" fillId="0" borderId="48" xfId="4" applyFont="1" applyBorder="1" applyAlignment="1">
      <alignment horizontal="right"/>
    </xf>
    <xf numFmtId="0" fontId="30" fillId="0" borderId="49" xfId="4" applyFont="1" applyBorder="1" applyAlignment="1">
      <alignment horizontal="center" wrapText="1"/>
    </xf>
    <xf numFmtId="183" fontId="27" fillId="0" borderId="50" xfId="3" applyNumberFormat="1" applyFont="1" applyBorder="1"/>
    <xf numFmtId="0" fontId="27" fillId="0" borderId="51" xfId="3" applyNumberFormat="1" applyFont="1" applyBorder="1"/>
    <xf numFmtId="183" fontId="27" fillId="0" borderId="46" xfId="3" applyNumberFormat="1" applyFont="1" applyBorder="1"/>
    <xf numFmtId="0" fontId="27" fillId="0" borderId="47" xfId="3" applyNumberFormat="1" applyFont="1" applyBorder="1"/>
    <xf numFmtId="183" fontId="27" fillId="0" borderId="48" xfId="3" applyNumberFormat="1" applyFont="1" applyBorder="1"/>
    <xf numFmtId="0" fontId="27" fillId="0" borderId="49" xfId="3" applyNumberFormat="1" applyFont="1" applyBorder="1"/>
    <xf numFmtId="43" fontId="27" fillId="0" borderId="51" xfId="3" applyNumberFormat="1" applyFont="1" applyBorder="1"/>
    <xf numFmtId="43" fontId="27" fillId="0" borderId="47" xfId="3" applyNumberFormat="1" applyFont="1" applyBorder="1"/>
    <xf numFmtId="43" fontId="27" fillId="0" borderId="49" xfId="3" applyNumberFormat="1" applyFont="1" applyBorder="1"/>
    <xf numFmtId="0" fontId="29" fillId="0" borderId="0" xfId="4" applyFont="1"/>
    <xf numFmtId="184" fontId="30" fillId="0" borderId="0" xfId="4" applyNumberFormat="1" applyFont="1" applyBorder="1"/>
    <xf numFmtId="164" fontId="30" fillId="0" borderId="0" xfId="4" applyNumberFormat="1" applyFont="1" applyBorder="1"/>
    <xf numFmtId="0" fontId="30" fillId="0" borderId="11" xfId="4" applyFont="1" applyBorder="1"/>
    <xf numFmtId="38" fontId="30" fillId="0" borderId="0" xfId="4" applyNumberFormat="1" applyFont="1"/>
    <xf numFmtId="184" fontId="30" fillId="0" borderId="0" xfId="4" applyNumberFormat="1" applyFont="1" applyFill="1" applyBorder="1"/>
    <xf numFmtId="0" fontId="30" fillId="0" borderId="31" xfId="4" applyFont="1" applyBorder="1"/>
    <xf numFmtId="0" fontId="30" fillId="0" borderId="52" xfId="4" applyFont="1" applyBorder="1" applyAlignment="1">
      <alignment horizontal="center"/>
    </xf>
    <xf numFmtId="0" fontId="30" fillId="0" borderId="53" xfId="4" applyFont="1" applyBorder="1" applyAlignment="1">
      <alignment horizontal="center"/>
    </xf>
    <xf numFmtId="0" fontId="30" fillId="0" borderId="54" xfId="4" applyFont="1" applyBorder="1" applyAlignment="1">
      <alignment horizontal="center"/>
    </xf>
    <xf numFmtId="0" fontId="30" fillId="0" borderId="41" xfId="4" applyFont="1" applyBorder="1"/>
    <xf numFmtId="164" fontId="30" fillId="0" borderId="0" xfId="4" applyNumberFormat="1" applyFont="1" applyFill="1" applyBorder="1"/>
    <xf numFmtId="184" fontId="30" fillId="0" borderId="26" xfId="4" applyNumberFormat="1" applyFont="1" applyFill="1" applyBorder="1"/>
    <xf numFmtId="184" fontId="30" fillId="0" borderId="25" xfId="4" applyNumberFormat="1" applyFont="1" applyBorder="1"/>
    <xf numFmtId="184" fontId="30" fillId="0" borderId="27" xfId="4" applyNumberFormat="1" applyFont="1" applyBorder="1"/>
    <xf numFmtId="0" fontId="30" fillId="0" borderId="42" xfId="4" applyFont="1" applyBorder="1"/>
    <xf numFmtId="184" fontId="30" fillId="0" borderId="12" xfId="4" applyNumberFormat="1" applyFont="1" applyFill="1" applyBorder="1"/>
    <xf numFmtId="184" fontId="30" fillId="0" borderId="11" xfId="4" applyNumberFormat="1" applyFont="1" applyBorder="1"/>
    <xf numFmtId="0" fontId="30" fillId="0" borderId="43" xfId="4" applyFont="1" applyBorder="1"/>
    <xf numFmtId="164" fontId="30" fillId="0" borderId="0" xfId="4" applyNumberFormat="1" applyFont="1" applyFill="1" applyBorder="1" applyAlignment="1">
      <alignment horizontal="right"/>
    </xf>
    <xf numFmtId="184" fontId="30" fillId="0" borderId="55" xfId="4" applyNumberFormat="1" applyFont="1" applyBorder="1"/>
    <xf numFmtId="184" fontId="30" fillId="0" borderId="56" xfId="4" applyNumberFormat="1" applyFont="1" applyBorder="1"/>
    <xf numFmtId="184" fontId="30" fillId="0" borderId="56" xfId="4" applyNumberFormat="1" applyFont="1" applyFill="1" applyBorder="1"/>
    <xf numFmtId="184" fontId="30" fillId="0" borderId="57" xfId="4" applyNumberFormat="1" applyFont="1" applyBorder="1"/>
    <xf numFmtId="184" fontId="30" fillId="0" borderId="12" xfId="4" applyNumberFormat="1" applyFont="1" applyBorder="1"/>
    <xf numFmtId="177" fontId="30" fillId="0" borderId="24" xfId="4" applyNumberFormat="1" applyFont="1" applyBorder="1"/>
    <xf numFmtId="177" fontId="30" fillId="0" borderId="18" xfId="4" applyNumberFormat="1" applyFont="1" applyBorder="1"/>
    <xf numFmtId="177" fontId="30" fillId="0" borderId="23" xfId="4" applyNumberFormat="1" applyFont="1" applyBorder="1"/>
    <xf numFmtId="177" fontId="30" fillId="0" borderId="0" xfId="4" applyNumberFormat="1" applyFont="1" applyBorder="1"/>
    <xf numFmtId="185" fontId="30" fillId="0" borderId="0" xfId="4" applyNumberFormat="1" applyFont="1"/>
    <xf numFmtId="0" fontId="30" fillId="0" borderId="41" xfId="4" applyFont="1" applyBorder="1" applyAlignment="1">
      <alignment horizontal="left"/>
    </xf>
    <xf numFmtId="0" fontId="30" fillId="0" borderId="26" xfId="4" applyFont="1" applyBorder="1"/>
    <xf numFmtId="0" fontId="30" fillId="0" borderId="25" xfId="4" applyFont="1" applyBorder="1"/>
    <xf numFmtId="0" fontId="30" fillId="0" borderId="27" xfId="4" applyFont="1" applyBorder="1"/>
    <xf numFmtId="0" fontId="30" fillId="0" borderId="42" xfId="4" applyFont="1" applyBorder="1" applyAlignment="1">
      <alignment horizontal="left"/>
    </xf>
    <xf numFmtId="0" fontId="30" fillId="0" borderId="12" xfId="4" applyFont="1" applyBorder="1"/>
    <xf numFmtId="0" fontId="30" fillId="0" borderId="58" xfId="4" applyFont="1" applyBorder="1" applyAlignment="1">
      <alignment horizontal="left"/>
    </xf>
    <xf numFmtId="14" fontId="27" fillId="0" borderId="16" xfId="4" applyNumberFormat="1" applyFont="1" applyBorder="1"/>
    <xf numFmtId="14" fontId="30" fillId="0" borderId="2" xfId="4" applyNumberFormat="1" applyFont="1" applyBorder="1"/>
    <xf numFmtId="14" fontId="30" fillId="0" borderId="17" xfId="4" applyNumberFormat="1" applyFont="1" applyBorder="1"/>
    <xf numFmtId="14" fontId="30" fillId="0" borderId="0" xfId="4" applyNumberFormat="1" applyFont="1" applyBorder="1"/>
    <xf numFmtId="169" fontId="30" fillId="0" borderId="26" xfId="2" applyNumberFormat="1" applyFont="1" applyBorder="1"/>
    <xf numFmtId="169" fontId="30" fillId="0" borderId="25" xfId="2" applyNumberFormat="1" applyFont="1" applyBorder="1"/>
    <xf numFmtId="169" fontId="30" fillId="0" borderId="27" xfId="2" applyNumberFormat="1" applyFont="1" applyBorder="1"/>
    <xf numFmtId="169" fontId="30" fillId="0" borderId="16" xfId="2" applyNumberFormat="1" applyFont="1" applyBorder="1"/>
    <xf numFmtId="169" fontId="30" fillId="0" borderId="17" xfId="2" applyNumberFormat="1" applyFont="1" applyBorder="1"/>
    <xf numFmtId="0" fontId="30" fillId="0" borderId="18" xfId="4" applyFont="1" applyBorder="1" applyAlignment="1">
      <alignment horizontal="left"/>
    </xf>
    <xf numFmtId="184" fontId="30" fillId="0" borderId="2" xfId="4" applyNumberFormat="1" applyFont="1" applyBorder="1"/>
    <xf numFmtId="184" fontId="30" fillId="0" borderId="16" xfId="4" applyNumberFormat="1" applyFont="1" applyBorder="1"/>
    <xf numFmtId="184" fontId="30" fillId="0" borderId="17" xfId="4" applyNumberFormat="1" applyFont="1" applyBorder="1"/>
    <xf numFmtId="164" fontId="30" fillId="0" borderId="0" xfId="4" applyNumberFormat="1" applyFont="1"/>
    <xf numFmtId="178" fontId="32" fillId="0" borderId="0" xfId="0" applyNumberFormat="1" applyFont="1" applyBorder="1"/>
    <xf numFmtId="178" fontId="32" fillId="0" borderId="11" xfId="0" applyNumberFormat="1" applyFont="1" applyBorder="1"/>
    <xf numFmtId="10" fontId="32" fillId="0" borderId="0" xfId="0" applyNumberFormat="1" applyFont="1" applyBorder="1"/>
    <xf numFmtId="10" fontId="32" fillId="0" borderId="11" xfId="0" applyNumberFormat="1" applyFont="1" applyBorder="1"/>
    <xf numFmtId="164" fontId="32" fillId="0" borderId="0" xfId="0" applyNumberFormat="1" applyFont="1" applyBorder="1"/>
    <xf numFmtId="164" fontId="32" fillId="0" borderId="11" xfId="0" applyNumberFormat="1" applyFont="1" applyBorder="1"/>
    <xf numFmtId="164" fontId="27" fillId="0" borderId="11" xfId="0" applyNumberFormat="1" applyFont="1" applyBorder="1"/>
    <xf numFmtId="10" fontId="27" fillId="0" borderId="0" xfId="0" applyNumberFormat="1" applyFont="1" applyBorder="1"/>
    <xf numFmtId="10" fontId="32" fillId="0" borderId="0" xfId="0" applyNumberFormat="1" applyFont="1" applyFill="1" applyBorder="1"/>
    <xf numFmtId="10" fontId="32" fillId="0" borderId="11" xfId="0" applyNumberFormat="1" applyFont="1" applyFill="1" applyBorder="1"/>
    <xf numFmtId="178" fontId="32" fillId="0" borderId="0" xfId="0" applyNumberFormat="1" applyFont="1" applyFill="1" applyBorder="1"/>
    <xf numFmtId="178" fontId="32" fillId="0" borderId="11" xfId="0" applyNumberFormat="1" applyFont="1" applyFill="1" applyBorder="1"/>
    <xf numFmtId="179" fontId="27" fillId="0" borderId="0" xfId="0" applyNumberFormat="1" applyFont="1" applyBorder="1"/>
    <xf numFmtId="10" fontId="28" fillId="0" borderId="0" xfId="0" applyNumberFormat="1" applyFont="1" applyBorder="1" applyAlignment="1">
      <alignment horizontal="center"/>
    </xf>
    <xf numFmtId="10" fontId="28" fillId="0" borderId="11" xfId="0" applyNumberFormat="1" applyFont="1" applyBorder="1" applyAlignment="1">
      <alignment horizontal="center"/>
    </xf>
    <xf numFmtId="10" fontId="32" fillId="0" borderId="2" xfId="0" applyNumberFormat="1" applyFont="1" applyBorder="1"/>
    <xf numFmtId="10" fontId="27" fillId="0" borderId="17" xfId="0" applyNumberFormat="1" applyFont="1" applyBorder="1"/>
    <xf numFmtId="164" fontId="30" fillId="0" borderId="11" xfId="4" applyNumberFormat="1" applyFont="1" applyBorder="1"/>
    <xf numFmtId="0" fontId="8" fillId="0" borderId="0" xfId="3" applyAlignment="1"/>
    <xf numFmtId="0" fontId="40" fillId="6" borderId="59" xfId="75" applyFont="1" applyFill="1" applyBorder="1" applyAlignment="1" applyProtection="1">
      <alignment horizontal="center" vertical="top" wrapText="1"/>
      <protection locked="0"/>
    </xf>
    <xf numFmtId="0" fontId="0" fillId="0" borderId="0" xfId="3" applyFont="1" applyAlignment="1">
      <alignment horizontal="right" vertical="center"/>
    </xf>
    <xf numFmtId="0" fontId="8" fillId="0" borderId="60" xfId="3" applyBorder="1"/>
    <xf numFmtId="0" fontId="0" fillId="0" borderId="0" xfId="0" applyAlignment="1"/>
    <xf numFmtId="0" fontId="42" fillId="0" borderId="0" xfId="3" applyFont="1" applyAlignment="1"/>
    <xf numFmtId="0" fontId="0" fillId="0" borderId="0" xfId="0" applyAlignment="1">
      <alignment horizontal="center" vertical="center" wrapText="1"/>
    </xf>
    <xf numFmtId="0" fontId="9" fillId="0" borderId="0" xfId="3" applyFont="1" applyAlignment="1">
      <alignment horizontal="right" vertical="center" wrapText="1" indent="1"/>
    </xf>
    <xf numFmtId="0" fontId="32" fillId="9" borderId="11" xfId="3" applyFont="1" applyFill="1" applyBorder="1" applyProtection="1">
      <protection locked="0"/>
    </xf>
    <xf numFmtId="0" fontId="32" fillId="9" borderId="27" xfId="0" applyFont="1" applyFill="1" applyBorder="1" applyProtection="1">
      <protection locked="0"/>
    </xf>
    <xf numFmtId="0" fontId="32" fillId="9" borderId="11" xfId="0" applyFont="1" applyFill="1" applyBorder="1" applyProtection="1">
      <protection locked="0"/>
    </xf>
    <xf numFmtId="0" fontId="32" fillId="9" borderId="17" xfId="0" applyFont="1" applyFill="1" applyBorder="1" applyProtection="1">
      <protection locked="0"/>
    </xf>
    <xf numFmtId="43" fontId="30" fillId="0" borderId="0" xfId="4" applyNumberFormat="1" applyFont="1" applyBorder="1"/>
    <xf numFmtId="184" fontId="30" fillId="0" borderId="26" xfId="4" applyNumberFormat="1" applyFont="1" applyBorder="1"/>
    <xf numFmtId="0" fontId="6" fillId="0" borderId="0" xfId="76" applyFont="1"/>
    <xf numFmtId="0" fontId="26" fillId="10" borderId="62" xfId="76" applyFont="1" applyFill="1" applyBorder="1" applyAlignment="1">
      <alignment horizontal="center"/>
    </xf>
    <xf numFmtId="0" fontId="6" fillId="0" borderId="41" xfId="76" applyFont="1" applyBorder="1"/>
    <xf numFmtId="0" fontId="6" fillId="0" borderId="42" xfId="76" applyFont="1" applyBorder="1"/>
    <xf numFmtId="0" fontId="27" fillId="0" borderId="42" xfId="76" applyFont="1" applyBorder="1"/>
    <xf numFmtId="0" fontId="6" fillId="0" borderId="58" xfId="76" applyFont="1" applyBorder="1"/>
    <xf numFmtId="0" fontId="6" fillId="0" borderId="12" xfId="76" applyFont="1" applyBorder="1"/>
    <xf numFmtId="10" fontId="27" fillId="0" borderId="0" xfId="76" applyNumberFormat="1" applyFont="1" applyBorder="1"/>
    <xf numFmtId="0" fontId="6" fillId="0" borderId="11" xfId="76" applyFont="1" applyBorder="1"/>
    <xf numFmtId="0" fontId="32" fillId="0" borderId="0" xfId="76" applyFont="1" applyBorder="1"/>
    <xf numFmtId="0" fontId="26" fillId="0" borderId="12" xfId="76" applyFont="1" applyBorder="1"/>
    <xf numFmtId="0" fontId="6" fillId="0" borderId="0" xfId="76" applyFont="1" applyBorder="1"/>
    <xf numFmtId="0" fontId="27" fillId="0" borderId="41" xfId="76" applyFont="1" applyBorder="1"/>
    <xf numFmtId="178" fontId="27" fillId="0" borderId="42" xfId="76" applyNumberFormat="1" applyFont="1" applyBorder="1"/>
    <xf numFmtId="10" fontId="27" fillId="0" borderId="58" xfId="76" applyNumberFormat="1" applyFont="1" applyBorder="1"/>
    <xf numFmtId="10" fontId="27" fillId="0" borderId="42" xfId="76" applyNumberFormat="1" applyFont="1" applyBorder="1"/>
    <xf numFmtId="0" fontId="26" fillId="0" borderId="2" xfId="76" applyFont="1" applyBorder="1"/>
    <xf numFmtId="179" fontId="27" fillId="0" borderId="42" xfId="76" applyNumberFormat="1" applyFont="1" applyBorder="1"/>
    <xf numFmtId="0" fontId="30" fillId="0" borderId="0" xfId="4" applyFont="1" applyBorder="1" applyAlignment="1">
      <alignment horizontal="left"/>
    </xf>
    <xf numFmtId="14" fontId="27" fillId="0" borderId="0" xfId="4" applyNumberFormat="1" applyFont="1" applyBorder="1"/>
    <xf numFmtId="0" fontId="29" fillId="0" borderId="0" xfId="4" applyFont="1" applyFill="1" applyBorder="1" applyAlignment="1">
      <alignment horizontal="center"/>
    </xf>
    <xf numFmtId="0" fontId="29" fillId="0" borderId="12" xfId="4" applyFont="1" applyFill="1" applyBorder="1" applyAlignment="1">
      <alignment horizontal="center"/>
    </xf>
    <xf numFmtId="0" fontId="29" fillId="0" borderId="0" xfId="4" applyFont="1" applyBorder="1" applyAlignment="1">
      <alignment horizontal="center"/>
    </xf>
    <xf numFmtId="0" fontId="30" fillId="0" borderId="16" xfId="4" applyFont="1" applyFill="1" applyBorder="1" applyAlignment="1">
      <alignment horizontal="center" wrapText="1"/>
    </xf>
    <xf numFmtId="0" fontId="30" fillId="0" borderId="17" xfId="4" applyFont="1" applyFill="1" applyBorder="1" applyAlignment="1">
      <alignment horizontal="center" wrapText="1"/>
    </xf>
    <xf numFmtId="0" fontId="5" fillId="0" borderId="58" xfId="76" applyFont="1" applyBorder="1"/>
    <xf numFmtId="0" fontId="5" fillId="0" borderId="42" xfId="76" applyFont="1" applyBorder="1"/>
    <xf numFmtId="0" fontId="0" fillId="0" borderId="0" xfId="0" applyAlignment="1">
      <alignment horizontal="center" vertical="center" wrapText="1"/>
    </xf>
    <xf numFmtId="0" fontId="8" fillId="0" borderId="60" xfId="3" applyBorder="1" applyAlignment="1">
      <alignment horizontal="center"/>
    </xf>
    <xf numFmtId="0" fontId="41" fillId="0" borderId="0" xfId="3" applyFont="1" applyAlignment="1">
      <alignment wrapText="1"/>
    </xf>
    <xf numFmtId="0" fontId="0" fillId="0" borderId="0" xfId="0" applyAlignment="1"/>
    <xf numFmtId="0" fontId="9" fillId="0" borderId="0" xfId="3" applyFont="1" applyAlignment="1"/>
    <xf numFmtId="0" fontId="9" fillId="0" borderId="0" xfId="0" applyFont="1" applyAlignment="1"/>
    <xf numFmtId="0" fontId="9" fillId="0" borderId="60" xfId="0" applyFont="1" applyBorder="1" applyAlignment="1"/>
    <xf numFmtId="0" fontId="17" fillId="2" borderId="0" xfId="3" applyFont="1" applyFill="1" applyBorder="1" applyAlignment="1">
      <alignment horizontal="left" vertical="center"/>
    </xf>
    <xf numFmtId="173" fontId="18" fillId="3" borderId="0" xfId="2" applyNumberFormat="1" applyFont="1" applyFill="1" applyBorder="1" applyAlignment="1" applyProtection="1">
      <alignment horizontal="left" vertical="center"/>
    </xf>
    <xf numFmtId="175" fontId="18" fillId="3" borderId="0" xfId="2" applyNumberFormat="1" applyFont="1" applyFill="1" applyBorder="1" applyAlignment="1" applyProtection="1">
      <alignment horizontal="left" vertical="center"/>
    </xf>
    <xf numFmtId="0" fontId="8" fillId="0" borderId="0" xfId="3" applyBorder="1" applyAlignment="1"/>
    <xf numFmtId="0" fontId="9" fillId="0" borderId="60" xfId="3" applyFont="1" applyBorder="1" applyAlignment="1"/>
    <xf numFmtId="0" fontId="4" fillId="0" borderId="42" xfId="76" applyFont="1" applyBorder="1"/>
    <xf numFmtId="0" fontId="9" fillId="0" borderId="0" xfId="3" applyFont="1" applyBorder="1" applyAlignment="1"/>
    <xf numFmtId="0" fontId="8" fillId="0" borderId="8" xfId="3" applyBorder="1" applyAlignment="1"/>
    <xf numFmtId="0" fontId="8" fillId="0" borderId="9" xfId="3" applyBorder="1" applyAlignment="1"/>
    <xf numFmtId="0" fontId="9" fillId="0" borderId="8" xfId="3" applyFont="1" applyBorder="1" applyAlignment="1"/>
    <xf numFmtId="0" fontId="9" fillId="0" borderId="9" xfId="3" applyFont="1" applyBorder="1" applyAlignment="1"/>
    <xf numFmtId="0" fontId="8" fillId="0" borderId="10" xfId="3" applyBorder="1" applyAlignment="1"/>
    <xf numFmtId="0" fontId="8" fillId="0" borderId="8" xfId="3" applyBorder="1"/>
    <xf numFmtId="0" fontId="8" fillId="0" borderId="9" xfId="3" applyBorder="1"/>
    <xf numFmtId="0" fontId="8" fillId="0" borderId="10" xfId="3" applyBorder="1"/>
    <xf numFmtId="0" fontId="8" fillId="0" borderId="8" xfId="3" applyFont="1" applyBorder="1" applyAlignment="1"/>
    <xf numFmtId="0" fontId="8" fillId="0" borderId="9" xfId="3" applyFont="1" applyBorder="1" applyAlignment="1"/>
    <xf numFmtId="0" fontId="3" fillId="0" borderId="42" xfId="76" applyFont="1" applyBorder="1"/>
    <xf numFmtId="0" fontId="3" fillId="0" borderId="58" xfId="76" applyFont="1" applyBorder="1"/>
    <xf numFmtId="0" fontId="32" fillId="11" borderId="42" xfId="76" applyFont="1" applyFill="1" applyBorder="1" applyProtection="1">
      <protection locked="0"/>
    </xf>
    <xf numFmtId="49" fontId="32" fillId="11" borderId="42" xfId="76" applyNumberFormat="1" applyFont="1" applyFill="1" applyBorder="1" applyProtection="1">
      <protection locked="0"/>
    </xf>
    <xf numFmtId="0" fontId="32" fillId="11" borderId="41" xfId="76" applyFont="1" applyFill="1" applyBorder="1" applyProtection="1">
      <protection locked="0"/>
    </xf>
    <xf numFmtId="49" fontId="32" fillId="11" borderId="58" xfId="76" applyNumberFormat="1" applyFont="1" applyFill="1" applyBorder="1" applyProtection="1">
      <protection locked="0"/>
    </xf>
    <xf numFmtId="49" fontId="32" fillId="11" borderId="41" xfId="76" applyNumberFormat="1" applyFont="1" applyFill="1" applyBorder="1" applyProtection="1">
      <protection locked="0"/>
    </xf>
    <xf numFmtId="186" fontId="32" fillId="11" borderId="42" xfId="76" applyNumberFormat="1" applyFont="1" applyFill="1" applyBorder="1" applyProtection="1">
      <protection locked="0"/>
    </xf>
    <xf numFmtId="0" fontId="32" fillId="11" borderId="58" xfId="76" applyFont="1" applyFill="1" applyBorder="1" applyProtection="1">
      <protection locked="0"/>
    </xf>
    <xf numFmtId="0" fontId="28" fillId="0" borderId="77" xfId="0" applyFont="1" applyBorder="1" applyAlignment="1">
      <alignment horizontal="center"/>
    </xf>
    <xf numFmtId="0" fontId="28" fillId="0" borderId="31" xfId="0" applyFont="1" applyBorder="1" applyAlignment="1">
      <alignment horizontal="center"/>
    </xf>
    <xf numFmtId="182" fontId="27" fillId="0" borderId="0" xfId="0" applyNumberFormat="1" applyFont="1" applyBorder="1"/>
    <xf numFmtId="182" fontId="27" fillId="0" borderId="11" xfId="0" applyNumberFormat="1" applyFont="1" applyBorder="1"/>
    <xf numFmtId="182" fontId="27" fillId="0" borderId="2" xfId="0" applyNumberFormat="1" applyFont="1" applyBorder="1"/>
    <xf numFmtId="182" fontId="27" fillId="0" borderId="17" xfId="0" applyNumberFormat="1" applyFont="1" applyBorder="1"/>
    <xf numFmtId="0" fontId="30" fillId="0" borderId="0" xfId="4" applyNumberFormat="1" applyFont="1" applyFill="1" applyBorder="1"/>
    <xf numFmtId="183" fontId="27" fillId="0" borderId="41" xfId="3" applyNumberFormat="1" applyFont="1" applyBorder="1"/>
    <xf numFmtId="183" fontId="27" fillId="0" borderId="42" xfId="3" applyNumberFormat="1" applyFont="1" applyBorder="1"/>
    <xf numFmtId="183" fontId="27" fillId="0" borderId="58" xfId="3" applyNumberFormat="1" applyFont="1" applyBorder="1"/>
    <xf numFmtId="183" fontId="27" fillId="0" borderId="2" xfId="3" applyNumberFormat="1" applyFont="1" applyBorder="1"/>
    <xf numFmtId="49" fontId="27" fillId="0" borderId="38" xfId="0" applyNumberFormat="1" applyFont="1" applyBorder="1"/>
    <xf numFmtId="49" fontId="27" fillId="0" borderId="39" xfId="0" applyNumberFormat="1" applyFont="1" applyBorder="1"/>
    <xf numFmtId="2" fontId="30" fillId="0" borderId="25" xfId="4" applyNumberFormat="1" applyFont="1" applyFill="1" applyBorder="1" applyAlignment="1"/>
    <xf numFmtId="2" fontId="30" fillId="0" borderId="0" xfId="4" applyNumberFormat="1" applyFont="1" applyFill="1" applyBorder="1" applyAlignment="1"/>
    <xf numFmtId="2" fontId="30" fillId="0" borderId="2" xfId="4" applyNumberFormat="1" applyFont="1" applyFill="1" applyBorder="1" applyAlignment="1"/>
    <xf numFmtId="0" fontId="30" fillId="0" borderId="26" xfId="4" applyFont="1" applyFill="1" applyBorder="1" applyAlignment="1">
      <alignment horizontal="center"/>
    </xf>
    <xf numFmtId="0" fontId="30" fillId="0" borderId="12" xfId="4" applyFont="1" applyFill="1" applyBorder="1" applyAlignment="1">
      <alignment horizontal="center"/>
    </xf>
    <xf numFmtId="0" fontId="30" fillId="0" borderId="16" xfId="4" applyFont="1" applyFill="1" applyBorder="1" applyAlignment="1">
      <alignment horizontal="center"/>
    </xf>
    <xf numFmtId="187" fontId="27" fillId="0" borderId="0" xfId="2" applyNumberFormat="1" applyFont="1" applyAlignment="1">
      <alignment horizontal="center"/>
    </xf>
    <xf numFmtId="166" fontId="27" fillId="0" borderId="0" xfId="2" applyFont="1" applyFill="1" applyAlignment="1">
      <alignment horizontal="center"/>
    </xf>
    <xf numFmtId="0" fontId="30" fillId="0" borderId="0" xfId="4" applyFont="1" applyAlignment="1">
      <alignment horizontal="left" indent="1"/>
    </xf>
    <xf numFmtId="182" fontId="27" fillId="0" borderId="0" xfId="0" applyNumberFormat="1" applyFont="1" applyFill="1" applyProtection="1">
      <protection locked="0"/>
    </xf>
    <xf numFmtId="184" fontId="30" fillId="0" borderId="0" xfId="4" applyNumberFormat="1" applyFont="1"/>
    <xf numFmtId="0" fontId="27" fillId="0" borderId="12" xfId="0" applyFont="1" applyBorder="1" applyAlignment="1">
      <alignment horizontal="left" indent="1"/>
    </xf>
    <xf numFmtId="182" fontId="27" fillId="0" borderId="11" xfId="0" applyNumberFormat="1" applyFont="1" applyBorder="1" applyProtection="1"/>
    <xf numFmtId="182" fontId="27" fillId="0" borderId="17" xfId="0" applyNumberFormat="1" applyFont="1" applyBorder="1" applyProtection="1"/>
    <xf numFmtId="0" fontId="26" fillId="0" borderId="0" xfId="0" applyFont="1" applyFill="1" applyAlignment="1">
      <alignment horizontal="center"/>
    </xf>
    <xf numFmtId="0" fontId="27" fillId="0" borderId="0" xfId="0" applyNumberFormat="1" applyFont="1" applyFill="1"/>
    <xf numFmtId="180" fontId="27" fillId="0" borderId="0" xfId="0" applyNumberFormat="1" applyFont="1"/>
    <xf numFmtId="0" fontId="25" fillId="2" borderId="81" xfId="3" applyFont="1" applyFill="1" applyBorder="1" applyAlignment="1">
      <alignment horizontal="center" vertical="center" wrapText="1"/>
    </xf>
    <xf numFmtId="172" fontId="8" fillId="3" borderId="83" xfId="2" applyNumberFormat="1" applyFont="1" applyFill="1" applyBorder="1" applyAlignment="1" applyProtection="1">
      <alignment horizontal="center" vertical="center"/>
    </xf>
    <xf numFmtId="173" fontId="21" fillId="3" borderId="86" xfId="3" applyNumberFormat="1" applyFont="1" applyFill="1" applyBorder="1" applyAlignment="1">
      <alignment horizontal="center" vertical="center"/>
    </xf>
    <xf numFmtId="0" fontId="27" fillId="0" borderId="12" xfId="3" applyFont="1" applyBorder="1" applyProtection="1"/>
    <xf numFmtId="0" fontId="27" fillId="0" borderId="12" xfId="0" applyFont="1" applyBorder="1" applyProtection="1"/>
    <xf numFmtId="0" fontId="28" fillId="0" borderId="12" xfId="0" applyFont="1" applyFill="1" applyBorder="1" applyAlignment="1" applyProtection="1">
      <alignment horizontal="center"/>
    </xf>
    <xf numFmtId="0" fontId="27" fillId="0" borderId="16" xfId="0" applyFont="1" applyBorder="1" applyProtection="1"/>
    <xf numFmtId="0" fontId="28" fillId="0" borderId="36" xfId="0" applyFont="1" applyBorder="1" applyAlignment="1" applyProtection="1">
      <alignment horizontal="center"/>
    </xf>
    <xf numFmtId="0" fontId="28" fillId="0" borderId="37" xfId="0" applyFont="1" applyBorder="1" applyAlignment="1" applyProtection="1">
      <alignment horizontal="center"/>
    </xf>
    <xf numFmtId="0" fontId="28" fillId="0" borderId="37" xfId="0" applyFont="1" applyFill="1" applyBorder="1" applyAlignment="1" applyProtection="1">
      <alignment horizontal="center"/>
    </xf>
    <xf numFmtId="0" fontId="28" fillId="0" borderId="35" xfId="0" applyFont="1" applyBorder="1" applyAlignment="1" applyProtection="1">
      <alignment horizontal="center"/>
    </xf>
    <xf numFmtId="0" fontId="27" fillId="0" borderId="26" xfId="0" applyFont="1" applyBorder="1" applyProtection="1"/>
    <xf numFmtId="181" fontId="27" fillId="0" borderId="0" xfId="0" applyNumberFormat="1" applyFont="1" applyProtection="1"/>
    <xf numFmtId="0" fontId="27" fillId="0" borderId="0" xfId="3" applyFont="1" applyBorder="1" applyProtection="1"/>
    <xf numFmtId="164" fontId="32" fillId="0" borderId="0" xfId="0" applyNumberFormat="1" applyFont="1" applyBorder="1" applyProtection="1"/>
    <xf numFmtId="0" fontId="27" fillId="0" borderId="31" xfId="0" applyFont="1" applyBorder="1" applyAlignment="1" applyProtection="1">
      <alignment horizontal="center"/>
      <protection locked="0"/>
    </xf>
    <xf numFmtId="0" fontId="27" fillId="0" borderId="42" xfId="0" applyFont="1" applyBorder="1" applyAlignment="1" applyProtection="1">
      <alignment horizontal="right"/>
      <protection locked="0"/>
    </xf>
    <xf numFmtId="0" fontId="27" fillId="0" borderId="58" xfId="0" applyFont="1" applyBorder="1" applyAlignment="1" applyProtection="1">
      <alignment horizontal="right"/>
      <protection locked="0"/>
    </xf>
    <xf numFmtId="182" fontId="32" fillId="9" borderId="42" xfId="0" applyNumberFormat="1" applyFont="1" applyFill="1" applyBorder="1" applyProtection="1">
      <protection locked="0"/>
    </xf>
    <xf numFmtId="182" fontId="32" fillId="9" borderId="58" xfId="0" applyNumberFormat="1" applyFont="1" applyFill="1" applyBorder="1" applyProtection="1">
      <protection locked="0"/>
    </xf>
    <xf numFmtId="10" fontId="32" fillId="0" borderId="0" xfId="0" applyNumberFormat="1" applyFont="1"/>
    <xf numFmtId="182" fontId="27" fillId="0" borderId="12" xfId="0" applyNumberFormat="1" applyFont="1" applyBorder="1" applyAlignment="1">
      <alignment horizontal="right"/>
    </xf>
    <xf numFmtId="182" fontId="27" fillId="0" borderId="0" xfId="0" applyNumberFormat="1" applyFont="1" applyBorder="1" applyAlignment="1">
      <alignment horizontal="right"/>
    </xf>
    <xf numFmtId="182" fontId="27" fillId="0" borderId="11" xfId="0" applyNumberFormat="1" applyFont="1" applyBorder="1" applyAlignment="1">
      <alignment horizontal="right"/>
    </xf>
    <xf numFmtId="9" fontId="27" fillId="0" borderId="42" xfId="0" applyNumberFormat="1" applyFont="1" applyBorder="1"/>
    <xf numFmtId="0" fontId="49" fillId="12" borderId="12" xfId="0" applyFont="1" applyFill="1" applyBorder="1" applyAlignment="1">
      <alignment horizontal="center" wrapText="1"/>
    </xf>
    <xf numFmtId="0" fontId="49" fillId="12" borderId="0" xfId="0" applyFont="1" applyFill="1" applyBorder="1" applyAlignment="1">
      <alignment horizontal="center" wrapText="1"/>
    </xf>
    <xf numFmtId="0" fontId="49" fillId="12" borderId="11" xfId="0" applyFont="1" applyFill="1" applyBorder="1" applyAlignment="1">
      <alignment horizontal="center" wrapText="1"/>
    </xf>
    <xf numFmtId="41" fontId="32" fillId="0" borderId="0" xfId="0" applyNumberFormat="1" applyFont="1"/>
    <xf numFmtId="182" fontId="27" fillId="0" borderId="25" xfId="0" applyNumberFormat="1" applyFont="1" applyBorder="1"/>
    <xf numFmtId="182" fontId="27" fillId="0" borderId="27" xfId="0" applyNumberFormat="1" applyFont="1" applyBorder="1" applyAlignment="1">
      <alignment horizontal="right"/>
    </xf>
    <xf numFmtId="182" fontId="27" fillId="0" borderId="12" xfId="0" applyNumberFormat="1" applyFont="1" applyBorder="1"/>
    <xf numFmtId="182" fontId="27" fillId="0" borderId="16" xfId="0" applyNumberFormat="1" applyFont="1" applyBorder="1"/>
    <xf numFmtId="0" fontId="28" fillId="0" borderId="0" xfId="0" applyFont="1"/>
    <xf numFmtId="190" fontId="27" fillId="0" borderId="11" xfId="0" applyNumberFormat="1" applyFont="1" applyBorder="1" applyAlignment="1">
      <alignment horizontal="right"/>
    </xf>
    <xf numFmtId="0" fontId="30" fillId="0" borderId="0" xfId="4" applyNumberFormat="1" applyFont="1" applyBorder="1"/>
    <xf numFmtId="169" fontId="30" fillId="0" borderId="12" xfId="2" applyNumberFormat="1" applyFont="1" applyBorder="1"/>
    <xf numFmtId="169" fontId="30" fillId="0" borderId="11" xfId="2" applyNumberFormat="1" applyFont="1" applyBorder="1"/>
    <xf numFmtId="189" fontId="30" fillId="0" borderId="25" xfId="5" applyNumberFormat="1" applyFont="1" applyBorder="1"/>
    <xf numFmtId="189" fontId="30" fillId="0" borderId="27" xfId="5" applyNumberFormat="1" applyFont="1" applyBorder="1"/>
    <xf numFmtId="189" fontId="30" fillId="0" borderId="0" xfId="5" applyNumberFormat="1" applyFont="1" applyBorder="1"/>
    <xf numFmtId="189" fontId="30" fillId="0" borderId="11" xfId="5" applyNumberFormat="1" applyFont="1" applyBorder="1"/>
    <xf numFmtId="189" fontId="30" fillId="0" borderId="2" xfId="5" applyNumberFormat="1" applyFont="1" applyBorder="1"/>
    <xf numFmtId="189" fontId="30" fillId="0" borderId="17" xfId="5" applyNumberFormat="1" applyFont="1" applyBorder="1"/>
    <xf numFmtId="43" fontId="30" fillId="0" borderId="25" xfId="4" applyNumberFormat="1" applyFont="1" applyBorder="1"/>
    <xf numFmtId="0" fontId="27" fillId="0" borderId="0" xfId="3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/>
    <xf numFmtId="191" fontId="27" fillId="0" borderId="11" xfId="0" applyNumberFormat="1" applyFont="1" applyBorder="1"/>
    <xf numFmtId="191" fontId="27" fillId="0" borderId="17" xfId="0" applyNumberFormat="1" applyFont="1" applyBorder="1"/>
    <xf numFmtId="0" fontId="27" fillId="0" borderId="42" xfId="0" applyFont="1" applyBorder="1"/>
    <xf numFmtId="0" fontId="30" fillId="0" borderId="58" xfId="4" applyFont="1" applyBorder="1"/>
    <xf numFmtId="184" fontId="30" fillId="0" borderId="87" xfId="4" applyNumberFormat="1" applyFont="1" applyFill="1" applyBorder="1"/>
    <xf numFmtId="184" fontId="30" fillId="0" borderId="88" xfId="4" applyNumberFormat="1" applyFont="1" applyBorder="1"/>
    <xf numFmtId="184" fontId="30" fillId="0" borderId="89" xfId="4" applyNumberFormat="1" applyFont="1" applyBorder="1"/>
    <xf numFmtId="0" fontId="27" fillId="0" borderId="0" xfId="0" applyFont="1" applyBorder="1" applyAlignment="1" applyProtection="1">
      <alignment horizontal="right"/>
      <protection locked="0"/>
    </xf>
    <xf numFmtId="182" fontId="27" fillId="0" borderId="0" xfId="0" applyNumberFormat="1" applyFont="1" applyBorder="1" applyProtection="1"/>
    <xf numFmtId="178" fontId="27" fillId="0" borderId="0" xfId="0" applyNumberFormat="1" applyFont="1" applyBorder="1" applyProtection="1"/>
    <xf numFmtId="168" fontId="30" fillId="0" borderId="0" xfId="4" applyNumberFormat="1" applyFont="1" applyFill="1" applyBorder="1" applyAlignment="1">
      <alignment horizontal="center"/>
    </xf>
    <xf numFmtId="0" fontId="27" fillId="0" borderId="0" xfId="3" applyFont="1" applyAlignment="1">
      <alignment horizontal="center" wrapText="1"/>
    </xf>
    <xf numFmtId="0" fontId="27" fillId="0" borderId="12" xfId="3" applyFont="1" applyFill="1" applyBorder="1" applyProtection="1"/>
    <xf numFmtId="192" fontId="27" fillId="0" borderId="0" xfId="3" applyNumberFormat="1" applyFont="1"/>
    <xf numFmtId="179" fontId="32" fillId="0" borderId="0" xfId="0" applyNumberFormat="1" applyFont="1" applyFill="1" applyBorder="1"/>
    <xf numFmtId="193" fontId="28" fillId="0" borderId="0" xfId="0" applyNumberFormat="1" applyFont="1" applyProtection="1">
      <protection locked="0"/>
    </xf>
    <xf numFmtId="194" fontId="27" fillId="0" borderId="0" xfId="0" applyNumberFormat="1" applyFont="1" applyBorder="1" applyProtection="1">
      <protection locked="0"/>
    </xf>
    <xf numFmtId="194" fontId="27" fillId="0" borderId="12" xfId="0" applyNumberFormat="1" applyFont="1" applyBorder="1" applyProtection="1">
      <protection locked="0"/>
    </xf>
    <xf numFmtId="194" fontId="27" fillId="0" borderId="11" xfId="0" applyNumberFormat="1" applyFont="1" applyBorder="1" applyProtection="1">
      <protection locked="0"/>
    </xf>
    <xf numFmtId="184" fontId="29" fillId="0" borderId="0" xfId="4" applyNumberFormat="1" applyFont="1" applyBorder="1" applyAlignment="1">
      <alignment horizontal="center"/>
    </xf>
    <xf numFmtId="164" fontId="29" fillId="0" borderId="26" xfId="4" applyNumberFormat="1" applyFont="1" applyBorder="1"/>
    <xf numFmtId="164" fontId="29" fillId="0" borderId="12" xfId="4" applyNumberFormat="1" applyFont="1" applyBorder="1"/>
    <xf numFmtId="164" fontId="29" fillId="0" borderId="16" xfId="4" applyNumberFormat="1" applyFont="1" applyBorder="1"/>
    <xf numFmtId="0" fontId="27" fillId="0" borderId="12" xfId="0" applyFont="1" applyBorder="1" applyAlignment="1" applyProtection="1"/>
    <xf numFmtId="0" fontId="46" fillId="0" borderId="12" xfId="0" applyFont="1" applyBorder="1" applyAlignment="1" applyProtection="1">
      <protection locked="0"/>
    </xf>
    <xf numFmtId="0" fontId="27" fillId="0" borderId="0" xfId="0" applyFont="1" applyBorder="1" applyProtection="1">
      <protection locked="0"/>
    </xf>
    <xf numFmtId="188" fontId="46" fillId="0" borderId="11" xfId="3" applyNumberFormat="1" applyFont="1" applyFill="1" applyBorder="1" applyAlignment="1" applyProtection="1">
      <alignment horizontal="right"/>
      <protection locked="0"/>
    </xf>
    <xf numFmtId="10" fontId="32" fillId="9" borderId="11" xfId="0" applyNumberFormat="1" applyFont="1" applyFill="1" applyBorder="1" applyAlignment="1" applyProtection="1">
      <protection locked="0"/>
    </xf>
    <xf numFmtId="0" fontId="27" fillId="0" borderId="90" xfId="0" applyFont="1" applyBorder="1" applyProtection="1"/>
    <xf numFmtId="0" fontId="27" fillId="0" borderId="91" xfId="0" applyFont="1" applyBorder="1" applyProtection="1"/>
    <xf numFmtId="10" fontId="32" fillId="9" borderId="92" xfId="0" applyNumberFormat="1" applyFont="1" applyFill="1" applyBorder="1" applyAlignment="1" applyProtection="1">
      <protection locked="0"/>
    </xf>
    <xf numFmtId="0" fontId="32" fillId="6" borderId="11" xfId="0" applyFont="1" applyFill="1" applyBorder="1" applyAlignment="1" applyProtection="1">
      <alignment horizontal="right"/>
      <protection locked="0"/>
    </xf>
    <xf numFmtId="194" fontId="27" fillId="0" borderId="90" xfId="0" applyNumberFormat="1" applyFont="1" applyBorder="1" applyProtection="1">
      <protection locked="0"/>
    </xf>
    <xf numFmtId="194" fontId="27" fillId="0" borderId="91" xfId="0" applyNumberFormat="1" applyFont="1" applyBorder="1" applyProtection="1">
      <protection locked="0"/>
    </xf>
    <xf numFmtId="194" fontId="27" fillId="0" borderId="92" xfId="0" applyNumberFormat="1" applyFont="1" applyBorder="1" applyProtection="1">
      <protection locked="0"/>
    </xf>
    <xf numFmtId="49" fontId="32" fillId="6" borderId="0" xfId="0" applyNumberFormat="1" applyFont="1" applyFill="1" applyBorder="1" applyAlignment="1" applyProtection="1">
      <protection locked="0"/>
    </xf>
    <xf numFmtId="0" fontId="27" fillId="0" borderId="11" xfId="0" applyFont="1" applyBorder="1" applyAlignment="1" applyProtection="1"/>
    <xf numFmtId="192" fontId="27" fillId="0" borderId="11" xfId="0" applyNumberFormat="1" applyFont="1" applyFill="1" applyBorder="1" applyAlignment="1" applyProtection="1"/>
    <xf numFmtId="195" fontId="27" fillId="0" borderId="0" xfId="0" applyNumberFormat="1" applyFont="1" applyBorder="1"/>
    <xf numFmtId="182" fontId="27" fillId="0" borderId="92" xfId="0" applyNumberFormat="1" applyFont="1" applyBorder="1"/>
    <xf numFmtId="182" fontId="27" fillId="0" borderId="90" xfId="0" applyNumberFormat="1" applyFont="1" applyBorder="1"/>
    <xf numFmtId="182" fontId="27" fillId="0" borderId="91" xfId="0" applyNumberFormat="1" applyFont="1" applyBorder="1"/>
    <xf numFmtId="0" fontId="27" fillId="0" borderId="0" xfId="0" applyFont="1" applyBorder="1" applyAlignment="1">
      <alignment horizontal="center"/>
    </xf>
    <xf numFmtId="0" fontId="27" fillId="0" borderId="96" xfId="0" applyFont="1" applyBorder="1"/>
    <xf numFmtId="0" fontId="27" fillId="0" borderId="97" xfId="0" applyFont="1" applyBorder="1"/>
    <xf numFmtId="0" fontId="49" fillId="12" borderId="90" xfId="0" applyFont="1" applyFill="1" applyBorder="1" applyAlignment="1">
      <alignment horizontal="center" wrapText="1"/>
    </xf>
    <xf numFmtId="0" fontId="49" fillId="12" borderId="91" xfId="0" applyFont="1" applyFill="1" applyBorder="1" applyAlignment="1">
      <alignment horizontal="center" wrapText="1"/>
    </xf>
    <xf numFmtId="0" fontId="49" fillId="12" borderId="92" xfId="0" applyFont="1" applyFill="1" applyBorder="1" applyAlignment="1">
      <alignment horizontal="center" wrapText="1"/>
    </xf>
    <xf numFmtId="182" fontId="27" fillId="0" borderId="90" xfId="0" applyNumberFormat="1" applyFont="1" applyBorder="1" applyAlignment="1">
      <alignment horizontal="right"/>
    </xf>
    <xf numFmtId="182" fontId="27" fillId="0" borderId="91" xfId="0" applyNumberFormat="1" applyFont="1" applyBorder="1" applyAlignment="1">
      <alignment horizontal="right"/>
    </xf>
    <xf numFmtId="190" fontId="27" fillId="0" borderId="92" xfId="0" applyNumberFormat="1" applyFont="1" applyBorder="1" applyAlignment="1">
      <alignment horizontal="right"/>
    </xf>
    <xf numFmtId="0" fontId="28" fillId="0" borderId="0" xfId="0" applyFont="1" applyBorder="1"/>
    <xf numFmtId="182" fontId="28" fillId="0" borderId="0" xfId="0" applyNumberFormat="1" applyFont="1" applyBorder="1" applyAlignment="1">
      <alignment horizontal="right"/>
    </xf>
    <xf numFmtId="0" fontId="27" fillId="0" borderId="98" xfId="0" applyFont="1" applyBorder="1"/>
    <xf numFmtId="0" fontId="27" fillId="0" borderId="99" xfId="0" applyFont="1" applyBorder="1"/>
    <xf numFmtId="0" fontId="27" fillId="0" borderId="100" xfId="0" applyFont="1" applyBorder="1"/>
    <xf numFmtId="0" fontId="49" fillId="13" borderId="90" xfId="0" applyFont="1" applyFill="1" applyBorder="1" applyAlignment="1">
      <alignment horizontal="center" wrapText="1"/>
    </xf>
    <xf numFmtId="0" fontId="49" fillId="13" borderId="91" xfId="0" applyFont="1" applyFill="1" applyBorder="1" applyAlignment="1">
      <alignment horizontal="center" wrapText="1"/>
    </xf>
    <xf numFmtId="0" fontId="49" fillId="13" borderId="92" xfId="0" applyFont="1" applyFill="1" applyBorder="1" applyAlignment="1">
      <alignment horizontal="center" wrapText="1"/>
    </xf>
    <xf numFmtId="9" fontId="27" fillId="0" borderId="104" xfId="0" applyNumberFormat="1" applyFont="1" applyBorder="1"/>
    <xf numFmtId="182" fontId="27" fillId="0" borderId="92" xfId="0" applyNumberFormat="1" applyFont="1" applyBorder="1" applyAlignment="1">
      <alignment horizontal="right"/>
    </xf>
    <xf numFmtId="182" fontId="28" fillId="0" borderId="0" xfId="0" applyNumberFormat="1" applyFont="1" applyBorder="1"/>
    <xf numFmtId="182" fontId="28" fillId="4" borderId="0" xfId="0" applyNumberFormat="1" applyFont="1" applyFill="1" applyBorder="1"/>
    <xf numFmtId="10" fontId="32" fillId="0" borderId="96" xfId="0" applyNumberFormat="1" applyFont="1" applyBorder="1"/>
    <xf numFmtId="41" fontId="32" fillId="0" borderId="96" xfId="0" applyNumberFormat="1" applyFont="1" applyBorder="1"/>
    <xf numFmtId="0" fontId="27" fillId="0" borderId="96" xfId="0" applyFont="1" applyBorder="1" applyAlignment="1">
      <alignment horizontal="center"/>
    </xf>
    <xf numFmtId="182" fontId="27" fillId="0" borderId="96" xfId="0" applyNumberFormat="1" applyFont="1" applyBorder="1"/>
    <xf numFmtId="0" fontId="49" fillId="13" borderId="24" xfId="0" applyFont="1" applyFill="1" applyBorder="1" applyAlignment="1">
      <alignment horizontal="center" wrapText="1"/>
    </xf>
    <xf numFmtId="0" fontId="49" fillId="13" borderId="18" xfId="0" applyFont="1" applyFill="1" applyBorder="1" applyAlignment="1">
      <alignment horizontal="center" wrapText="1"/>
    </xf>
    <xf numFmtId="0" fontId="49" fillId="13" borderId="23" xfId="0" applyFont="1" applyFill="1" applyBorder="1" applyAlignment="1">
      <alignment horizontal="center" wrapText="1"/>
    </xf>
    <xf numFmtId="0" fontId="49" fillId="12" borderId="24" xfId="0" applyFont="1" applyFill="1" applyBorder="1" applyAlignment="1">
      <alignment horizontal="center" wrapText="1"/>
    </xf>
    <xf numFmtId="0" fontId="49" fillId="12" borderId="18" xfId="0" applyFont="1" applyFill="1" applyBorder="1" applyAlignment="1">
      <alignment horizontal="center" wrapText="1"/>
    </xf>
    <xf numFmtId="0" fontId="49" fillId="12" borderId="23" xfId="0" applyFont="1" applyFill="1" applyBorder="1" applyAlignment="1">
      <alignment horizontal="center" wrapText="1"/>
    </xf>
    <xf numFmtId="0" fontId="27" fillId="0" borderId="104" xfId="0" applyFont="1" applyBorder="1"/>
    <xf numFmtId="0" fontId="28" fillId="0" borderId="31" xfId="0" applyFont="1" applyBorder="1" applyAlignment="1">
      <alignment horizontal="center" wrapText="1"/>
    </xf>
    <xf numFmtId="2" fontId="27" fillId="0" borderId="0" xfId="0" applyNumberFormat="1" applyFont="1"/>
    <xf numFmtId="0" fontId="27" fillId="0" borderId="11" xfId="3" applyFont="1" applyBorder="1" applyAlignment="1" applyProtection="1"/>
    <xf numFmtId="178" fontId="32" fillId="9" borderId="11" xfId="0" applyNumberFormat="1" applyFont="1" applyFill="1" applyBorder="1" applyAlignment="1" applyProtection="1">
      <protection locked="0"/>
    </xf>
    <xf numFmtId="0" fontId="28" fillId="0" borderId="11" xfId="0" applyFont="1" applyFill="1" applyBorder="1" applyAlignment="1" applyProtection="1">
      <alignment horizontal="center"/>
    </xf>
    <xf numFmtId="179" fontId="27" fillId="0" borderId="0" xfId="0" applyNumberFormat="1" applyFont="1" applyFill="1" applyBorder="1"/>
    <xf numFmtId="196" fontId="27" fillId="0" borderId="92" xfId="0" applyNumberFormat="1" applyFont="1" applyFill="1" applyBorder="1" applyAlignment="1" applyProtection="1"/>
    <xf numFmtId="0" fontId="30" fillId="0" borderId="0" xfId="4" applyNumberFormat="1" applyFont="1" applyFill="1" applyBorder="1" applyAlignment="1">
      <alignment horizontal="right"/>
    </xf>
    <xf numFmtId="0" fontId="1" fillId="0" borderId="0" xfId="0" applyFont="1"/>
    <xf numFmtId="0" fontId="28" fillId="0" borderId="0" xfId="0" applyFont="1" applyBorder="1" applyAlignment="1">
      <alignment horizontal="center" vertical="center" textRotation="90"/>
    </xf>
    <xf numFmtId="0" fontId="32" fillId="14" borderId="11" xfId="0" applyFont="1" applyFill="1" applyBorder="1" applyAlignment="1" applyProtection="1">
      <alignment horizontal="right"/>
      <protection locked="0"/>
    </xf>
    <xf numFmtId="0" fontId="29" fillId="0" borderId="0" xfId="3" applyFont="1" applyAlignment="1">
      <alignment horizontal="right"/>
    </xf>
    <xf numFmtId="192" fontId="7" fillId="0" borderId="0" xfId="74" applyNumberFormat="1"/>
    <xf numFmtId="49" fontId="32" fillId="6" borderId="11" xfId="0" applyNumberFormat="1" applyFont="1" applyFill="1" applyBorder="1" applyAlignment="1" applyProtection="1">
      <alignment horizontal="right"/>
      <protection locked="0"/>
    </xf>
    <xf numFmtId="49" fontId="32" fillId="9" borderId="11" xfId="3" applyNumberFormat="1" applyFont="1" applyFill="1" applyBorder="1" applyAlignment="1" applyProtection="1">
      <alignment horizontal="right"/>
      <protection locked="0"/>
    </xf>
    <xf numFmtId="0" fontId="32" fillId="9" borderId="11" xfId="3" applyFont="1" applyFill="1" applyBorder="1" applyAlignment="1" applyProtection="1">
      <alignment horizontal="right"/>
      <protection locked="0"/>
    </xf>
    <xf numFmtId="0" fontId="32" fillId="9" borderId="30" xfId="3" applyFont="1" applyFill="1" applyBorder="1" applyAlignment="1" applyProtection="1">
      <alignment horizontal="right"/>
      <protection locked="0"/>
    </xf>
    <xf numFmtId="0" fontId="28" fillId="0" borderId="0" xfId="0" applyFont="1" applyFill="1" applyBorder="1" applyAlignment="1">
      <alignment horizontal="center" wrapText="1"/>
    </xf>
    <xf numFmtId="182" fontId="27" fillId="0" borderId="0" xfId="0" applyNumberFormat="1" applyFont="1"/>
    <xf numFmtId="197" fontId="27" fillId="0" borderId="0" xfId="0" applyNumberFormat="1" applyFont="1" applyBorder="1"/>
    <xf numFmtId="198" fontId="27" fillId="0" borderId="0" xfId="0" applyNumberFormat="1" applyFont="1"/>
    <xf numFmtId="198" fontId="27" fillId="0" borderId="0" xfId="0" applyNumberFormat="1" applyFont="1" applyBorder="1" applyProtection="1"/>
    <xf numFmtId="0" fontId="28" fillId="0" borderId="0" xfId="0" applyFont="1" applyBorder="1" applyAlignment="1">
      <alignment horizontal="right"/>
    </xf>
    <xf numFmtId="182" fontId="28" fillId="4" borderId="0" xfId="0" applyNumberFormat="1" applyFont="1" applyFill="1"/>
    <xf numFmtId="197" fontId="27" fillId="0" borderId="11" xfId="0" applyNumberFormat="1" applyFont="1" applyFill="1" applyBorder="1" applyAlignment="1" applyProtection="1">
      <alignment horizontal="right"/>
    </xf>
    <xf numFmtId="0" fontId="28" fillId="7" borderId="13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14" xfId="0" applyFont="1" applyFill="1" applyBorder="1" applyAlignment="1">
      <alignment horizontal="center"/>
    </xf>
    <xf numFmtId="0" fontId="32" fillId="6" borderId="0" xfId="0" applyFont="1" applyFill="1" applyBorder="1" applyAlignment="1" applyProtection="1">
      <protection locked="0"/>
    </xf>
    <xf numFmtId="0" fontId="0" fillId="0" borderId="0" xfId="0" applyAlignment="1"/>
    <xf numFmtId="0" fontId="0" fillId="0" borderId="11" xfId="0" applyBorder="1" applyAlignment="1"/>
    <xf numFmtId="0" fontId="28" fillId="7" borderId="93" xfId="0" applyFont="1" applyFill="1" applyBorder="1" applyAlignment="1" applyProtection="1">
      <alignment horizontal="center"/>
    </xf>
    <xf numFmtId="0" fontId="28" fillId="7" borderId="94" xfId="0" applyFont="1" applyFill="1" applyBorder="1" applyAlignment="1" applyProtection="1">
      <alignment horizontal="center"/>
    </xf>
    <xf numFmtId="0" fontId="28" fillId="7" borderId="95" xfId="0" applyFont="1" applyFill="1" applyBorder="1" applyAlignment="1" applyProtection="1">
      <alignment horizontal="center"/>
    </xf>
    <xf numFmtId="0" fontId="28" fillId="7" borderId="13" xfId="0" applyFont="1" applyFill="1" applyBorder="1" applyAlignment="1" applyProtection="1">
      <alignment horizontal="center"/>
    </xf>
    <xf numFmtId="0" fontId="28" fillId="7" borderId="14" xfId="0" applyFont="1" applyFill="1" applyBorder="1" applyAlignment="1" applyProtection="1">
      <alignment horizontal="center"/>
    </xf>
    <xf numFmtId="0" fontId="28" fillId="7" borderId="15" xfId="0" applyFont="1" applyFill="1" applyBorder="1" applyAlignment="1" applyProtection="1">
      <alignment horizontal="center"/>
    </xf>
    <xf numFmtId="0" fontId="28" fillId="0" borderId="24" xfId="0" applyFont="1" applyFill="1" applyBorder="1" applyAlignment="1" applyProtection="1">
      <alignment horizontal="center"/>
    </xf>
    <xf numFmtId="0" fontId="28" fillId="0" borderId="23" xfId="0" applyFont="1" applyFill="1" applyBorder="1" applyAlignment="1" applyProtection="1">
      <alignment horizontal="center"/>
    </xf>
    <xf numFmtId="0" fontId="0" fillId="0" borderId="6" xfId="3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6" xfId="3" applyFont="1" applyFill="1" applyBorder="1" applyAlignment="1">
      <alignment horizontal="center" vertical="center"/>
    </xf>
    <xf numFmtId="0" fontId="8" fillId="0" borderId="7" xfId="3" applyFont="1" applyFill="1" applyBorder="1" applyAlignment="1">
      <alignment horizontal="center" vertical="center"/>
    </xf>
    <xf numFmtId="172" fontId="14" fillId="0" borderId="84" xfId="3" applyNumberFormat="1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172" fontId="25" fillId="2" borderId="6" xfId="2" applyNumberFormat="1" applyFont="1" applyFill="1" applyBorder="1" applyAlignment="1" applyProtection="1">
      <alignment horizontal="center" vertical="center"/>
    </xf>
    <xf numFmtId="172" fontId="25" fillId="2" borderId="79" xfId="2" applyNumberFormat="1" applyFont="1" applyFill="1" applyBorder="1" applyAlignment="1" applyProtection="1">
      <alignment horizontal="center" vertical="center"/>
    </xf>
    <xf numFmtId="0" fontId="0" fillId="0" borderId="80" xfId="0" applyBorder="1" applyAlignment="1">
      <alignment horizontal="center" vertical="center"/>
    </xf>
    <xf numFmtId="172" fontId="8" fillId="0" borderId="82" xfId="2" applyNumberFormat="1" applyFont="1" applyFill="1" applyBorder="1" applyAlignment="1" applyProtection="1">
      <alignment horizontal="center" vertical="center"/>
    </xf>
    <xf numFmtId="0" fontId="0" fillId="0" borderId="42" xfId="0" applyBorder="1" applyAlignment="1">
      <alignment horizontal="center" vertical="center"/>
    </xf>
    <xf numFmtId="172" fontId="8" fillId="0" borderId="6" xfId="2" applyNumberFormat="1" applyFont="1" applyFill="1" applyBorder="1" applyAlignment="1" applyProtection="1">
      <alignment horizontal="center" vertical="center"/>
    </xf>
    <xf numFmtId="0" fontId="8" fillId="0" borderId="72" xfId="3" applyFont="1" applyBorder="1" applyAlignment="1"/>
    <xf numFmtId="0" fontId="8" fillId="0" borderId="73" xfId="3" applyFont="1" applyBorder="1" applyAlignment="1"/>
    <xf numFmtId="0" fontId="8" fillId="0" borderId="74" xfId="3" applyFont="1" applyBorder="1" applyAlignment="1"/>
    <xf numFmtId="0" fontId="8" fillId="0" borderId="60" xfId="3" applyBorder="1" applyAlignment="1"/>
    <xf numFmtId="0" fontId="8" fillId="0" borderId="66" xfId="3" applyBorder="1" applyAlignment="1"/>
    <xf numFmtId="0" fontId="9" fillId="4" borderId="63" xfId="3" applyFont="1" applyFill="1" applyBorder="1" applyAlignment="1"/>
    <xf numFmtId="0" fontId="0" fillId="4" borderId="64" xfId="0" applyFill="1" applyBorder="1" applyAlignment="1"/>
    <xf numFmtId="0" fontId="0" fillId="4" borderId="65" xfId="0" applyFill="1" applyBorder="1" applyAlignment="1"/>
    <xf numFmtId="0" fontId="8" fillId="0" borderId="69" xfId="3" applyFont="1" applyBorder="1" applyAlignment="1"/>
    <xf numFmtId="0" fontId="8" fillId="0" borderId="70" xfId="3" applyFont="1" applyBorder="1" applyAlignment="1"/>
    <xf numFmtId="0" fontId="8" fillId="0" borderId="71" xfId="3" applyFont="1" applyBorder="1" applyAlignment="1"/>
    <xf numFmtId="0" fontId="8" fillId="0" borderId="67" xfId="3" applyBorder="1" applyAlignment="1"/>
    <xf numFmtId="0" fontId="8" fillId="0" borderId="68" xfId="3" applyBorder="1" applyAlignment="1"/>
    <xf numFmtId="0" fontId="42" fillId="0" borderId="72" xfId="3" applyFont="1" applyBorder="1" applyAlignment="1"/>
    <xf numFmtId="0" fontId="42" fillId="0" borderId="73" xfId="3" applyFont="1" applyBorder="1" applyAlignment="1"/>
    <xf numFmtId="0" fontId="42" fillId="0" borderId="74" xfId="3" applyFont="1" applyBorder="1" applyAlignment="1"/>
    <xf numFmtId="0" fontId="0" fillId="0" borderId="72" xfId="3" applyFont="1" applyBorder="1" applyAlignment="1"/>
    <xf numFmtId="0" fontId="11" fillId="0" borderId="63" xfId="3" applyFont="1" applyBorder="1" applyAlignment="1">
      <alignment horizontal="center"/>
    </xf>
    <xf numFmtId="0" fontId="11" fillId="0" borderId="64" xfId="3" applyFont="1" applyBorder="1" applyAlignment="1">
      <alignment horizontal="center"/>
    </xf>
    <xf numFmtId="0" fontId="11" fillId="0" borderId="65" xfId="3" applyFont="1" applyBorder="1" applyAlignment="1">
      <alignment horizontal="center"/>
    </xf>
    <xf numFmtId="0" fontId="0" fillId="0" borderId="69" xfId="3" applyFont="1" applyBorder="1" applyAlignment="1"/>
    <xf numFmtId="0" fontId="17" fillId="2" borderId="0" xfId="3" applyFont="1" applyFill="1" applyBorder="1" applyAlignment="1">
      <alignment horizontal="left"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4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72" fontId="0" fillId="0" borderId="82" xfId="2" applyNumberFormat="1" applyFont="1" applyFill="1" applyBorder="1" applyAlignment="1" applyProtection="1">
      <alignment horizontal="center" vertical="center"/>
    </xf>
    <xf numFmtId="0" fontId="20" fillId="0" borderId="0" xfId="3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72" fontId="14" fillId="0" borderId="63" xfId="3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25" fillId="2" borderId="3" xfId="3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2" fontId="15" fillId="2" borderId="63" xfId="2" applyNumberFormat="1" applyFont="1" applyFill="1" applyBorder="1" applyAlignment="1" applyProtection="1">
      <alignment horizontal="center" vertical="center"/>
    </xf>
    <xf numFmtId="0" fontId="47" fillId="0" borderId="65" xfId="0" applyFont="1" applyBorder="1" applyAlignment="1">
      <alignment horizontal="center" vertical="center"/>
    </xf>
    <xf numFmtId="0" fontId="15" fillId="2" borderId="63" xfId="3" applyFont="1" applyFill="1" applyBorder="1" applyAlignment="1">
      <alignment horizontal="center" vertical="center"/>
    </xf>
    <xf numFmtId="0" fontId="15" fillId="2" borderId="64" xfId="3" applyFont="1" applyFill="1" applyBorder="1" applyAlignment="1">
      <alignment horizontal="center" vertical="center"/>
    </xf>
    <xf numFmtId="0" fontId="15" fillId="2" borderId="65" xfId="3" applyFont="1" applyFill="1" applyBorder="1" applyAlignment="1">
      <alignment horizontal="center" vertical="center"/>
    </xf>
    <xf numFmtId="0" fontId="20" fillId="0" borderId="63" xfId="3" applyFont="1" applyBorder="1" applyAlignment="1">
      <alignment horizontal="center" vertical="center"/>
    </xf>
    <xf numFmtId="0" fontId="9" fillId="0" borderId="60" xfId="3" applyFont="1" applyBorder="1" applyAlignment="1"/>
    <xf numFmtId="0" fontId="0" fillId="0" borderId="60" xfId="0" applyBorder="1" applyAlignment="1"/>
    <xf numFmtId="0" fontId="45" fillId="0" borderId="0" xfId="3" applyFont="1" applyAlignment="1">
      <alignment horizontal="center" wrapText="1"/>
    </xf>
    <xf numFmtId="0" fontId="42" fillId="0" borderId="0" xfId="0" applyFont="1" applyAlignment="1">
      <alignment horizontal="center" wrapText="1"/>
    </xf>
    <xf numFmtId="0" fontId="42" fillId="0" borderId="0" xfId="0" applyFont="1" applyAlignment="1">
      <alignment wrapText="1"/>
    </xf>
    <xf numFmtId="0" fontId="42" fillId="0" borderId="0" xfId="0" applyFont="1" applyAlignment="1"/>
    <xf numFmtId="0" fontId="0" fillId="8" borderId="0" xfId="3" applyFont="1" applyFill="1" applyAlignment="1">
      <alignment horizontal="center" vertical="center" wrapText="1"/>
    </xf>
    <xf numFmtId="0" fontId="0" fillId="8" borderId="0" xfId="3" applyFont="1" applyFill="1" applyAlignment="1">
      <alignment horizontal="right"/>
    </xf>
    <xf numFmtId="0" fontId="8" fillId="8" borderId="60" xfId="3" applyFill="1" applyBorder="1" applyAlignment="1">
      <alignment horizontal="center"/>
    </xf>
    <xf numFmtId="0" fontId="11" fillId="0" borderId="0" xfId="3" applyFont="1" applyAlignment="1">
      <alignment horizontal="center"/>
    </xf>
    <xf numFmtId="0" fontId="8" fillId="0" borderId="0" xfId="3" applyBorder="1" applyAlignment="1"/>
    <xf numFmtId="0" fontId="0" fillId="0" borderId="0" xfId="0" applyBorder="1" applyAlignment="1"/>
    <xf numFmtId="0" fontId="0" fillId="0" borderId="9" xfId="0" applyBorder="1" applyAlignment="1"/>
    <xf numFmtId="0" fontId="9" fillId="0" borderId="4" xfId="3" applyFont="1" applyBorder="1" applyAlignment="1">
      <alignment horizontal="center" vertical="center"/>
    </xf>
    <xf numFmtId="0" fontId="0" fillId="0" borderId="4" xfId="0" applyBorder="1" applyAlignment="1"/>
    <xf numFmtId="0" fontId="0" fillId="0" borderId="0" xfId="3" applyFont="1" applyAlignment="1">
      <alignment horizontal="center" vertical="center" wrapText="1"/>
    </xf>
    <xf numFmtId="0" fontId="38" fillId="0" borderId="0" xfId="3" applyFont="1" applyAlignment="1">
      <alignment horizontal="center"/>
    </xf>
    <xf numFmtId="0" fontId="0" fillId="0" borderId="60" xfId="3" applyFont="1" applyBorder="1" applyAlignment="1"/>
    <xf numFmtId="0" fontId="9" fillId="0" borderId="0" xfId="3" applyFont="1" applyBorder="1" applyAlignment="1">
      <alignment horizontal="right" vertical="center" wrapText="1"/>
    </xf>
    <xf numFmtId="0" fontId="0" fillId="0" borderId="61" xfId="0" applyBorder="1" applyAlignment="1"/>
    <xf numFmtId="0" fontId="42" fillId="0" borderId="0" xfId="3" applyFont="1" applyAlignment="1">
      <alignment horizontal="center" wrapText="1"/>
    </xf>
    <xf numFmtId="0" fontId="8" fillId="0" borderId="60" xfId="3" applyBorder="1" applyAlignment="1">
      <alignment horizontal="center"/>
    </xf>
    <xf numFmtId="0" fontId="0" fillId="0" borderId="60" xfId="0" applyBorder="1" applyAlignment="1">
      <alignment horizontal="center"/>
    </xf>
    <xf numFmtId="0" fontId="9" fillId="0" borderId="0" xfId="3" applyFont="1" applyBorder="1" applyAlignment="1">
      <alignment horizontal="center"/>
    </xf>
    <xf numFmtId="0" fontId="9" fillId="8" borderId="0" xfId="3" applyFont="1" applyFill="1" applyAlignment="1">
      <alignment horizontal="center"/>
    </xf>
    <xf numFmtId="0" fontId="9" fillId="0" borderId="60" xfId="0" applyFont="1" applyBorder="1" applyAlignment="1"/>
    <xf numFmtId="0" fontId="8" fillId="0" borderId="75" xfId="3" applyBorder="1" applyAlignment="1"/>
    <xf numFmtId="0" fontId="0" fillId="0" borderId="75" xfId="0" applyBorder="1" applyAlignment="1"/>
    <xf numFmtId="0" fontId="0" fillId="0" borderId="76" xfId="0" applyBorder="1" applyAlignment="1"/>
    <xf numFmtId="0" fontId="0" fillId="0" borderId="71" xfId="0" applyBorder="1" applyAlignment="1"/>
    <xf numFmtId="0" fontId="0" fillId="0" borderId="74" xfId="0" applyBorder="1" applyAlignment="1"/>
    <xf numFmtId="0" fontId="0" fillId="0" borderId="67" xfId="0" applyBorder="1" applyAlignment="1"/>
    <xf numFmtId="0" fontId="0" fillId="0" borderId="68" xfId="0" applyBorder="1" applyAlignment="1"/>
    <xf numFmtId="0" fontId="0" fillId="0" borderId="72" xfId="3" applyFont="1" applyBorder="1" applyAlignment="1">
      <alignment wrapText="1"/>
    </xf>
    <xf numFmtId="172" fontId="48" fillId="2" borderId="79" xfId="2" applyNumberFormat="1" applyFont="1" applyFill="1" applyBorder="1" applyAlignment="1" applyProtection="1">
      <alignment horizontal="center" vertical="center"/>
    </xf>
    <xf numFmtId="0" fontId="19" fillId="0" borderId="80" xfId="0" applyFont="1" applyBorder="1" applyAlignment="1">
      <alignment horizontal="center" vertical="center"/>
    </xf>
    <xf numFmtId="0" fontId="9" fillId="0" borderId="0" xfId="3" applyFont="1" applyBorder="1" applyAlignment="1">
      <alignment horizontal="center" vertical="center"/>
    </xf>
    <xf numFmtId="0" fontId="26" fillId="7" borderId="13" xfId="76" applyFont="1" applyFill="1" applyBorder="1" applyAlignment="1">
      <alignment horizontal="center"/>
    </xf>
    <xf numFmtId="0" fontId="26" fillId="7" borderId="14" xfId="76" applyFont="1" applyFill="1" applyBorder="1" applyAlignment="1">
      <alignment horizontal="center"/>
    </xf>
    <xf numFmtId="0" fontId="26" fillId="7" borderId="15" xfId="76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43" fillId="4" borderId="63" xfId="76" applyFont="1" applyFill="1" applyBorder="1" applyAlignment="1">
      <alignment horizontal="center"/>
    </xf>
    <xf numFmtId="0" fontId="44" fillId="4" borderId="64" xfId="0" applyFont="1" applyFill="1" applyBorder="1" applyAlignment="1">
      <alignment horizontal="center"/>
    </xf>
    <xf numFmtId="0" fontId="44" fillId="4" borderId="65" xfId="0" applyFont="1" applyFill="1" applyBorder="1" applyAlignment="1">
      <alignment horizontal="center"/>
    </xf>
    <xf numFmtId="0" fontId="27" fillId="0" borderId="24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3" xfId="0" applyFont="1" applyBorder="1" applyAlignment="1">
      <alignment horizontal="center"/>
    </xf>
    <xf numFmtId="0" fontId="51" fillId="13" borderId="36" xfId="0" applyFont="1" applyFill="1" applyBorder="1" applyAlignment="1">
      <alignment horizontal="center" wrapText="1"/>
    </xf>
    <xf numFmtId="0" fontId="51" fillId="13" borderId="37" xfId="0" applyFont="1" applyFill="1" applyBorder="1" applyAlignment="1">
      <alignment horizontal="center" wrapText="1"/>
    </xf>
    <xf numFmtId="0" fontId="51" fillId="13" borderId="35" xfId="0" applyFont="1" applyFill="1" applyBorder="1" applyAlignment="1">
      <alignment horizontal="center" wrapText="1"/>
    </xf>
    <xf numFmtId="0" fontId="51" fillId="12" borderId="36" xfId="0" applyFont="1" applyFill="1" applyBorder="1" applyAlignment="1">
      <alignment horizontal="center" wrapText="1"/>
    </xf>
    <xf numFmtId="0" fontId="51" fillId="12" borderId="37" xfId="0" applyFont="1" applyFill="1" applyBorder="1" applyAlignment="1">
      <alignment horizontal="center" wrapText="1"/>
    </xf>
    <xf numFmtId="0" fontId="51" fillId="12" borderId="35" xfId="0" applyFont="1" applyFill="1" applyBorder="1" applyAlignment="1">
      <alignment horizontal="center" wrapText="1"/>
    </xf>
    <xf numFmtId="0" fontId="49" fillId="12" borderId="90" xfId="0" applyFont="1" applyFill="1" applyBorder="1" applyAlignment="1">
      <alignment horizontal="center"/>
    </xf>
    <xf numFmtId="0" fontId="49" fillId="12" borderId="91" xfId="0" applyFont="1" applyFill="1" applyBorder="1" applyAlignment="1">
      <alignment horizontal="center"/>
    </xf>
    <xf numFmtId="0" fontId="49" fillId="12" borderId="92" xfId="0" applyFont="1" applyFill="1" applyBorder="1" applyAlignment="1">
      <alignment horizontal="center"/>
    </xf>
    <xf numFmtId="0" fontId="50" fillId="7" borderId="101" xfId="0" applyFont="1" applyFill="1" applyBorder="1" applyAlignment="1">
      <alignment horizontal="center"/>
    </xf>
    <xf numFmtId="0" fontId="50" fillId="7" borderId="102" xfId="0" applyFont="1" applyFill="1" applyBorder="1" applyAlignment="1">
      <alignment horizontal="center"/>
    </xf>
    <xf numFmtId="0" fontId="50" fillId="7" borderId="103" xfId="0" applyFont="1" applyFill="1" applyBorder="1" applyAlignment="1">
      <alignment horizontal="center"/>
    </xf>
    <xf numFmtId="0" fontId="0" fillId="0" borderId="102" xfId="0" applyBorder="1" applyAlignment="1"/>
    <xf numFmtId="0" fontId="0" fillId="0" borderId="103" xfId="0" applyBorder="1" applyAlignment="1"/>
    <xf numFmtId="0" fontId="49" fillId="13" borderId="90" xfId="0" applyFont="1" applyFill="1" applyBorder="1" applyAlignment="1">
      <alignment horizontal="center"/>
    </xf>
    <xf numFmtId="0" fontId="49" fillId="13" borderId="91" xfId="0" applyFont="1" applyFill="1" applyBorder="1" applyAlignment="1">
      <alignment horizontal="center"/>
    </xf>
    <xf numFmtId="0" fontId="49" fillId="13" borderId="92" xfId="0" applyFont="1" applyFill="1" applyBorder="1" applyAlignment="1">
      <alignment horizontal="center"/>
    </xf>
    <xf numFmtId="0" fontId="29" fillId="0" borderId="78" xfId="4" applyFont="1" applyBorder="1" applyAlignment="1">
      <alignment horizontal="center" wrapText="1"/>
    </xf>
    <xf numFmtId="0" fontId="29" fillId="0" borderId="58" xfId="4" applyFont="1" applyBorder="1" applyAlignment="1">
      <alignment horizontal="center" wrapText="1"/>
    </xf>
    <xf numFmtId="0" fontId="27" fillId="0" borderId="28" xfId="3" applyFont="1" applyBorder="1" applyAlignment="1">
      <alignment horizontal="center" wrapText="1"/>
    </xf>
    <xf numFmtId="0" fontId="27" fillId="0" borderId="29" xfId="3" applyFont="1" applyBorder="1" applyAlignment="1">
      <alignment horizontal="center" wrapText="1"/>
    </xf>
    <xf numFmtId="0" fontId="27" fillId="0" borderId="30" xfId="3" applyFont="1" applyBorder="1" applyAlignment="1">
      <alignment horizontal="center" wrapText="1"/>
    </xf>
    <xf numFmtId="0" fontId="27" fillId="0" borderId="16" xfId="3" applyFont="1" applyBorder="1" applyAlignment="1">
      <alignment horizontal="center" wrapText="1"/>
    </xf>
    <xf numFmtId="0" fontId="27" fillId="0" borderId="2" xfId="3" applyFont="1" applyBorder="1" applyAlignment="1">
      <alignment horizontal="center" wrapText="1"/>
    </xf>
    <xf numFmtId="0" fontId="27" fillId="0" borderId="17" xfId="3" applyFont="1" applyBorder="1" applyAlignment="1">
      <alignment horizontal="center" wrapText="1"/>
    </xf>
    <xf numFmtId="168" fontId="29" fillId="7" borderId="13" xfId="4" applyNumberFormat="1" applyFont="1" applyFill="1" applyBorder="1" applyAlignment="1">
      <alignment horizontal="center"/>
    </xf>
    <xf numFmtId="168" fontId="29" fillId="7" borderId="14" xfId="4" applyNumberFormat="1" applyFont="1" applyFill="1" applyBorder="1" applyAlignment="1">
      <alignment horizontal="center"/>
    </xf>
    <xf numFmtId="168" fontId="29" fillId="7" borderId="15" xfId="4" applyNumberFormat="1" applyFont="1" applyFill="1" applyBorder="1" applyAlignment="1">
      <alignment horizontal="center"/>
    </xf>
    <xf numFmtId="0" fontId="29" fillId="7" borderId="13" xfId="4" applyFont="1" applyFill="1" applyBorder="1" applyAlignment="1">
      <alignment horizontal="center"/>
    </xf>
    <xf numFmtId="0" fontId="29" fillId="7" borderId="14" xfId="4" applyFont="1" applyFill="1" applyBorder="1" applyAlignment="1">
      <alignment horizontal="center"/>
    </xf>
    <xf numFmtId="0" fontId="29" fillId="7" borderId="15" xfId="4" applyFont="1" applyFill="1" applyBorder="1" applyAlignment="1">
      <alignment horizontal="center"/>
    </xf>
    <xf numFmtId="0" fontId="28" fillId="0" borderId="13" xfId="3" applyFont="1" applyBorder="1" applyAlignment="1">
      <alignment horizontal="center"/>
    </xf>
    <xf numFmtId="0" fontId="28" fillId="0" borderId="15" xfId="3" applyFont="1" applyBorder="1" applyAlignment="1">
      <alignment horizontal="center"/>
    </xf>
    <xf numFmtId="0" fontId="0" fillId="0" borderId="14" xfId="0" applyBorder="1" applyAlignment="1"/>
    <xf numFmtId="0" fontId="0" fillId="0" borderId="15" xfId="0" applyBorder="1" applyAlignment="1"/>
    <xf numFmtId="0" fontId="28" fillId="0" borderId="19" xfId="0" applyFont="1" applyBorder="1" applyAlignment="1">
      <alignment horizontal="center" vertical="center" textRotation="90"/>
    </xf>
    <xf numFmtId="0" fontId="28" fillId="0" borderId="20" xfId="0" applyFont="1" applyBorder="1" applyAlignment="1">
      <alignment horizontal="center" vertical="center" textRotation="90"/>
    </xf>
    <xf numFmtId="0" fontId="28" fillId="0" borderId="21" xfId="0" applyFont="1" applyBorder="1" applyAlignment="1">
      <alignment horizontal="center" vertical="center" textRotation="90"/>
    </xf>
    <xf numFmtId="0" fontId="28" fillId="0" borderId="19" xfId="0" applyFont="1" applyBorder="1" applyAlignment="1">
      <alignment horizontal="center" textRotation="90"/>
    </xf>
    <xf numFmtId="0" fontId="28" fillId="0" borderId="20" xfId="0" applyFont="1" applyBorder="1" applyAlignment="1">
      <alignment horizontal="center" textRotation="90"/>
    </xf>
    <xf numFmtId="0" fontId="28" fillId="0" borderId="21" xfId="0" applyFont="1" applyBorder="1" applyAlignment="1">
      <alignment horizontal="center" textRotation="90"/>
    </xf>
    <xf numFmtId="0" fontId="28" fillId="0" borderId="19" xfId="0" applyFont="1" applyBorder="1" applyAlignment="1">
      <alignment vertical="center" textRotation="90"/>
    </xf>
    <xf numFmtId="0" fontId="28" fillId="0" borderId="20" xfId="0" applyFont="1" applyBorder="1" applyAlignment="1">
      <alignment vertical="center" textRotation="90"/>
    </xf>
    <xf numFmtId="0" fontId="9" fillId="0" borderId="20" xfId="0" applyFont="1" applyBorder="1" applyAlignment="1">
      <alignment vertical="center" textRotation="90"/>
    </xf>
    <xf numFmtId="0" fontId="9" fillId="0" borderId="21" xfId="0" applyFont="1" applyBorder="1" applyAlignment="1">
      <alignment vertical="center" textRotation="90"/>
    </xf>
    <xf numFmtId="0" fontId="27" fillId="0" borderId="11" xfId="0" applyFont="1" applyFill="1" applyBorder="1" applyAlignment="1" applyProtection="1">
      <alignment horizontal="right"/>
    </xf>
    <xf numFmtId="194" fontId="27" fillId="0" borderId="105" xfId="0" applyNumberFormat="1" applyFont="1" applyBorder="1" applyProtection="1">
      <protection locked="0"/>
    </xf>
    <xf numFmtId="194" fontId="27" fillId="0" borderId="106" xfId="0" applyNumberFormat="1" applyFont="1" applyBorder="1" applyProtection="1">
      <protection locked="0"/>
    </xf>
    <xf numFmtId="194" fontId="27" fillId="0" borderId="107" xfId="0" applyNumberFormat="1" applyFont="1" applyBorder="1" applyProtection="1">
      <protection locked="0"/>
    </xf>
  </cellXfs>
  <cellStyles count="77">
    <cellStyle name="Comma" xfId="1" builtinId="3"/>
    <cellStyle name="Currency" xfId="2" builtinId="4"/>
    <cellStyle name="Excel Built-in Normal" xfId="3"/>
    <cellStyle name="Excel Built-in Normal 1" xfId="4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3" builtinId="8"/>
    <cellStyle name="Normal" xfId="0" builtinId="0"/>
    <cellStyle name="Normal 2" xfId="70"/>
    <cellStyle name="Normal 2 10" xfId="72"/>
    <cellStyle name="Normal 2 2" xfId="71"/>
    <cellStyle name="Normal 3" xfId="74"/>
    <cellStyle name="Normal 3 2" xfId="76"/>
    <cellStyle name="Normal_FORMATO UNICO DE AUTORIZACION DE CONSULTA DE BC - ampliado (3)" xfId="75"/>
    <cellStyle name="Percent" xfId="5" builtinId="5"/>
  </cellStyles>
  <dxfs count="4"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53735"/>
      <rgbColor rgb="00EBF3E4"/>
      <rgbColor rgb="00EBF1DE"/>
      <rgbColor rgb="00660066"/>
      <rgbColor rgb="00FF8080"/>
      <rgbColor rgb="000066CC"/>
      <rgbColor rgb="00C6D9F1"/>
      <rgbColor rgb="00000080"/>
      <rgbColor rgb="00FF00FF"/>
      <rgbColor rgb="00FFFF66"/>
      <rgbColor rgb="0000FFFF"/>
      <rgbColor rgb="00800080"/>
      <rgbColor rgb="00800000"/>
      <rgbColor rgb="00008080"/>
      <rgbColor rgb="000000FF"/>
      <rgbColor rgb="0000CCFF"/>
      <rgbColor rgb="00D9D9D9"/>
      <rgbColor rgb="00CCFFCC"/>
      <rgbColor rgb="00FFFF99"/>
      <rgbColor rgb="00B3B3B3"/>
      <rgbColor rgb="00E6B9B8"/>
      <rgbColor rgb="00CC99FF"/>
      <rgbColor rgb="00FFCC99"/>
      <rgbColor rgb="003366FF"/>
      <rgbColor rgb="0033CCCC"/>
      <rgbColor rgb="0066FF00"/>
      <rgbColor rgb="00FFD320"/>
      <rgbColor rgb="00FF9900"/>
      <rgbColor rgb="00FF6600"/>
      <rgbColor rgb="00666666"/>
      <rgbColor rgb="00B2B2B2"/>
      <rgbColor rgb="00003366"/>
      <rgbColor rgb="00339966"/>
      <rgbColor rgb="00003300"/>
      <rgbColor rgb="00333300"/>
      <rgbColor rgb="00993300"/>
      <rgbColor rgb="00993366"/>
      <rgbColor rgb="00442759"/>
      <rgbColor rgb="00333333"/>
    </indexedColors>
    <mruColors>
      <color rgb="FFFFFFCC"/>
      <color rgb="FF92D050"/>
      <color rgb="FF002060"/>
      <color rgb="FFEAEAEA"/>
      <color rgb="FFDCE6F1"/>
      <color rgb="FF00FF00"/>
      <color rgb="FF008000"/>
      <color rgb="FFFF6600"/>
      <color rgb="FF0000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Savings!$AH$2</c:f>
              <c:strCache>
                <c:ptCount val="1"/>
                <c:pt idx="0">
                  <c:v>CFE Bill (Year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85291.92</c:v>
                </c:pt>
              </c:numCache>
            </c:numRef>
          </c:val>
        </c:ser>
        <c:ser>
          <c:idx val="1"/>
          <c:order val="1"/>
          <c:tx>
            <c:strRef>
              <c:f>Savings!$AI$2</c:f>
              <c:strCache>
                <c:ptCount val="1"/>
                <c:pt idx="0">
                  <c:v>CFE + MySOL Bill (Year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Savings!$AD$6</c:f>
              <c:numCache>
                <c:formatCode>[$$-409]#,##0;[Red]\-[$$-409]#,##0</c:formatCode>
                <c:ptCount val="1"/>
                <c:pt idx="0">
                  <c:v>69220.559352888871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11503320"/>
        <c:axId val="211505280"/>
      </c:barChart>
      <c:catAx>
        <c:axId val="211503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52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505280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33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Savings!$J$2</c:f>
              <c:strCache>
                <c:ptCount val="1"/>
                <c:pt idx="0">
                  <c:v>CFE Bill</c:v>
                </c:pt>
              </c:strCache>
            </c:strRef>
          </c:tx>
          <c:spPr>
            <a:solidFill>
              <a:srgbClr val="00206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85291.92</c:v>
                </c:pt>
                <c:pt idx="1">
                  <c:v>92115.2736</c:v>
                </c:pt>
                <c:pt idx="2">
                  <c:v>99484.495488000015</c:v>
                </c:pt>
                <c:pt idx="3">
                  <c:v>107443.25512704003</c:v>
                </c:pt>
                <c:pt idx="4">
                  <c:v>116038.71553720324</c:v>
                </c:pt>
                <c:pt idx="5">
                  <c:v>125321.81278017951</c:v>
                </c:pt>
                <c:pt idx="6">
                  <c:v>135347.55780259389</c:v>
                </c:pt>
                <c:pt idx="7">
                  <c:v>146175.36242680138</c:v>
                </c:pt>
                <c:pt idx="8">
                  <c:v>157869.39142094553</c:v>
                </c:pt>
                <c:pt idx="9">
                  <c:v>170498.94273462115</c:v>
                </c:pt>
                <c:pt idx="10">
                  <c:v>184138.85815339087</c:v>
                </c:pt>
                <c:pt idx="11">
                  <c:v>198869.96680566214</c:v>
                </c:pt>
                <c:pt idx="12">
                  <c:v>214779.56415011513</c:v>
                </c:pt>
                <c:pt idx="13">
                  <c:v>231961.92928212433</c:v>
                </c:pt>
                <c:pt idx="14">
                  <c:v>250518.88362469431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Savings!$AD$2</c:f>
              <c:strCache>
                <c:ptCount val="1"/>
                <c:pt idx="0">
                  <c:v>CFE + MySOL Bill</c:v>
                </c:pt>
              </c:strCache>
            </c:strRef>
          </c:tx>
          <c:spPr>
            <a:solidFill>
              <a:srgbClr val="92D05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69220.559352888871</c:v>
                </c:pt>
                <c:pt idx="1">
                  <c:v>71468.145854802511</c:v>
                </c:pt>
                <c:pt idx="2">
                  <c:v>74102.969810258699</c:v>
                </c:pt>
                <c:pt idx="3">
                  <c:v>76836.867923028738</c:v>
                </c:pt>
                <c:pt idx="4">
                  <c:v>79673.759136177512</c:v>
                </c:pt>
                <c:pt idx="5">
                  <c:v>82617.733276715066</c:v>
                </c:pt>
                <c:pt idx="6">
                  <c:v>85673.059678367921</c:v>
                </c:pt>
                <c:pt idx="7">
                  <c:v>88844.196316291564</c:v>
                </c:pt>
                <c:pt idx="8">
                  <c:v>92135.799488432021</c:v>
                </c:pt>
                <c:pt idx="9">
                  <c:v>96061.013607559697</c:v>
                </c:pt>
                <c:pt idx="10">
                  <c:v>4375.3284547414351</c:v>
                </c:pt>
                <c:pt idx="11">
                  <c:v>4764.5863815403036</c:v>
                </c:pt>
                <c:pt idx="12">
                  <c:v>5083.5138461107572</c:v>
                </c:pt>
                <c:pt idx="13">
                  <c:v>5426.0883244682645</c:v>
                </c:pt>
                <c:pt idx="14">
                  <c:v>5794.1455622144331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Savings!$AE$2</c:f>
              <c:strCache>
                <c:ptCount val="1"/>
                <c:pt idx="0">
                  <c:v>Savings ($)</c:v>
                </c:pt>
              </c:strCache>
            </c:strRef>
          </c:tx>
          <c:spPr>
            <a:solidFill>
              <a:srgbClr val="FFFF0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Savings!$AE$6:$AE$20</c:f>
              <c:numCache>
                <c:formatCode>[$$-409]#,##0;[Red]\-[$$-409]#,##0</c:formatCode>
                <c:ptCount val="15"/>
                <c:pt idx="0">
                  <c:v>16071.360647111127</c:v>
                </c:pt>
                <c:pt idx="1">
                  <c:v>20647.127745197489</c:v>
                </c:pt>
                <c:pt idx="2">
                  <c:v>25381.525677741316</c:v>
                </c:pt>
                <c:pt idx="3">
                  <c:v>30606.387204011291</c:v>
                </c:pt>
                <c:pt idx="4">
                  <c:v>36364.956401025731</c:v>
                </c:pt>
                <c:pt idx="5">
                  <c:v>42704.07950346444</c:v>
                </c:pt>
                <c:pt idx="6">
                  <c:v>49674.498124225967</c:v>
                </c:pt>
                <c:pt idx="7">
                  <c:v>57331.166110509817</c:v>
                </c:pt>
                <c:pt idx="8">
                  <c:v>65733.591932513504</c:v>
                </c:pt>
                <c:pt idx="9">
                  <c:v>74437.929127061449</c:v>
                </c:pt>
                <c:pt idx="10">
                  <c:v>179763.52969864945</c:v>
                </c:pt>
                <c:pt idx="11">
                  <c:v>194105.38042412183</c:v>
                </c:pt>
                <c:pt idx="12">
                  <c:v>209696.05030400437</c:v>
                </c:pt>
                <c:pt idx="13">
                  <c:v>226535.84095765607</c:v>
                </c:pt>
                <c:pt idx="14">
                  <c:v>244724.73806247988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11500968"/>
        <c:axId val="211505672"/>
      </c:barChart>
      <c:catAx>
        <c:axId val="21150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5672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11505672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0968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Savings!$AH$3</c:f>
              <c:strCache>
                <c:ptCount val="1"/>
                <c:pt idx="0">
                  <c:v>Recibo CFE (Año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85291.92</c:v>
                </c:pt>
              </c:numCache>
            </c:numRef>
          </c:val>
        </c:ser>
        <c:ser>
          <c:idx val="1"/>
          <c:order val="1"/>
          <c:tx>
            <c:strRef>
              <c:f>Savings!$AI$3</c:f>
              <c:strCache>
                <c:ptCount val="1"/>
                <c:pt idx="0">
                  <c:v>Recibo CFE + MySOL (Año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Savings!$AD$6</c:f>
              <c:numCache>
                <c:formatCode>[$$-409]#,##0;[Red]\-[$$-409]#,##0</c:formatCode>
                <c:ptCount val="1"/>
                <c:pt idx="0">
                  <c:v>69220.559352888871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11502144"/>
        <c:axId val="211502928"/>
      </c:barChart>
      <c:catAx>
        <c:axId val="21150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2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11502928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21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Savings!$J$3</c:f>
              <c:strCache>
                <c:ptCount val="1"/>
                <c:pt idx="0">
                  <c:v>Recibo CFE</c:v>
                </c:pt>
              </c:strCache>
            </c:strRef>
          </c:tx>
          <c:spPr>
            <a:solidFill>
              <a:srgbClr val="00206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85291.92</c:v>
                </c:pt>
                <c:pt idx="1">
                  <c:v>92115.2736</c:v>
                </c:pt>
                <c:pt idx="2">
                  <c:v>99484.495488000015</c:v>
                </c:pt>
                <c:pt idx="3">
                  <c:v>107443.25512704003</c:v>
                </c:pt>
                <c:pt idx="4">
                  <c:v>116038.71553720324</c:v>
                </c:pt>
                <c:pt idx="5">
                  <c:v>125321.81278017951</c:v>
                </c:pt>
                <c:pt idx="6">
                  <c:v>135347.55780259389</c:v>
                </c:pt>
                <c:pt idx="7">
                  <c:v>146175.36242680138</c:v>
                </c:pt>
                <c:pt idx="8">
                  <c:v>157869.39142094553</c:v>
                </c:pt>
                <c:pt idx="9">
                  <c:v>170498.94273462115</c:v>
                </c:pt>
                <c:pt idx="10">
                  <c:v>184138.85815339087</c:v>
                </c:pt>
                <c:pt idx="11">
                  <c:v>198869.96680566214</c:v>
                </c:pt>
                <c:pt idx="12">
                  <c:v>214779.56415011513</c:v>
                </c:pt>
                <c:pt idx="13">
                  <c:v>231961.92928212433</c:v>
                </c:pt>
                <c:pt idx="14">
                  <c:v>250518.88362469431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Savings!$AD$3</c:f>
              <c:strCache>
                <c:ptCount val="1"/>
                <c:pt idx="0">
                  <c:v>Recibo CFE + MySOL</c:v>
                </c:pt>
              </c:strCache>
            </c:strRef>
          </c:tx>
          <c:spPr>
            <a:solidFill>
              <a:srgbClr val="92D05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69220.559352888871</c:v>
                </c:pt>
                <c:pt idx="1">
                  <c:v>71468.145854802511</c:v>
                </c:pt>
                <c:pt idx="2">
                  <c:v>74102.969810258699</c:v>
                </c:pt>
                <c:pt idx="3">
                  <c:v>76836.867923028738</c:v>
                </c:pt>
                <c:pt idx="4">
                  <c:v>79673.759136177512</c:v>
                </c:pt>
                <c:pt idx="5">
                  <c:v>82617.733276715066</c:v>
                </c:pt>
                <c:pt idx="6">
                  <c:v>85673.059678367921</c:v>
                </c:pt>
                <c:pt idx="7">
                  <c:v>88844.196316291564</c:v>
                </c:pt>
                <c:pt idx="8">
                  <c:v>92135.799488432021</c:v>
                </c:pt>
                <c:pt idx="9">
                  <c:v>96061.013607559697</c:v>
                </c:pt>
                <c:pt idx="10">
                  <c:v>4375.3284547414351</c:v>
                </c:pt>
                <c:pt idx="11">
                  <c:v>4764.5863815403036</c:v>
                </c:pt>
                <c:pt idx="12">
                  <c:v>5083.5138461107572</c:v>
                </c:pt>
                <c:pt idx="13">
                  <c:v>5426.0883244682645</c:v>
                </c:pt>
                <c:pt idx="14">
                  <c:v>5794.1455622144331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Savings!$AE$3</c:f>
              <c:strCache>
                <c:ptCount val="1"/>
                <c:pt idx="0">
                  <c:v>Ahorros $</c:v>
                </c:pt>
              </c:strCache>
            </c:strRef>
          </c:tx>
          <c:spPr>
            <a:solidFill>
              <a:srgbClr val="FFFF00"/>
            </a:solidFill>
            <a:ln w="3175"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Savings!$AE$6:$AE$20</c:f>
              <c:numCache>
                <c:formatCode>[$$-409]#,##0;[Red]\-[$$-409]#,##0</c:formatCode>
                <c:ptCount val="15"/>
                <c:pt idx="0">
                  <c:v>16071.360647111127</c:v>
                </c:pt>
                <c:pt idx="1">
                  <c:v>20647.127745197489</c:v>
                </c:pt>
                <c:pt idx="2">
                  <c:v>25381.525677741316</c:v>
                </c:pt>
                <c:pt idx="3">
                  <c:v>30606.387204011291</c:v>
                </c:pt>
                <c:pt idx="4">
                  <c:v>36364.956401025731</c:v>
                </c:pt>
                <c:pt idx="5">
                  <c:v>42704.07950346444</c:v>
                </c:pt>
                <c:pt idx="6">
                  <c:v>49674.498124225967</c:v>
                </c:pt>
                <c:pt idx="7">
                  <c:v>57331.166110509817</c:v>
                </c:pt>
                <c:pt idx="8">
                  <c:v>65733.591932513504</c:v>
                </c:pt>
                <c:pt idx="9">
                  <c:v>74437.929127061449</c:v>
                </c:pt>
                <c:pt idx="10">
                  <c:v>179763.52969864945</c:v>
                </c:pt>
                <c:pt idx="11">
                  <c:v>194105.38042412183</c:v>
                </c:pt>
                <c:pt idx="12">
                  <c:v>209696.05030400437</c:v>
                </c:pt>
                <c:pt idx="13">
                  <c:v>226535.84095765607</c:v>
                </c:pt>
                <c:pt idx="14">
                  <c:v>244724.73806247988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11504496"/>
        <c:axId val="211502536"/>
      </c:barChart>
      <c:catAx>
        <c:axId val="211504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Año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2536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11502536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504496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aseline="0">
                <a:latin typeface="Arial" panose="020B0604020202020204" pitchFamily="34" charset="0"/>
              </a:defRPr>
            </a:pPr>
            <a:r>
              <a:rPr lang="en-US" baseline="0">
                <a:latin typeface="Arial" panose="020B0604020202020204" pitchFamily="34" charset="0"/>
              </a:rPr>
              <a:t>Usage vs Production in Year 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SalesSupport!$AE$3</c:f>
              <c:strCache>
                <c:ptCount val="1"/>
                <c:pt idx="0">
                  <c:v>Usage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strRef>
              <c:f>SalesSupport!$AD$4:$AD$15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SalesSupport!$AE$4:$AE$15</c:f>
              <c:numCache>
                <c:formatCode>_(* #,##0_);[Red]_(* \-#,##0_);_(* "-"_);_(@_)</c:formatCode>
                <c:ptCount val="12"/>
                <c:pt idx="0">
                  <c:v>568</c:v>
                </c:pt>
                <c:pt idx="1">
                  <c:v>778</c:v>
                </c:pt>
                <c:pt idx="2">
                  <c:v>882</c:v>
                </c:pt>
                <c:pt idx="3">
                  <c:v>950</c:v>
                </c:pt>
                <c:pt idx="4">
                  <c:v>1280</c:v>
                </c:pt>
                <c:pt idx="5">
                  <c:v>1500</c:v>
                </c:pt>
                <c:pt idx="6">
                  <c:v>1800</c:v>
                </c:pt>
                <c:pt idx="7">
                  <c:v>1774</c:v>
                </c:pt>
                <c:pt idx="8">
                  <c:v>1544</c:v>
                </c:pt>
                <c:pt idx="9">
                  <c:v>1498</c:v>
                </c:pt>
                <c:pt idx="10">
                  <c:v>1686</c:v>
                </c:pt>
                <c:pt idx="11">
                  <c:v>956</c:v>
                </c:pt>
              </c:numCache>
            </c:numRef>
          </c:val>
        </c:ser>
        <c:ser>
          <c:idx val="1"/>
          <c:order val="1"/>
          <c:tx>
            <c:strRef>
              <c:f>SalesSupport!$AG$3</c:f>
              <c:strCache>
                <c:ptCount val="1"/>
                <c:pt idx="0">
                  <c:v>System Production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strRef>
              <c:f>SalesSupport!$AD$4:$AD$15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SalesSupport!$AG$4:$AG$15</c:f>
              <c:numCache>
                <c:formatCode>_(* #,##0_);[Red]_(* \-#,##0_);_(* "-"_);_(@_)</c:formatCode>
                <c:ptCount val="12"/>
                <c:pt idx="0">
                  <c:v>1219.5701983322001</c:v>
                </c:pt>
                <c:pt idx="1">
                  <c:v>1380.4150158084001</c:v>
                </c:pt>
                <c:pt idx="2">
                  <c:v>1472.0354814594</c:v>
                </c:pt>
                <c:pt idx="3">
                  <c:v>1390.5950675474</c:v>
                </c:pt>
                <c:pt idx="4">
                  <c:v>1278.6144984183998</c:v>
                </c:pt>
                <c:pt idx="5">
                  <c:v>1290.8305605051999</c:v>
                </c:pt>
                <c:pt idx="6">
                  <c:v>1235.8582811146</c:v>
                </c:pt>
                <c:pt idx="7">
                  <c:v>1166.6339292894002</c:v>
                </c:pt>
                <c:pt idx="8">
                  <c:v>1129.9857430290001</c:v>
                </c:pt>
                <c:pt idx="9">
                  <c:v>1189.0300431151998</c:v>
                </c:pt>
                <c:pt idx="10">
                  <c:v>1260.2904052882</c:v>
                </c:pt>
                <c:pt idx="11">
                  <c:v>1127.9497326811997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606656"/>
        <c:axId val="267601560"/>
      </c:barChart>
      <c:catAx>
        <c:axId val="267606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7601560"/>
        <c:crosses val="autoZero"/>
        <c:auto val="1"/>
        <c:lblAlgn val="ctr"/>
        <c:lblOffset val="100"/>
        <c:noMultiLvlLbl val="0"/>
      </c:catAx>
      <c:valAx>
        <c:axId val="2676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kWh</a:t>
                </a:r>
              </a:p>
            </c:rich>
          </c:tx>
          <c:overlay val="0"/>
        </c:title>
        <c:numFmt formatCode="_(* #,##0_);[Red]_(* \-#,##0_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7606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800" b="1" i="0" baseline="0">
                <a:solidFill>
                  <a:sysClr val="windowText" lastClr="000000"/>
                </a:solidFill>
                <a:latin typeface="Arial" panose="020B0604020202020204" pitchFamily="34" charset="0"/>
              </a:rPr>
              <a:t>Savings with MySOL in Year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Savings!$J$2</c:f>
              <c:strCache>
                <c:ptCount val="1"/>
                <c:pt idx="0">
                  <c:v>CFE Bill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SalesSupport!$AD$4:$AD$15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SalesSupport!$AR$4:$AR$15</c:f>
              <c:numCache>
                <c:formatCode>_(* #,##0_);[Red]_(* \-#,##0_);_(* "-"_);_(@_)</c:formatCode>
                <c:ptCount val="12"/>
                <c:pt idx="0">
                  <c:v>3094.9102799999996</c:v>
                </c:pt>
                <c:pt idx="1">
                  <c:v>4342.3380000000006</c:v>
                </c:pt>
                <c:pt idx="2">
                  <c:v>5304.6881999999996</c:v>
                </c:pt>
                <c:pt idx="3">
                  <c:v>5623.317</c:v>
                </c:pt>
                <c:pt idx="4">
                  <c:v>7173.7344000000003</c:v>
                </c:pt>
                <c:pt idx="5">
                  <c:v>8355.3246000000017</c:v>
                </c:pt>
                <c:pt idx="6">
                  <c:v>9985.8276000000005</c:v>
                </c:pt>
                <c:pt idx="7">
                  <c:v>9676.8957599999994</c:v>
                </c:pt>
                <c:pt idx="8">
                  <c:v>7629.77628</c:v>
                </c:pt>
                <c:pt idx="9">
                  <c:v>7414.0012799999995</c:v>
                </c:pt>
                <c:pt idx="10">
                  <c:v>8603.0960400000004</c:v>
                </c:pt>
                <c:pt idx="11">
                  <c:v>4997.1221999999998</c:v>
                </c:pt>
              </c:numCache>
            </c:numRef>
          </c:val>
        </c:ser>
        <c:ser>
          <c:idx val="1"/>
          <c:order val="1"/>
          <c:tx>
            <c:strRef>
              <c:f>Savings!$AD$2</c:f>
              <c:strCache>
                <c:ptCount val="1"/>
                <c:pt idx="0">
                  <c:v>CFE + MySOL Bill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SalesSupport!$AD$4:$AD$15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SalesSupport!$AY$4:$AY$15</c:f>
              <c:numCache>
                <c:formatCode>_(* #,##0_);[Red]_(* \-#,##0_);_(* "-"_);_(@_)</c:formatCode>
                <c:ptCount val="12"/>
                <c:pt idx="0">
                  <c:v>5749.3804506008564</c:v>
                </c:pt>
                <c:pt idx="1">
                  <c:v>5751.0688506008564</c:v>
                </c:pt>
                <c:pt idx="2">
                  <c:v>5754.773250600856</c:v>
                </c:pt>
                <c:pt idx="3">
                  <c:v>5755.5292506008564</c:v>
                </c:pt>
                <c:pt idx="4">
                  <c:v>5754.6346506008558</c:v>
                </c:pt>
                <c:pt idx="5">
                  <c:v>5753.2108506008562</c:v>
                </c:pt>
                <c:pt idx="6">
                  <c:v>5753.3998506008566</c:v>
                </c:pt>
                <c:pt idx="7">
                  <c:v>5752.3162506008557</c:v>
                </c:pt>
                <c:pt idx="8">
                  <c:v>5745.3232506008562</c:v>
                </c:pt>
                <c:pt idx="9">
                  <c:v>5745.8398506008562</c:v>
                </c:pt>
                <c:pt idx="10">
                  <c:v>6985.9271378403</c:v>
                </c:pt>
                <c:pt idx="11">
                  <c:v>5747.4904506008561</c:v>
                </c:pt>
              </c:numCache>
            </c:numRef>
          </c:val>
        </c:ser>
        <c:ser>
          <c:idx val="2"/>
          <c:order val="2"/>
          <c:tx>
            <c:strRef>
              <c:f>Savings!$AE$2</c:f>
              <c:strCache>
                <c:ptCount val="1"/>
                <c:pt idx="0">
                  <c:v>Savings ($)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SalesSupport!$AD$4:$AD$15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SalesSupport!$AZ$4:$AZ$15</c:f>
              <c:numCache>
                <c:formatCode>_(* #,##0_);[Red]_(* \-#,##0_);_(* "-"_);_(@_)</c:formatCode>
                <c:ptCount val="12"/>
                <c:pt idx="0">
                  <c:v>-2654.4701706008568</c:v>
                </c:pt>
                <c:pt idx="1">
                  <c:v>-1408.7308506008558</c:v>
                </c:pt>
                <c:pt idx="2">
                  <c:v>-450.08505060085645</c:v>
                </c:pt>
                <c:pt idx="3">
                  <c:v>-132.21225060085635</c:v>
                </c:pt>
                <c:pt idx="4">
                  <c:v>1419.0997493991445</c:v>
                </c:pt>
                <c:pt idx="5">
                  <c:v>2602.1137493991455</c:v>
                </c:pt>
                <c:pt idx="6">
                  <c:v>4232.427749399144</c:v>
                </c:pt>
                <c:pt idx="7">
                  <c:v>3924.5795093991437</c:v>
                </c:pt>
                <c:pt idx="8">
                  <c:v>1884.4530293991438</c:v>
                </c:pt>
                <c:pt idx="9">
                  <c:v>1668.1614293991433</c:v>
                </c:pt>
                <c:pt idx="10">
                  <c:v>1617.1689021597003</c:v>
                </c:pt>
                <c:pt idx="11">
                  <c:v>-750.3682506008563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604696"/>
        <c:axId val="267607048"/>
      </c:barChart>
      <c:catAx>
        <c:axId val="267604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267607048"/>
        <c:crosses val="autoZero"/>
        <c:auto val="1"/>
        <c:lblAlgn val="ctr"/>
        <c:lblOffset val="100"/>
        <c:noMultiLvlLbl val="0"/>
      </c:catAx>
      <c:valAx>
        <c:axId val="26760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r>
                  <a:rPr lang="en-US" b="1" i="0" baseline="0">
                    <a:latin typeface="Arial" panose="020B0604020202020204" pitchFamily="34" charset="0"/>
                  </a:rPr>
                  <a:t>MXN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[Red]_(* \-#,##0_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n-US"/>
          </a:p>
        </c:txPr>
        <c:crossAx val="26760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9</xdr:col>
          <xdr:colOff>0</xdr:colOff>
          <xdr:row>31</xdr:row>
          <xdr:rowOff>9525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19050</xdr:rowOff>
        </xdr:from>
        <xdr:to>
          <xdr:col>9</xdr:col>
          <xdr:colOff>9525</xdr:colOff>
          <xdr:row>36</xdr:row>
          <xdr:rowOff>19050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37</xdr:row>
          <xdr:rowOff>9525</xdr:rowOff>
        </xdr:from>
        <xdr:to>
          <xdr:col>9</xdr:col>
          <xdr:colOff>9525</xdr:colOff>
          <xdr:row>40</xdr:row>
          <xdr:rowOff>9525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9</xdr:col>
          <xdr:colOff>0</xdr:colOff>
          <xdr:row>27</xdr:row>
          <xdr:rowOff>9525</xdr:rowOff>
        </xdr:to>
        <xdr:sp macro="" textlink="">
          <xdr:nvSpPr>
            <xdr:cNvPr id="77878" name="Button 54" hidden="1">
              <a:extLst>
                <a:ext uri="{63B3BB69-23CF-44E3-9099-C40C66FF867C}">
                  <a14:compatExt spid="_x0000_s7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Recommend Systems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0</xdr:colOff>
      <xdr:row>109</xdr:row>
      <xdr:rowOff>127000</xdr:rowOff>
    </xdr:to>
    <xdr:graphicFrame macro="">
      <xdr:nvGraphicFramePr>
        <xdr:cNvPr id="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4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0</xdr:colOff>
      <xdr:row>52</xdr:row>
      <xdr:rowOff>61858</xdr:rowOff>
    </xdr:to>
    <xdr:pic>
      <xdr:nvPicPr>
        <xdr:cNvPr id="15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28124" y="7486650"/>
          <a:ext cx="46777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3</xdr:col>
      <xdr:colOff>791935</xdr:colOff>
      <xdr:row>153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3</xdr:col>
      <xdr:colOff>791935</xdr:colOff>
      <xdr:row>234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1</xdr:colOff>
      <xdr:row>109</xdr:row>
      <xdr:rowOff>127000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3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9525</xdr:colOff>
      <xdr:row>52</xdr:row>
      <xdr:rowOff>61858</xdr:rowOff>
    </xdr:to>
    <xdr:pic>
      <xdr:nvPicPr>
        <xdr:cNvPr id="14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37649" y="7886700"/>
          <a:ext cx="43729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3</xdr:col>
      <xdr:colOff>791935</xdr:colOff>
      <xdr:row>153</xdr:row>
      <xdr:rowOff>76200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3</xdr:col>
      <xdr:colOff>791935</xdr:colOff>
      <xdr:row>234</xdr:row>
      <xdr:rowOff>76200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21</xdr:row>
      <xdr:rowOff>9531</xdr:rowOff>
    </xdr:from>
    <xdr:to>
      <xdr:col>41</xdr:col>
      <xdr:colOff>0</xdr:colOff>
      <xdr:row>45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390525</xdr:colOff>
      <xdr:row>21</xdr:row>
      <xdr:rowOff>4761</xdr:rowOff>
    </xdr:from>
    <xdr:to>
      <xdr:col>52</xdr:col>
      <xdr:colOff>9524</xdr:colOff>
      <xdr:row>45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app.cfe.gob.mx/Aplicaciones/CCFE/Tarifas/Tarifas/tarifas_casa.as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app.cfe.gob.mx/Aplicaciones/CCFE/Tarifas/Tarifas/Tarifas_industria.asp?Tarifa=CMABT&amp;Anio=2017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http://app.cfe.gob.mx/Aplicaciones/CCFE/Tarifas/Tarifas/tarifas_casa.a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3"/>
  <sheetViews>
    <sheetView zoomScaleNormal="100" workbookViewId="0">
      <pane ySplit="1" topLeftCell="A2" activePane="bottomLeft" state="frozen"/>
      <selection sqref="A1:O10"/>
      <selection pane="bottomLeft" activeCell="A2" sqref="A2"/>
    </sheetView>
  </sheetViews>
  <sheetFormatPr defaultRowHeight="10.5" x14ac:dyDescent="0.15"/>
  <cols>
    <col min="1" max="1" width="30.28515625" style="68" bestFit="1" customWidth="1"/>
    <col min="2" max="2" width="11.5703125" style="68" bestFit="1" customWidth="1"/>
    <col min="3" max="4" width="11.5703125" style="202" customWidth="1"/>
    <col min="5" max="5" width="7.28515625" style="68" bestFit="1" customWidth="1"/>
    <col min="6" max="6" width="36.5703125" style="68" bestFit="1" customWidth="1"/>
    <col min="7" max="7" width="11.5703125" style="68" bestFit="1" customWidth="1"/>
    <col min="8" max="8" width="9.140625" style="68"/>
    <col min="9" max="9" width="9.140625" style="202"/>
    <col min="10" max="16384" width="9.140625" style="68"/>
  </cols>
  <sheetData>
    <row r="1" spans="1:7" ht="11.25" thickBot="1" x14ac:dyDescent="0.2">
      <c r="A1" s="597" t="s">
        <v>19</v>
      </c>
      <c r="B1" s="599"/>
      <c r="C1" s="599"/>
      <c r="D1" s="598"/>
      <c r="F1" s="597" t="s">
        <v>161</v>
      </c>
      <c r="G1" s="598"/>
    </row>
    <row r="2" spans="1:7" ht="11.25" thickTop="1" x14ac:dyDescent="0.15">
      <c r="A2" s="83" t="s">
        <v>132</v>
      </c>
      <c r="B2" s="327">
        <v>18</v>
      </c>
      <c r="C2" s="327"/>
      <c r="D2" s="328"/>
      <c r="F2" s="83" t="s">
        <v>154</v>
      </c>
      <c r="G2" s="84">
        <f>CFE_CargoFijo</f>
        <v>99.84</v>
      </c>
    </row>
    <row r="3" spans="1:7" x14ac:dyDescent="0.15">
      <c r="A3" s="83" t="s">
        <v>14</v>
      </c>
      <c r="B3" s="329">
        <v>0.16</v>
      </c>
      <c r="C3" s="329"/>
      <c r="D3" s="330"/>
      <c r="F3" s="83" t="s">
        <v>155</v>
      </c>
      <c r="G3" s="84">
        <f>CFE_RatePreTaxes</f>
        <v>4.37</v>
      </c>
    </row>
    <row r="4" spans="1:7" x14ac:dyDescent="0.15">
      <c r="A4" s="83" t="s">
        <v>68</v>
      </c>
      <c r="B4" s="329">
        <v>0.03</v>
      </c>
      <c r="C4" s="329"/>
      <c r="D4" s="330"/>
      <c r="F4" s="83" t="s">
        <v>151</v>
      </c>
      <c r="G4" s="90">
        <f>$G$3*(1+Inputs!$B$23)</f>
        <v>4.8070000000000004</v>
      </c>
    </row>
    <row r="5" spans="1:7" x14ac:dyDescent="0.15">
      <c r="A5" s="83" t="s">
        <v>160</v>
      </c>
      <c r="B5" s="329">
        <v>0.3</v>
      </c>
      <c r="C5" s="329"/>
      <c r="D5" s="330"/>
      <c r="F5" s="83" t="s">
        <v>144</v>
      </c>
      <c r="G5" s="85">
        <f>Savings!$J$6</f>
        <v>85291.92</v>
      </c>
    </row>
    <row r="6" spans="1:7" x14ac:dyDescent="0.15">
      <c r="A6" s="83" t="s">
        <v>15</v>
      </c>
      <c r="B6" s="329">
        <v>0.08</v>
      </c>
      <c r="C6" s="329"/>
      <c r="D6" s="330"/>
      <c r="F6" s="83"/>
      <c r="G6" s="79"/>
    </row>
    <row r="7" spans="1:7" x14ac:dyDescent="0.15">
      <c r="A7" s="83"/>
      <c r="B7" s="78"/>
      <c r="C7" s="78"/>
      <c r="D7" s="79"/>
      <c r="F7" s="83" t="s">
        <v>499</v>
      </c>
      <c r="G7" s="86">
        <f>G4*(1-Inputs_MySOL!B30)</f>
        <v>3.8456000000000006</v>
      </c>
    </row>
    <row r="8" spans="1:7" x14ac:dyDescent="0.15">
      <c r="A8" s="83" t="s">
        <v>841</v>
      </c>
      <c r="B8" s="331">
        <v>0</v>
      </c>
      <c r="C8" s="78"/>
      <c r="D8" s="79"/>
      <c r="E8" s="202"/>
      <c r="F8" s="83" t="s">
        <v>500</v>
      </c>
      <c r="G8" s="85">
        <f>Savings!AD6</f>
        <v>69220.559352888871</v>
      </c>
    </row>
    <row r="9" spans="1:7" x14ac:dyDescent="0.15">
      <c r="A9" s="83" t="s">
        <v>168</v>
      </c>
      <c r="B9" s="331">
        <v>0.9</v>
      </c>
      <c r="C9" s="331"/>
      <c r="D9" s="332"/>
      <c r="F9" s="83" t="s">
        <v>167</v>
      </c>
      <c r="G9" s="197">
        <f>Savings!$AF$6</f>
        <v>0.18842770390338415</v>
      </c>
    </row>
    <row r="10" spans="1:7" x14ac:dyDescent="0.15">
      <c r="A10" s="83" t="s">
        <v>505</v>
      </c>
      <c r="B10" s="132">
        <f>1-(EqInv_Pct+DebtInv_Pct)</f>
        <v>9.9999999999999978E-2</v>
      </c>
      <c r="C10" s="132"/>
      <c r="D10" s="333"/>
      <c r="F10" s="83"/>
      <c r="G10" s="79"/>
    </row>
    <row r="11" spans="1:7" x14ac:dyDescent="0.15">
      <c r="A11" s="83"/>
      <c r="B11" s="78"/>
      <c r="C11" s="78"/>
      <c r="D11" s="79"/>
      <c r="F11" s="83" t="s">
        <v>35</v>
      </c>
      <c r="G11" s="112">
        <f>Inputs!$I$4</f>
        <v>26</v>
      </c>
    </row>
    <row r="12" spans="1:7" x14ac:dyDescent="0.15">
      <c r="A12" s="83" t="s">
        <v>69</v>
      </c>
      <c r="B12" s="329">
        <v>3.5000000000000003E-2</v>
      </c>
      <c r="C12" s="329"/>
      <c r="D12" s="330"/>
      <c r="F12" s="83" t="s">
        <v>139</v>
      </c>
      <c r="G12" s="86">
        <f>VLOOKUP(Inputs!$F$4,Components!$A$2:$N$15,12,FALSE)</f>
        <v>330</v>
      </c>
    </row>
    <row r="13" spans="1:7" x14ac:dyDescent="0.15">
      <c r="A13" s="83" t="s">
        <v>148</v>
      </c>
      <c r="B13" s="329">
        <v>0</v>
      </c>
      <c r="C13" s="329"/>
      <c r="D13" s="330"/>
      <c r="F13" s="83" t="s">
        <v>140</v>
      </c>
      <c r="G13" s="86">
        <f>VLOOKUP(Inputs!$F$4,Components!$A$2:$N$15,13,FALSE)</f>
        <v>301.39999999999998</v>
      </c>
    </row>
    <row r="14" spans="1:7" x14ac:dyDescent="0.15">
      <c r="A14" s="83" t="s">
        <v>842</v>
      </c>
      <c r="B14" s="329">
        <v>0.08</v>
      </c>
      <c r="C14" s="329"/>
      <c r="D14" s="330"/>
      <c r="F14" s="83"/>
      <c r="G14" s="79"/>
    </row>
    <row r="15" spans="1:7" x14ac:dyDescent="0.15">
      <c r="A15" s="83" t="s">
        <v>859</v>
      </c>
      <c r="B15" s="334">
        <f>DebtInv_Pct*DebtInv_ReqIRR+EqInv_Pct*EqInv_ReqIRR+MySOL_Pct*EqInv_ReqIRR</f>
        <v>0.15</v>
      </c>
      <c r="C15" s="329"/>
      <c r="D15" s="330"/>
      <c r="E15" s="202"/>
      <c r="F15" s="83" t="s">
        <v>142</v>
      </c>
      <c r="G15" s="113">
        <f>VLOOKUP(Inputs!$F$5,Components!$A$24:$N$95,13,FALSE)</f>
        <v>0.97</v>
      </c>
    </row>
    <row r="16" spans="1:7" x14ac:dyDescent="0.15">
      <c r="A16" s="83"/>
      <c r="B16" s="334"/>
      <c r="C16" s="334"/>
      <c r="D16" s="197"/>
      <c r="F16" s="83"/>
      <c r="G16" s="79"/>
    </row>
    <row r="17" spans="1:9" x14ac:dyDescent="0.15">
      <c r="A17" s="311" t="s">
        <v>183</v>
      </c>
      <c r="B17" s="334">
        <f>EqInv_Pct/SUM($B$9:$B$10)</f>
        <v>0.9</v>
      </c>
      <c r="C17" s="334"/>
      <c r="D17" s="197"/>
      <c r="F17" s="43" t="s">
        <v>158</v>
      </c>
      <c r="G17" s="114">
        <f>Sys_NumPanels*Panel_STC</f>
        <v>8580</v>
      </c>
    </row>
    <row r="18" spans="1:9" x14ac:dyDescent="0.15">
      <c r="A18" s="311" t="s">
        <v>506</v>
      </c>
      <c r="B18" s="334">
        <f>B10/SUM($B$9:$B$10)</f>
        <v>9.9999999999999978E-2</v>
      </c>
      <c r="C18" s="334"/>
      <c r="D18" s="197"/>
      <c r="F18" s="83" t="s">
        <v>156</v>
      </c>
      <c r="G18" s="112">
        <f>IFERROR(IFERROR(Sys_NumPanels*Panel_PTC*Sys_SunHours*InverterLossPct*(1-Sys_OtherLossPct)*365.25,0)/1000,0)</f>
        <v>15141.8089565886</v>
      </c>
    </row>
    <row r="19" spans="1:9" x14ac:dyDescent="0.15">
      <c r="A19" s="83"/>
      <c r="B19" s="78"/>
      <c r="C19" s="78"/>
      <c r="D19" s="79"/>
      <c r="F19" s="83" t="s">
        <v>157</v>
      </c>
      <c r="G19" s="112">
        <f>IFERROR(Sys_kWhPerYear*1000/(Sys_NumPanels*Panel_STC),"NaN")</f>
        <v>1764.77959867</v>
      </c>
    </row>
    <row r="20" spans="1:9" x14ac:dyDescent="0.15">
      <c r="A20" s="83" t="s">
        <v>145</v>
      </c>
      <c r="B20" s="335">
        <v>-5.0000000000000001E-3</v>
      </c>
      <c r="C20" s="335"/>
      <c r="D20" s="336"/>
      <c r="F20" s="83"/>
      <c r="G20" s="79"/>
    </row>
    <row r="21" spans="1:9" x14ac:dyDescent="0.15">
      <c r="A21" s="83" t="s">
        <v>1009</v>
      </c>
      <c r="B21" s="512">
        <v>100</v>
      </c>
      <c r="C21" s="335"/>
      <c r="D21" s="336"/>
      <c r="F21" s="83" t="s">
        <v>173</v>
      </c>
      <c r="G21" s="333">
        <f>IFERROR(Sys_kWhPerYear/CustUsage_kWhPerYear,"NaN")</f>
        <v>0.99512414278316252</v>
      </c>
    </row>
    <row r="22" spans="1:9" x14ac:dyDescent="0.15">
      <c r="A22" s="83" t="s">
        <v>1010</v>
      </c>
      <c r="B22" s="577">
        <f>Cust_NominalPymtAtTermEnd+AddToFinalPymt_OM</f>
        <v>13323.216877566358</v>
      </c>
      <c r="C22" s="327"/>
      <c r="D22" s="328"/>
      <c r="F22" s="83"/>
      <c r="G22" s="79"/>
    </row>
    <row r="23" spans="1:9" x14ac:dyDescent="0.15">
      <c r="A23" s="83" t="s">
        <v>181</v>
      </c>
      <c r="B23" s="337">
        <v>12</v>
      </c>
      <c r="C23" s="337"/>
      <c r="D23" s="338"/>
      <c r="F23" s="43" t="s">
        <v>199</v>
      </c>
      <c r="G23" s="90">
        <f>Unit_Internal!C52</f>
        <v>34.82221505454546</v>
      </c>
    </row>
    <row r="24" spans="1:9" x14ac:dyDescent="0.15">
      <c r="A24" s="83" t="s">
        <v>182</v>
      </c>
      <c r="B24" s="339">
        <f>OpExpensePerKwUSD*(Sys_SizeWatts/1000)*MXNperUSD</f>
        <v>1853.2800000000002</v>
      </c>
      <c r="C24" s="339"/>
      <c r="D24" s="112"/>
      <c r="F24" s="43" t="s">
        <v>174</v>
      </c>
      <c r="G24" s="85">
        <f>Sys_SizeWatts*G23</f>
        <v>298774.60516800004</v>
      </c>
    </row>
    <row r="25" spans="1:9" x14ac:dyDescent="0.15">
      <c r="A25" s="83" t="s">
        <v>507</v>
      </c>
      <c r="B25" s="329">
        <v>0.5</v>
      </c>
      <c r="C25" s="329"/>
      <c r="D25" s="330"/>
      <c r="F25" s="83"/>
      <c r="G25" s="79"/>
    </row>
    <row r="26" spans="1:9" x14ac:dyDescent="0.15">
      <c r="A26" s="83"/>
      <c r="B26" s="78"/>
      <c r="C26" s="78"/>
      <c r="D26" s="79"/>
      <c r="F26" s="83" t="s">
        <v>501</v>
      </c>
      <c r="G26" s="85">
        <f>Model!C4</f>
        <v>68947.985808000027</v>
      </c>
    </row>
    <row r="27" spans="1:9" x14ac:dyDescent="0.15">
      <c r="A27" s="83" t="s">
        <v>836</v>
      </c>
      <c r="B27" s="329">
        <v>0.18</v>
      </c>
      <c r="C27" s="329"/>
      <c r="D27" s="330"/>
      <c r="F27" s="83" t="s">
        <v>502</v>
      </c>
      <c r="G27" s="344">
        <f>Model!C5</f>
        <v>0.23076923076923084</v>
      </c>
    </row>
    <row r="28" spans="1:9" x14ac:dyDescent="0.15">
      <c r="A28" s="83"/>
      <c r="B28" s="329"/>
      <c r="C28" s="329"/>
      <c r="D28" s="330"/>
      <c r="F28" s="83"/>
      <c r="G28" s="79"/>
    </row>
    <row r="29" spans="1:9" x14ac:dyDescent="0.15">
      <c r="A29" s="123" t="s">
        <v>204</v>
      </c>
      <c r="B29" s="441">
        <f>Cust_LeaseTermYears</f>
        <v>10</v>
      </c>
      <c r="C29" s="329"/>
      <c r="D29" s="330"/>
      <c r="E29" s="93"/>
      <c r="F29" s="83" t="s">
        <v>503</v>
      </c>
      <c r="G29" s="85">
        <f>Model!C8</f>
        <v>40315.17440991474</v>
      </c>
    </row>
    <row r="30" spans="1:9" ht="10.5" customHeight="1" x14ac:dyDescent="0.15">
      <c r="A30" s="83" t="s">
        <v>241</v>
      </c>
      <c r="B30" s="132">
        <f>Cust_SavingsRate</f>
        <v>0.2</v>
      </c>
      <c r="C30" s="132"/>
      <c r="D30" s="333"/>
      <c r="E30" s="93"/>
      <c r="F30" s="83" t="s">
        <v>504</v>
      </c>
      <c r="G30" s="344">
        <f>Model!C9</f>
        <v>0.13493507718718478</v>
      </c>
    </row>
    <row r="31" spans="1:9" x14ac:dyDescent="0.15">
      <c r="A31" s="83" t="s">
        <v>200</v>
      </c>
      <c r="B31" s="121">
        <f>IFERROR(IF(OR(Scenario_Variable="Initial Payment",Scenario_Variable="Pago Inicial"),INDEX(Rng_ScenarioData,MATCH(Cust_SavingsRate,Rng_SavingsRates,0),MATCH(Cust_LeaseTermYears,Rng_LeaseTerms,0)),Scenario_InitialPymt),0)</f>
        <v>12446.491187147098</v>
      </c>
      <c r="C31" s="133"/>
      <c r="D31" s="90"/>
      <c r="E31" s="93"/>
      <c r="F31" s="83"/>
      <c r="G31" s="79"/>
    </row>
    <row r="32" spans="1:9" s="202" customFormat="1" x14ac:dyDescent="0.15">
      <c r="A32" s="83"/>
      <c r="B32" s="121"/>
      <c r="C32" s="133"/>
      <c r="D32" s="90"/>
      <c r="E32" s="93"/>
      <c r="F32" s="83" t="s">
        <v>630</v>
      </c>
      <c r="G32" s="444">
        <f>Cust_InitialPymt</f>
        <v>12446.491187147098</v>
      </c>
      <c r="I32" s="506"/>
    </row>
    <row r="33" spans="1:9" x14ac:dyDescent="0.15">
      <c r="A33" s="83" t="s">
        <v>1005</v>
      </c>
      <c r="B33" s="533" t="s">
        <v>1004</v>
      </c>
      <c r="C33" s="133"/>
      <c r="D33" s="90"/>
      <c r="E33" s="93"/>
      <c r="F33" s="443" t="s">
        <v>1006</v>
      </c>
      <c r="G33" s="444">
        <f>IF(LOWER(InclUpfront_EGauge)="true",MIN(G32, priceEGaugeUSD*MXNperUSD*(1+IVA)),0)</f>
        <v>0</v>
      </c>
      <c r="H33" s="68" t="s">
        <v>623</v>
      </c>
      <c r="I33" s="506"/>
    </row>
    <row r="34" spans="1:9" x14ac:dyDescent="0.15">
      <c r="A34" s="83" t="s">
        <v>1003</v>
      </c>
      <c r="B34" s="533" t="s">
        <v>1004</v>
      </c>
      <c r="C34" s="133"/>
      <c r="D34" s="90"/>
      <c r="F34" s="443" t="s">
        <v>1007</v>
      </c>
      <c r="G34" s="444">
        <f>priceEGaugeUSD*MXNperUSD*(1+IVA)-G33</f>
        <v>6347.5199999999995</v>
      </c>
      <c r="H34" s="68" t="s">
        <v>624</v>
      </c>
      <c r="I34" s="506"/>
    </row>
    <row r="35" spans="1:9" x14ac:dyDescent="0.15">
      <c r="A35" s="83"/>
      <c r="B35" s="121"/>
      <c r="C35" s="133"/>
      <c r="D35" s="90"/>
      <c r="F35" s="443" t="s">
        <v>1008</v>
      </c>
      <c r="G35" s="444">
        <f>G32-G33</f>
        <v>12446.491187147098</v>
      </c>
      <c r="I35" s="506"/>
    </row>
    <row r="36" spans="1:9" ht="12.75" x14ac:dyDescent="0.2">
      <c r="A36" s="83" t="s">
        <v>635</v>
      </c>
      <c r="B36" s="600" t="s">
        <v>617</v>
      </c>
      <c r="C36" s="601"/>
      <c r="D36" s="602"/>
      <c r="F36" s="443" t="s">
        <v>619</v>
      </c>
      <c r="G36" s="444">
        <f>IF(LOWER(InclUpfront_OM)="true",MIN(G35,-SUMIF(Model!D40:R40,"&gt;"&amp;Cust_LeaseTermYears,Model!D37:R37)),0)</f>
        <v>0</v>
      </c>
      <c r="H36" s="68" t="s">
        <v>629</v>
      </c>
      <c r="I36" s="506"/>
    </row>
    <row r="37" spans="1:9" x14ac:dyDescent="0.15">
      <c r="A37" s="83"/>
      <c r="B37" s="329"/>
      <c r="C37" s="329"/>
      <c r="D37" s="330"/>
      <c r="F37" s="443" t="s">
        <v>620</v>
      </c>
      <c r="G37" s="444">
        <f>(-SUMIF(Model!D40:R40,"&gt;"&amp;Cust_LeaseTermYears,Model!D37:R37))-G36</f>
        <v>13223.216877566358</v>
      </c>
      <c r="H37" s="68" t="s">
        <v>628</v>
      </c>
      <c r="I37" s="506"/>
    </row>
    <row r="38" spans="1:9" x14ac:dyDescent="0.15">
      <c r="A38" s="83"/>
      <c r="B38" s="340" t="s">
        <v>114</v>
      </c>
      <c r="C38" s="340" t="s">
        <v>318</v>
      </c>
      <c r="D38" s="341" t="s">
        <v>319</v>
      </c>
      <c r="F38" s="87" t="s">
        <v>631</v>
      </c>
      <c r="G38" s="445">
        <f>G32-G33-G36</f>
        <v>12446.491187147098</v>
      </c>
      <c r="H38" s="68" t="s">
        <v>627</v>
      </c>
      <c r="I38" s="506"/>
    </row>
    <row r="39" spans="1:9" x14ac:dyDescent="0.15">
      <c r="A39" s="83" t="s">
        <v>208</v>
      </c>
      <c r="B39" s="329">
        <v>0.15</v>
      </c>
      <c r="C39" s="329">
        <v>0.14000000000000001</v>
      </c>
      <c r="D39" s="197">
        <f>IF(OR(CFE_RateCategory="DAC",CFE_RateCategory="Tarifa1"),B39,C39)</f>
        <v>0.15</v>
      </c>
    </row>
    <row r="40" spans="1:9" x14ac:dyDescent="0.15">
      <c r="A40" s="83" t="s">
        <v>517</v>
      </c>
      <c r="B40" s="329">
        <v>0.25</v>
      </c>
      <c r="C40" s="329">
        <v>0.2</v>
      </c>
      <c r="D40" s="197">
        <f>IF(OR(LOWER(Cust_State)="cdmx",DAP&lt;0.08),0.2,IF(OR(CFE_RateCategory="DAC",CFE_RateCategory="Tarifa1"),B40,C40))</f>
        <v>0.25</v>
      </c>
    </row>
    <row r="41" spans="1:9" x14ac:dyDescent="0.15">
      <c r="A41" s="83" t="s">
        <v>172</v>
      </c>
      <c r="B41" s="329">
        <v>0.05</v>
      </c>
      <c r="C41" s="329">
        <v>0.05</v>
      </c>
      <c r="D41" s="197">
        <f>IF(OR(CFE_RateCategory="DAC",CFE_RateCategory="Tarifa1"),B41,C41)</f>
        <v>0.05</v>
      </c>
    </row>
    <row r="42" spans="1:9" x14ac:dyDescent="0.15">
      <c r="A42" s="83" t="s">
        <v>632</v>
      </c>
      <c r="B42" s="329">
        <v>0.25</v>
      </c>
      <c r="C42" s="335">
        <v>0.2</v>
      </c>
      <c r="D42" s="197">
        <f>IF(OR(LOWER(Cust_State)="cdmx",DAP&lt;0.08),0.2,IF(OR(CFE_RateCategory="DAC",CFE_RateCategory="Tarifa1"),B42,C42))</f>
        <v>0.25</v>
      </c>
    </row>
    <row r="43" spans="1:9" x14ac:dyDescent="0.15">
      <c r="A43" s="87" t="s">
        <v>633</v>
      </c>
      <c r="B43" s="342">
        <v>0.05</v>
      </c>
      <c r="C43" s="342">
        <v>0.05</v>
      </c>
      <c r="D43" s="343">
        <f>IF(OR(CFE_RateCategory="DAC",CFE_RateCategory="Tarifa1"),B43,C43)</f>
        <v>0.05</v>
      </c>
    </row>
  </sheetData>
  <sheetProtection selectLockedCells="1" selectUnlockedCells="1"/>
  <dataConsolidate/>
  <mergeCells count="3">
    <mergeCell ref="F1:G1"/>
    <mergeCell ref="A1:D1"/>
    <mergeCell ref="B36:D36"/>
  </mergeCells>
  <dataValidations disablePrompts="1" count="1">
    <dataValidation type="list" allowBlank="1" showInputMessage="1" showErrorMessage="1" sqref="B33:B34">
      <formula1>"True,False"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Components!$A$2:$A$3</xm:f>
          </x14:formula1>
          <xm:sqref>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03"/>
  <sheetViews>
    <sheetView tabSelected="1" zoomScaleNormal="100" workbookViewId="0">
      <pane ySplit="2" topLeftCell="A3" activePane="bottomLeft" state="frozen"/>
      <selection sqref="A1:O10"/>
      <selection pane="bottomLeft" activeCell="A3" sqref="A3"/>
    </sheetView>
  </sheetViews>
  <sheetFormatPr defaultRowHeight="10.5" x14ac:dyDescent="0.15"/>
  <cols>
    <col min="1" max="1" width="25.140625" style="223" bestFit="1" customWidth="1"/>
    <col min="2" max="2" width="24.7109375" style="223" customWidth="1"/>
    <col min="3" max="3" width="4.7109375" style="223" customWidth="1"/>
    <col min="4" max="4" width="26.85546875" style="223" customWidth="1"/>
    <col min="5" max="5" width="20.140625" style="223" hidden="1" customWidth="1"/>
    <col min="6" max="6" width="43" style="223" bestFit="1" customWidth="1"/>
    <col min="7" max="7" width="11" style="223" bestFit="1" customWidth="1"/>
    <col min="8" max="8" width="14.5703125" style="223" bestFit="1" customWidth="1"/>
    <col min="9" max="9" width="7.5703125" style="223" bestFit="1" customWidth="1"/>
    <col min="10" max="10" width="4.7109375" style="223" customWidth="1"/>
    <col min="11" max="11" width="21" style="223" bestFit="1" customWidth="1"/>
    <col min="12" max="12" width="11.85546875" style="223" customWidth="1"/>
    <col min="13" max="18" width="10.7109375" style="223" customWidth="1"/>
    <col min="19" max="19" width="4.7109375" style="223" customWidth="1"/>
    <col min="20" max="20" width="19.28515625" style="223" bestFit="1" customWidth="1"/>
    <col min="21" max="16384" width="9.140625" style="223"/>
  </cols>
  <sheetData>
    <row r="1" spans="1:21" ht="10.5" customHeight="1" x14ac:dyDescent="0.15">
      <c r="K1" s="159" t="s">
        <v>28</v>
      </c>
      <c r="L1" s="116" t="s">
        <v>198</v>
      </c>
      <c r="M1" s="115"/>
      <c r="N1" s="115"/>
      <c r="O1" s="115"/>
      <c r="P1" s="115"/>
      <c r="Q1" s="115"/>
      <c r="R1" s="115"/>
    </row>
    <row r="2" spans="1:21" ht="10.5" customHeight="1" thickBot="1" x14ac:dyDescent="0.2">
      <c r="A2" s="603" t="s">
        <v>320</v>
      </c>
      <c r="B2" s="605"/>
      <c r="D2" s="606" t="s">
        <v>134</v>
      </c>
      <c r="E2" s="607"/>
      <c r="F2" s="607"/>
      <c r="G2" s="607"/>
      <c r="H2" s="607"/>
      <c r="I2" s="608"/>
      <c r="K2" s="116" t="s">
        <v>241</v>
      </c>
      <c r="L2" s="117">
        <v>5</v>
      </c>
      <c r="M2" s="118">
        <v>6</v>
      </c>
      <c r="N2" s="118">
        <v>7</v>
      </c>
      <c r="O2" s="118">
        <v>8</v>
      </c>
      <c r="P2" s="118">
        <v>9</v>
      </c>
      <c r="Q2" s="118">
        <v>10</v>
      </c>
      <c r="R2" s="119">
        <v>15</v>
      </c>
    </row>
    <row r="3" spans="1:21" ht="10.5" customHeight="1" thickTop="1" x14ac:dyDescent="0.15">
      <c r="A3" s="452" t="s">
        <v>621</v>
      </c>
      <c r="B3" s="588"/>
      <c r="D3" s="456" t="s">
        <v>131</v>
      </c>
      <c r="E3" s="457"/>
      <c r="F3" s="457" t="s">
        <v>75</v>
      </c>
      <c r="G3" s="458" t="s">
        <v>321</v>
      </c>
      <c r="H3" s="458" t="s">
        <v>243</v>
      </c>
      <c r="I3" s="459" t="s">
        <v>66</v>
      </c>
      <c r="K3" s="513">
        <v>0</v>
      </c>
      <c r="L3" s="757">
        <v>70727.22797609694</v>
      </c>
      <c r="M3" s="758">
        <v>39052.924706426129</v>
      </c>
      <c r="N3" s="758">
        <v>10549.036316693178</v>
      </c>
      <c r="O3" s="758">
        <v>0</v>
      </c>
      <c r="P3" s="758">
        <v>0</v>
      </c>
      <c r="Q3" s="758">
        <v>0</v>
      </c>
      <c r="R3" s="759">
        <v>0</v>
      </c>
      <c r="T3" s="223" t="s">
        <v>204</v>
      </c>
      <c r="U3" s="120">
        <v>10</v>
      </c>
    </row>
    <row r="4" spans="1:21" ht="10.5" customHeight="1" x14ac:dyDescent="0.15">
      <c r="A4" s="452"/>
      <c r="B4" s="574"/>
      <c r="D4" s="460" t="s">
        <v>2</v>
      </c>
      <c r="E4" s="215"/>
      <c r="F4" s="220" t="s">
        <v>617</v>
      </c>
      <c r="G4" s="218">
        <f>VLOOKUP(F4,Components!$A$2:$N$15,12,FALSE)</f>
        <v>330</v>
      </c>
      <c r="H4" s="218">
        <f>VLOOKUP(F4,Components!$A$2:$N$15,13,FALSE)</f>
        <v>301.39999999999998</v>
      </c>
      <c r="I4" s="354">
        <v>26</v>
      </c>
      <c r="K4" s="513">
        <v>0.02</v>
      </c>
      <c r="L4" s="515">
        <v>75218.559340932581</v>
      </c>
      <c r="M4" s="514">
        <v>44191.744046142383</v>
      </c>
      <c r="N4" s="514">
        <v>16270.468476374808</v>
      </c>
      <c r="O4" s="514">
        <v>0</v>
      </c>
      <c r="P4" s="514">
        <v>0</v>
      </c>
      <c r="Q4" s="514">
        <v>0</v>
      </c>
      <c r="R4" s="516">
        <v>0</v>
      </c>
      <c r="T4" s="223" t="s">
        <v>241</v>
      </c>
      <c r="U4" s="122">
        <v>0.2</v>
      </c>
    </row>
    <row r="5" spans="1:21" ht="10.5" customHeight="1" x14ac:dyDescent="0.15">
      <c r="A5" s="452" t="s">
        <v>220</v>
      </c>
      <c r="B5" s="586"/>
      <c r="D5" s="453" t="s">
        <v>3</v>
      </c>
      <c r="E5" s="215" t="str">
        <f>VLOOKUP(B16,Rng_InverterLookupByPhase,3,FALSE)</f>
        <v>Components!A24:A65</v>
      </c>
      <c r="F5" s="220" t="s">
        <v>949</v>
      </c>
      <c r="G5" s="218">
        <f>VLOOKUP(F5,Components!$A$24:$N$95,10,FALSE)</f>
        <v>7000</v>
      </c>
      <c r="H5" s="218" t="str">
        <f>TEXT(VLOOKUP(F5,Components!$A$24:$N$95,11,FALSE),"#,##")&amp;" | "&amp;TEXT(VLOOKUP(F5,Components!$A$24:$N$95,12,FALSE),"#,##")</f>
        <v>5,600 | 8,750</v>
      </c>
      <c r="I5" s="355">
        <v>1</v>
      </c>
      <c r="K5" s="513">
        <v>0.04</v>
      </c>
      <c r="L5" s="515">
        <v>79709.890705768223</v>
      </c>
      <c r="M5" s="514">
        <v>49330.563385858724</v>
      </c>
      <c r="N5" s="514">
        <v>21991.900636056496</v>
      </c>
      <c r="O5" s="514">
        <v>0</v>
      </c>
      <c r="P5" s="514">
        <v>0</v>
      </c>
      <c r="Q5" s="514">
        <v>0</v>
      </c>
      <c r="R5" s="516">
        <v>0</v>
      </c>
    </row>
    <row r="6" spans="1:21" ht="10.5" customHeight="1" x14ac:dyDescent="0.15">
      <c r="A6" s="452" t="s">
        <v>450</v>
      </c>
      <c r="B6" s="586"/>
      <c r="D6" s="453" t="s">
        <v>4</v>
      </c>
      <c r="E6" s="215"/>
      <c r="F6" s="220" t="s">
        <v>634</v>
      </c>
      <c r="G6" s="218">
        <f>VLOOKUP(F6,Components!$A$17:$N$22,12,FALSE)</f>
        <v>280</v>
      </c>
      <c r="H6" s="218"/>
      <c r="I6" s="355">
        <v>0</v>
      </c>
      <c r="K6" s="513">
        <v>0.06</v>
      </c>
      <c r="L6" s="515">
        <v>84201.222070603981</v>
      </c>
      <c r="M6" s="514">
        <v>54469.382725575124</v>
      </c>
      <c r="N6" s="514">
        <v>27713.332795738301</v>
      </c>
      <c r="O6" s="514">
        <v>3634.0006109440001</v>
      </c>
      <c r="P6" s="514">
        <v>0</v>
      </c>
      <c r="Q6" s="514">
        <v>0</v>
      </c>
      <c r="R6" s="516">
        <v>0</v>
      </c>
    </row>
    <row r="7" spans="1:21" ht="10.5" customHeight="1" x14ac:dyDescent="0.15">
      <c r="A7" s="452" t="s">
        <v>20</v>
      </c>
      <c r="B7" s="587"/>
      <c r="D7" s="453" t="s">
        <v>111</v>
      </c>
      <c r="E7" s="215" t="str">
        <f>IFERROR(VLOOKUP(VLOOKUP(SysSpec_Inverter,Components!$A$24:$B$95,2,FALSE),Components!$B$97:$R$102,17,FALSE),Rng_SysMon_NonMicro)</f>
        <v>Components!A99:A101</v>
      </c>
      <c r="F7" s="220" t="s">
        <v>1011</v>
      </c>
      <c r="G7" s="218"/>
      <c r="H7" s="218"/>
      <c r="I7" s="355">
        <v>0</v>
      </c>
      <c r="K7" s="513">
        <v>0.08</v>
      </c>
      <c r="L7" s="515">
        <v>88692.553435439593</v>
      </c>
      <c r="M7" s="514">
        <v>59608.202065291436</v>
      </c>
      <c r="N7" s="514">
        <v>33434.764955420047</v>
      </c>
      <c r="O7" s="514">
        <v>9879.6972460285178</v>
      </c>
      <c r="P7" s="514">
        <v>0</v>
      </c>
      <c r="Q7" s="514">
        <v>0</v>
      </c>
      <c r="R7" s="516">
        <v>0</v>
      </c>
    </row>
    <row r="8" spans="1:21" ht="10.5" customHeight="1" x14ac:dyDescent="0.15">
      <c r="A8" s="510" t="s">
        <v>21</v>
      </c>
      <c r="B8" s="587"/>
      <c r="D8" s="453" t="s">
        <v>5</v>
      </c>
      <c r="E8" s="215"/>
      <c r="F8" s="221" t="s">
        <v>169</v>
      </c>
      <c r="G8" s="218"/>
      <c r="H8" s="218"/>
      <c r="I8" s="217">
        <v>0</v>
      </c>
      <c r="K8" s="513">
        <v>0.1</v>
      </c>
      <c r="L8" s="515">
        <v>93183.88480027538</v>
      </c>
      <c r="M8" s="514">
        <v>64747.021405007894</v>
      </c>
      <c r="N8" s="514">
        <v>39156.197115101881</v>
      </c>
      <c r="O8" s="514">
        <v>16125.393881113036</v>
      </c>
      <c r="P8" s="514">
        <v>0</v>
      </c>
      <c r="Q8" s="514">
        <v>0</v>
      </c>
      <c r="R8" s="516">
        <v>0</v>
      </c>
    </row>
    <row r="9" spans="1:21" ht="10.5" customHeight="1" x14ac:dyDescent="0.15">
      <c r="A9" s="510" t="s">
        <v>135</v>
      </c>
      <c r="B9" s="587"/>
      <c r="D9" s="455" t="s">
        <v>221</v>
      </c>
      <c r="E9" s="216"/>
      <c r="F9" s="124" t="s">
        <v>804</v>
      </c>
      <c r="G9" s="219"/>
      <c r="H9" s="219"/>
      <c r="I9" s="356">
        <v>0</v>
      </c>
      <c r="K9" s="513">
        <v>0.12</v>
      </c>
      <c r="L9" s="515">
        <v>97675.216165110993</v>
      </c>
      <c r="M9" s="514">
        <v>69885.840744724177</v>
      </c>
      <c r="N9" s="514">
        <v>44877.629274783598</v>
      </c>
      <c r="O9" s="514">
        <v>22371.090516197262</v>
      </c>
      <c r="P9" s="514">
        <v>2112.6382560952334</v>
      </c>
      <c r="Q9" s="514">
        <v>0</v>
      </c>
      <c r="R9" s="516">
        <v>0</v>
      </c>
    </row>
    <row r="10" spans="1:21" ht="10.5" customHeight="1" x14ac:dyDescent="0.15">
      <c r="A10" s="452" t="s">
        <v>22</v>
      </c>
      <c r="B10" s="587"/>
      <c r="K10" s="513">
        <v>0.14000000000000001</v>
      </c>
      <c r="L10" s="515">
        <v>102166.54752994666</v>
      </c>
      <c r="M10" s="514">
        <v>75024.660084440548</v>
      </c>
      <c r="N10" s="514">
        <v>50599.061434465315</v>
      </c>
      <c r="O10" s="514">
        <v>28616.787151281722</v>
      </c>
      <c r="P10" s="514">
        <v>8830.172919042001</v>
      </c>
      <c r="Q10" s="514">
        <v>0</v>
      </c>
      <c r="R10" s="516">
        <v>0</v>
      </c>
    </row>
    <row r="11" spans="1:21" ht="10.5" customHeight="1" x14ac:dyDescent="0.15">
      <c r="A11" s="452" t="s">
        <v>981</v>
      </c>
      <c r="B11" s="587"/>
      <c r="D11" s="223" t="s">
        <v>201</v>
      </c>
      <c r="F11" s="126">
        <v>3.1</v>
      </c>
      <c r="G11" s="126"/>
      <c r="H11" s="126"/>
      <c r="I11" s="221"/>
      <c r="K11" s="513">
        <v>0.16</v>
      </c>
      <c r="L11" s="515">
        <v>106657.87889478242</v>
      </c>
      <c r="M11" s="514">
        <v>80163.479424156918</v>
      </c>
      <c r="N11" s="514">
        <v>56320.493594147149</v>
      </c>
      <c r="O11" s="514">
        <v>34862.483786366181</v>
      </c>
      <c r="P11" s="514">
        <v>15547.707581988885</v>
      </c>
      <c r="Q11" s="514">
        <v>0</v>
      </c>
      <c r="R11" s="516">
        <v>0</v>
      </c>
    </row>
    <row r="12" spans="1:21" ht="10.5" customHeight="1" x14ac:dyDescent="0.15">
      <c r="A12" s="452" t="s">
        <v>23</v>
      </c>
      <c r="B12" s="587"/>
      <c r="D12" s="223" t="s">
        <v>202</v>
      </c>
      <c r="F12" s="126">
        <v>2.6</v>
      </c>
      <c r="G12" s="126"/>
      <c r="H12" s="126"/>
      <c r="I12" s="221"/>
      <c r="K12" s="513">
        <v>0.18</v>
      </c>
      <c r="L12" s="515">
        <v>111149.21025961803</v>
      </c>
      <c r="M12" s="514">
        <v>85302.298763873143</v>
      </c>
      <c r="N12" s="514">
        <v>62041.925753828808</v>
      </c>
      <c r="O12" s="514">
        <v>41108.180421450525</v>
      </c>
      <c r="P12" s="514">
        <v>22265.242244935536</v>
      </c>
      <c r="Q12" s="514">
        <v>5304.3022991242469</v>
      </c>
      <c r="R12" s="516">
        <v>0</v>
      </c>
    </row>
    <row r="13" spans="1:21" ht="10.5" customHeight="1" x14ac:dyDescent="0.15">
      <c r="A13" s="452" t="s">
        <v>24</v>
      </c>
      <c r="B13" s="529" t="s">
        <v>656</v>
      </c>
      <c r="D13" s="223" t="s">
        <v>203</v>
      </c>
      <c r="F13" s="126">
        <v>1.47</v>
      </c>
      <c r="G13" s="126"/>
      <c r="H13" s="126"/>
      <c r="I13" s="221"/>
      <c r="K13" s="513">
        <v>0.2</v>
      </c>
      <c r="L13" s="515">
        <v>115640.54162445379</v>
      </c>
      <c r="M13" s="514">
        <v>90441.118103589601</v>
      </c>
      <c r="N13" s="514">
        <v>67763.357913510583</v>
      </c>
      <c r="O13" s="514">
        <v>47353.877056534897</v>
      </c>
      <c r="P13" s="514">
        <v>28982.776907882246</v>
      </c>
      <c r="Q13" s="514">
        <v>12446.491187147098</v>
      </c>
      <c r="R13" s="516">
        <v>0</v>
      </c>
    </row>
    <row r="14" spans="1:21" ht="10.5" customHeight="1" x14ac:dyDescent="0.15">
      <c r="A14" s="452" t="s">
        <v>25</v>
      </c>
      <c r="B14" s="587"/>
      <c r="D14" s="223" t="s">
        <v>614</v>
      </c>
      <c r="F14" s="126">
        <f>Unit_Internal!C35</f>
        <v>10.592811188811188</v>
      </c>
      <c r="K14" s="513">
        <v>0.22</v>
      </c>
      <c r="L14" s="515">
        <v>120131.87298928952</v>
      </c>
      <c r="M14" s="514">
        <v>95579.937443305971</v>
      </c>
      <c r="N14" s="514">
        <v>73484.790073192387</v>
      </c>
      <c r="O14" s="514">
        <v>53599.573691619356</v>
      </c>
      <c r="P14" s="514">
        <v>35700.311570829246</v>
      </c>
      <c r="Q14" s="514">
        <v>19588.680075170181</v>
      </c>
      <c r="R14" s="516">
        <v>0</v>
      </c>
    </row>
    <row r="15" spans="1:21" ht="10.5" customHeight="1" x14ac:dyDescent="0.15">
      <c r="A15" s="453"/>
      <c r="B15" s="534"/>
      <c r="D15" s="223" t="s">
        <v>622</v>
      </c>
      <c r="F15" s="126">
        <f>Unit_Internal!C46</f>
        <v>26.786319272727273</v>
      </c>
      <c r="G15" s="461"/>
      <c r="K15" s="513">
        <v>0.24</v>
      </c>
      <c r="L15" s="515">
        <v>124623.20435412525</v>
      </c>
      <c r="M15" s="514">
        <v>100718.75678302249</v>
      </c>
      <c r="N15" s="514">
        <v>79206.22223287425</v>
      </c>
      <c r="O15" s="514">
        <v>59845.270326703874</v>
      </c>
      <c r="P15" s="514">
        <v>42417.84623377613</v>
      </c>
      <c r="Q15" s="514">
        <v>26730.868963193265</v>
      </c>
      <c r="R15" s="516">
        <v>0</v>
      </c>
    </row>
    <row r="16" spans="1:21" ht="10.5" customHeight="1" x14ac:dyDescent="0.15">
      <c r="A16" s="453" t="s">
        <v>242</v>
      </c>
      <c r="B16" s="529">
        <v>1</v>
      </c>
      <c r="K16" s="513">
        <v>0.26</v>
      </c>
      <c r="L16" s="515">
        <v>129114.53571896089</v>
      </c>
      <c r="M16" s="514">
        <v>105857.57612273874</v>
      </c>
      <c r="N16" s="514">
        <v>84927.654392555938</v>
      </c>
      <c r="O16" s="514">
        <v>66090.966961788217</v>
      </c>
      <c r="P16" s="514">
        <v>49135.380896722869</v>
      </c>
      <c r="Q16" s="514">
        <v>33873.057851216174</v>
      </c>
      <c r="R16" s="516">
        <v>0</v>
      </c>
    </row>
    <row r="17" spans="1:18" ht="10.5" customHeight="1" x14ac:dyDescent="0.15">
      <c r="A17" s="453" t="s">
        <v>166</v>
      </c>
      <c r="B17" s="529" t="s">
        <v>114</v>
      </c>
      <c r="D17" s="462" t="s">
        <v>158</v>
      </c>
      <c r="E17" s="462"/>
      <c r="F17" s="156">
        <f>Sys_NumPanels*Panel_STC</f>
        <v>8580</v>
      </c>
      <c r="G17" s="156"/>
      <c r="H17" s="156"/>
      <c r="K17" s="513">
        <v>0.28000000000000003</v>
      </c>
      <c r="L17" s="515">
        <v>133605.86708379653</v>
      </c>
      <c r="M17" s="514">
        <v>110996.39546245511</v>
      </c>
      <c r="N17" s="514">
        <v>90649.086552237743</v>
      </c>
      <c r="O17" s="514">
        <v>72336.663596872677</v>
      </c>
      <c r="P17" s="514">
        <v>55852.915559669753</v>
      </c>
      <c r="Q17" s="514">
        <v>41015.24673923917</v>
      </c>
      <c r="R17" s="516">
        <v>0</v>
      </c>
    </row>
    <row r="18" spans="1:18" ht="10.5" customHeight="1" x14ac:dyDescent="0.15">
      <c r="A18" s="453" t="s">
        <v>247</v>
      </c>
      <c r="B18" s="585">
        <v>1</v>
      </c>
      <c r="D18" s="215" t="s">
        <v>223</v>
      </c>
      <c r="E18" s="215"/>
      <c r="F18" s="157">
        <f>Sys_kWhPerYear</f>
        <v>15141.8089565886</v>
      </c>
      <c r="G18" s="157"/>
      <c r="H18" s="157"/>
      <c r="K18" s="513">
        <v>0.3</v>
      </c>
      <c r="L18" s="515">
        <v>138097.19844863235</v>
      </c>
      <c r="M18" s="514">
        <v>116135.21480217157</v>
      </c>
      <c r="N18" s="514">
        <v>96370.518711919576</v>
      </c>
      <c r="O18" s="514">
        <v>78582.360231957136</v>
      </c>
      <c r="P18" s="514">
        <v>62570.45022261652</v>
      </c>
      <c r="Q18" s="514">
        <v>48157.435627262021</v>
      </c>
      <c r="R18" s="516">
        <v>0</v>
      </c>
    </row>
    <row r="19" spans="1:18" ht="10.5" customHeight="1" x14ac:dyDescent="0.15">
      <c r="A19" s="453" t="s">
        <v>988</v>
      </c>
      <c r="B19" s="756" t="str">
        <f>VLOOKUP(Cust_State,ListData!$B$39:$D$70,3,FALSE)</f>
        <v>Central</v>
      </c>
      <c r="D19" s="215" t="s">
        <v>157</v>
      </c>
      <c r="E19" s="215"/>
      <c r="F19" s="157">
        <f>Sys_Factor</f>
        <v>1764.77959867</v>
      </c>
      <c r="G19" s="157"/>
      <c r="H19" s="157"/>
      <c r="K19" s="513">
        <v>0.32</v>
      </c>
      <c r="L19" s="515">
        <v>142588.52981346799</v>
      </c>
      <c r="M19" s="514">
        <v>121274.03414188788</v>
      </c>
      <c r="N19" s="514">
        <v>102091.95087160132</v>
      </c>
      <c r="O19" s="514">
        <v>84828.056867041567</v>
      </c>
      <c r="P19" s="514">
        <v>69287.984885563288</v>
      </c>
      <c r="Q19" s="514">
        <v>55299.624515285046</v>
      </c>
      <c r="R19" s="516">
        <v>3740.456696959387</v>
      </c>
    </row>
    <row r="20" spans="1:18" ht="10.5" customHeight="1" x14ac:dyDescent="0.15">
      <c r="A20" s="123" t="s">
        <v>251</v>
      </c>
      <c r="B20" s="529">
        <v>201705</v>
      </c>
      <c r="D20" s="215" t="s">
        <v>222</v>
      </c>
      <c r="E20" s="215"/>
      <c r="F20" s="158">
        <f>IFERROR(Sys_kWhPerYear/CustUsage_kWhPerYear,0)</f>
        <v>0.99512414278316252</v>
      </c>
      <c r="G20" s="158"/>
      <c r="H20" s="158"/>
      <c r="K20" s="513">
        <v>0.34</v>
      </c>
      <c r="L20" s="515">
        <v>147079.86117830366</v>
      </c>
      <c r="M20" s="514">
        <v>126412.85348160425</v>
      </c>
      <c r="N20" s="514">
        <v>107813.3830312831</v>
      </c>
      <c r="O20" s="514">
        <v>91073.753502125997</v>
      </c>
      <c r="P20" s="514">
        <v>76005.519548510172</v>
      </c>
      <c r="Q20" s="514">
        <v>62441.813403308042</v>
      </c>
      <c r="R20" s="516">
        <v>12447.156866252422</v>
      </c>
    </row>
    <row r="21" spans="1:18" ht="10.5" customHeight="1" x14ac:dyDescent="0.15">
      <c r="A21" s="123" t="s">
        <v>990</v>
      </c>
      <c r="B21" s="535">
        <f>IF(CFE_RateCategory="DAC",INDEX(CFE_History_DAC!$A$4:$O$37,MATCH(VLOOKUP(CFE_Region,ListData!$B$2:$C$8,2,FALSE),CFE_History_DAC!$A$4:$A$37,0)+1,MATCH(CFE_RatePeriod,CFE_History_DAC!$A$3:$O$3,0)),IF(CFE_RateCategory="Tarifa 2",INDEX(CFE_History_Tarifa2!$B$4:$P$9,6,MATCH(CFE_RatePeriod,CFE_History_Tarifa2!$B$3:$P$3,0)),"NaN"))</f>
        <v>99.84</v>
      </c>
      <c r="K21" s="513">
        <v>0.36</v>
      </c>
      <c r="L21" s="515">
        <v>151571.1925431393</v>
      </c>
      <c r="M21" s="514">
        <v>131551.67282132056</v>
      </c>
      <c r="N21" s="514">
        <v>113534.81519096481</v>
      </c>
      <c r="O21" s="514">
        <v>97319.45013721037</v>
      </c>
      <c r="P21" s="514">
        <v>82723.054211456911</v>
      </c>
      <c r="Q21" s="514">
        <v>69584.002291330951</v>
      </c>
      <c r="R21" s="516">
        <v>21153.857035545399</v>
      </c>
    </row>
    <row r="22" spans="1:18" ht="10.5" customHeight="1" x14ac:dyDescent="0.15">
      <c r="A22" s="453" t="s">
        <v>989</v>
      </c>
      <c r="B22" s="535">
        <f>IF(CFE_RateCategory="DAC",INDEX(CFE_History_DAC!$A$4:$O$37,MATCH(VLOOKUP(CFE_Region,ListData!$B$2:$C$8,2,FALSE),CFE_History_DAC!$A$4:$A$37,0)+2,MATCH(CFE_RatePeriod,CFE_History_DAC!$A$3:$O$3,0)),IF(CFE_RateCategory="Tarifa 2",(MIN(Inputs!$B$32,50*12)*INDEX(CFE_History_Tarifa2!$B$4:$P$9,2,MATCH(CFE_RatePeriod,CFE_History_Tarifa2!$B$3:$P$3,0))+MAX(0,MIN(Inputs!$B$32-50*12,50*12))*INDEX(CFE_History_Tarifa2!$B$4:$P$9,3,MATCH(CFE_RatePeriod,CFE_History_Tarifa2!$B$3:$P$3,0))+MAX(Inputs!$B$32-100*12,0)*INDEX(CFE_History_Tarifa2!$B$4:$P$9,4,MATCH(CFE_RatePeriod,CFE_History_Tarifa2!$B$3:$P$3,0)))/Inputs!$B$32,"NaN"))</f>
        <v>4.37</v>
      </c>
      <c r="D22" s="215" t="str">
        <f>IF(OR(AND(VLOOKUP(F5,Components!$A$1:$N$109,8,FALSE)&gt;2,B16&lt;=2),AND(VLOOKUP(F5,Components!$A$1:$N$109,8,FALSE)&lt;=2,B16&gt;2)),"Inverter phases does not match CFE Hilos",IF(SysSpec_Inverters_Units*VLOOKUP(F5,Components!$A$1:$N$109,12,FALSE)&lt;$F$17,"Inverter Wp rating too low for System Size",IF(SysSpec_Inverters_Units*VLOOKUP(F5,Components!$A$1:$N$109,11,FALSE)&gt;$F$17,"Inverter Wp rating too high for System Size","")))</f>
        <v/>
      </c>
      <c r="E22" s="215"/>
      <c r="G22" s="215"/>
      <c r="H22" s="215"/>
      <c r="K22" s="513">
        <v>0.38</v>
      </c>
      <c r="L22" s="515">
        <v>156062.523907975</v>
      </c>
      <c r="M22" s="514">
        <v>136690.49216103691</v>
      </c>
      <c r="N22" s="514">
        <v>119256.24735064653</v>
      </c>
      <c r="O22" s="514">
        <v>103565.14677229471</v>
      </c>
      <c r="P22" s="514">
        <v>89440.588874403649</v>
      </c>
      <c r="Q22" s="514">
        <v>76726.191179353773</v>
      </c>
      <c r="R22" s="516">
        <v>29860.557204838493</v>
      </c>
    </row>
    <row r="23" spans="1:18" ht="10.5" customHeight="1" x14ac:dyDescent="0.15">
      <c r="A23" s="453" t="s">
        <v>13</v>
      </c>
      <c r="B23" s="525">
        <v>0.1</v>
      </c>
      <c r="D23" s="223" t="str">
        <f>IFERROR(IF(F20&gt;1.05,"System Production is greater than Customer Usage.  Either reduce system size or increase Customer Usage",""),"Error")</f>
        <v/>
      </c>
      <c r="K23" s="513">
        <v>0.4</v>
      </c>
      <c r="L23" s="530">
        <v>160553.8552728107</v>
      </c>
      <c r="M23" s="531">
        <v>141829.31150075328</v>
      </c>
      <c r="N23" s="531">
        <v>124977.67951032834</v>
      </c>
      <c r="O23" s="531">
        <v>109810.84340737917</v>
      </c>
      <c r="P23" s="531">
        <v>96158.123537350446</v>
      </c>
      <c r="Q23" s="531">
        <v>83868.38006737674</v>
      </c>
      <c r="R23" s="532">
        <v>38567.25737413147</v>
      </c>
    </row>
    <row r="24" spans="1:18" ht="10.5" customHeight="1" x14ac:dyDescent="0.15">
      <c r="A24" s="453"/>
      <c r="B24" s="534"/>
      <c r="K24" s="513"/>
      <c r="L24" s="514"/>
      <c r="M24" s="514"/>
      <c r="N24" s="514"/>
      <c r="O24" s="514"/>
      <c r="P24" s="514"/>
      <c r="Q24" s="514"/>
      <c r="R24" s="514"/>
    </row>
    <row r="25" spans="1:18" ht="10.5" customHeight="1" thickBot="1" x14ac:dyDescent="0.2">
      <c r="A25" s="453" t="s">
        <v>892</v>
      </c>
      <c r="B25" s="529" t="s">
        <v>1017</v>
      </c>
      <c r="D25" s="603" t="s">
        <v>994</v>
      </c>
      <c r="E25" s="604"/>
      <c r="F25" s="605"/>
      <c r="K25" s="513"/>
      <c r="L25" s="514"/>
      <c r="M25" s="514"/>
      <c r="N25" s="514"/>
      <c r="O25" s="514"/>
      <c r="P25" s="514"/>
      <c r="Q25" s="514"/>
      <c r="R25" s="514"/>
    </row>
    <row r="26" spans="1:18" ht="10.5" customHeight="1" thickTop="1" x14ac:dyDescent="0.15">
      <c r="A26" s="453" t="s">
        <v>894</v>
      </c>
      <c r="B26" s="529">
        <v>180</v>
      </c>
      <c r="D26" s="521" t="s">
        <v>613</v>
      </c>
      <c r="E26" s="215"/>
      <c r="F26" s="529" t="s">
        <v>28</v>
      </c>
      <c r="K26" s="513"/>
      <c r="L26" s="514"/>
      <c r="M26" s="514"/>
      <c r="N26" s="514"/>
      <c r="O26" s="514"/>
      <c r="P26" s="514"/>
      <c r="Q26" s="514"/>
      <c r="R26" s="514"/>
    </row>
    <row r="27" spans="1:18" ht="10.5" customHeight="1" x14ac:dyDescent="0.15">
      <c r="A27" s="453" t="s">
        <v>1023</v>
      </c>
      <c r="B27" s="582" t="s">
        <v>1019</v>
      </c>
      <c r="C27" s="463"/>
      <c r="D27" s="522" t="s">
        <v>28</v>
      </c>
      <c r="E27" s="523"/>
      <c r="F27" s="524">
        <v>0</v>
      </c>
      <c r="K27" s="513"/>
      <c r="L27" s="514"/>
      <c r="M27" s="514"/>
      <c r="N27" s="514"/>
      <c r="O27" s="514"/>
      <c r="P27" s="514"/>
      <c r="Q27" s="514"/>
      <c r="R27" s="514"/>
    </row>
    <row r="28" spans="1:18" ht="10.5" customHeight="1" x14ac:dyDescent="0.15">
      <c r="A28" s="453" t="s">
        <v>1022</v>
      </c>
      <c r="B28" s="596">
        <f>IFERROR(VLOOKUP(Sys_SunHoursCity&amp;"_"&amp;Sys_Tilt&amp;"_"&amp;Sys_Azimuth,Rng_IrradianceData,3,FALSE),"N/A")</f>
        <v>21</v>
      </c>
      <c r="C28" s="463"/>
      <c r="D28" s="453"/>
      <c r="E28" s="215"/>
      <c r="F28" s="217"/>
      <c r="K28" s="513"/>
      <c r="L28" s="514"/>
      <c r="M28" s="514"/>
      <c r="N28" s="514"/>
      <c r="O28" s="514"/>
      <c r="P28" s="514"/>
      <c r="Q28" s="514"/>
      <c r="R28" s="514"/>
    </row>
    <row r="29" spans="1:18" ht="10.5" customHeight="1" x14ac:dyDescent="0.15">
      <c r="A29" s="453" t="s">
        <v>141</v>
      </c>
      <c r="B29" s="575">
        <v>6.1975000000000007</v>
      </c>
      <c r="C29" s="463"/>
      <c r="D29" s="453" t="s">
        <v>985</v>
      </c>
      <c r="E29" s="215"/>
      <c r="F29" s="525">
        <v>0</v>
      </c>
      <c r="K29" s="513"/>
      <c r="L29" s="514"/>
      <c r="M29" s="514"/>
      <c r="N29" s="514"/>
      <c r="O29" s="514"/>
      <c r="P29" s="514"/>
      <c r="Q29" s="514"/>
      <c r="R29" s="514"/>
    </row>
    <row r="30" spans="1:18" ht="10.5" customHeight="1" x14ac:dyDescent="0.15">
      <c r="A30" s="453" t="s">
        <v>143</v>
      </c>
      <c r="B30" s="525">
        <v>0.12</v>
      </c>
      <c r="D30" s="453" t="s">
        <v>986</v>
      </c>
      <c r="E30" s="215"/>
      <c r="F30" s="525">
        <v>0.4</v>
      </c>
      <c r="K30" s="513"/>
      <c r="L30" s="514"/>
      <c r="M30" s="514"/>
      <c r="N30" s="514"/>
      <c r="O30" s="514"/>
      <c r="P30" s="514"/>
      <c r="Q30" s="514"/>
      <c r="R30" s="514"/>
    </row>
    <row r="31" spans="1:18" ht="10.5" customHeight="1" x14ac:dyDescent="0.15">
      <c r="A31" s="454"/>
      <c r="B31" s="576"/>
      <c r="D31" s="526" t="s">
        <v>987</v>
      </c>
      <c r="E31" s="527"/>
      <c r="F31" s="528">
        <v>0.02</v>
      </c>
      <c r="K31" s="513"/>
      <c r="L31" s="514"/>
      <c r="M31" s="514"/>
      <c r="N31" s="514"/>
      <c r="O31" s="514"/>
      <c r="P31" s="514"/>
      <c r="Q31" s="514"/>
      <c r="R31" s="514"/>
    </row>
    <row r="32" spans="1:18" ht="10.5" customHeight="1" x14ac:dyDescent="0.15">
      <c r="A32" s="526" t="s">
        <v>152</v>
      </c>
      <c r="B32" s="578">
        <f>IFERROR((SUM(Rng_MonthlyUsage)/COUNT(Rng_MonthlyUsage))*12,0)</f>
        <v>15216</v>
      </c>
      <c r="K32" s="513"/>
      <c r="L32" s="514"/>
      <c r="M32" s="514"/>
      <c r="N32" s="514"/>
      <c r="O32" s="514"/>
      <c r="P32" s="514"/>
      <c r="Q32" s="514"/>
      <c r="R32" s="514"/>
    </row>
    <row r="33" spans="1:18" ht="10.5" customHeight="1" x14ac:dyDescent="0.15">
      <c r="K33" s="513"/>
      <c r="L33" s="514"/>
      <c r="M33" s="514"/>
      <c r="N33" s="514"/>
      <c r="O33" s="514"/>
      <c r="P33" s="514"/>
      <c r="Q33" s="514"/>
      <c r="R33" s="514"/>
    </row>
    <row r="34" spans="1:18" ht="10.5" customHeight="1" x14ac:dyDescent="0.15">
      <c r="A34" s="609" t="s">
        <v>817</v>
      </c>
      <c r="B34" s="610"/>
      <c r="K34" s="513"/>
      <c r="L34" s="514"/>
      <c r="M34" s="514"/>
      <c r="N34" s="514"/>
      <c r="O34" s="514"/>
      <c r="P34" s="514"/>
      <c r="Q34" s="514"/>
      <c r="R34" s="514"/>
    </row>
    <row r="35" spans="1:18" ht="10.5" customHeight="1" x14ac:dyDescent="0.15">
      <c r="A35" s="464" t="s">
        <v>312</v>
      </c>
      <c r="B35" s="464" t="s">
        <v>1002</v>
      </c>
      <c r="K35" s="513"/>
      <c r="L35" s="514"/>
      <c r="M35" s="514"/>
      <c r="N35" s="514"/>
      <c r="O35" s="514"/>
      <c r="P35" s="514"/>
      <c r="Q35" s="514"/>
      <c r="R35" s="514"/>
    </row>
    <row r="36" spans="1:18" ht="10.5" customHeight="1" x14ac:dyDescent="0.15">
      <c r="A36" s="465" t="s">
        <v>805</v>
      </c>
      <c r="B36" s="467">
        <v>568</v>
      </c>
      <c r="K36" s="513"/>
      <c r="L36" s="514"/>
      <c r="M36" s="514"/>
      <c r="N36" s="514"/>
      <c r="O36" s="514"/>
      <c r="P36" s="514"/>
      <c r="Q36" s="514"/>
      <c r="R36" s="514"/>
    </row>
    <row r="37" spans="1:18" ht="10.5" customHeight="1" x14ac:dyDescent="0.15">
      <c r="A37" s="465" t="s">
        <v>806</v>
      </c>
      <c r="B37" s="467">
        <v>778</v>
      </c>
      <c r="K37" s="513"/>
      <c r="L37" s="514"/>
      <c r="M37" s="514"/>
      <c r="N37" s="514"/>
      <c r="O37" s="514"/>
      <c r="P37" s="514"/>
      <c r="Q37" s="514"/>
      <c r="R37" s="514"/>
    </row>
    <row r="38" spans="1:18" ht="10.5" customHeight="1" x14ac:dyDescent="0.15">
      <c r="A38" s="465" t="s">
        <v>807</v>
      </c>
      <c r="B38" s="467">
        <v>882</v>
      </c>
      <c r="K38" s="513"/>
      <c r="L38" s="514"/>
      <c r="M38" s="514"/>
      <c r="N38" s="514"/>
      <c r="O38" s="514"/>
      <c r="P38" s="514"/>
      <c r="Q38" s="514"/>
      <c r="R38" s="514"/>
    </row>
    <row r="39" spans="1:18" ht="10.5" customHeight="1" x14ac:dyDescent="0.15">
      <c r="A39" s="465" t="s">
        <v>808</v>
      </c>
      <c r="B39" s="467">
        <v>950</v>
      </c>
      <c r="K39" s="513"/>
      <c r="L39" s="514"/>
      <c r="M39" s="514"/>
      <c r="N39" s="514"/>
      <c r="O39" s="514"/>
      <c r="P39" s="514"/>
      <c r="Q39" s="514"/>
      <c r="R39" s="514"/>
    </row>
    <row r="40" spans="1:18" ht="10.5" customHeight="1" x14ac:dyDescent="0.15">
      <c r="A40" s="465" t="s">
        <v>809</v>
      </c>
      <c r="B40" s="467">
        <v>1280</v>
      </c>
      <c r="K40" s="513"/>
      <c r="L40" s="514"/>
      <c r="M40" s="514"/>
      <c r="N40" s="514"/>
      <c r="O40" s="514"/>
      <c r="P40" s="514"/>
      <c r="Q40" s="514"/>
      <c r="R40" s="514"/>
    </row>
    <row r="41" spans="1:18" ht="10.5" customHeight="1" x14ac:dyDescent="0.15">
      <c r="A41" s="465" t="s">
        <v>810</v>
      </c>
      <c r="B41" s="467">
        <v>1500</v>
      </c>
      <c r="K41" s="513"/>
      <c r="L41" s="514"/>
      <c r="M41" s="514"/>
      <c r="N41" s="514"/>
      <c r="O41" s="514"/>
      <c r="P41" s="514"/>
      <c r="Q41" s="514"/>
      <c r="R41" s="514"/>
    </row>
    <row r="42" spans="1:18" ht="10.5" customHeight="1" x14ac:dyDescent="0.15">
      <c r="A42" s="465" t="s">
        <v>811</v>
      </c>
      <c r="B42" s="467">
        <v>1800</v>
      </c>
      <c r="K42" s="513"/>
      <c r="L42" s="514"/>
      <c r="M42" s="514"/>
      <c r="N42" s="514"/>
      <c r="O42" s="514"/>
      <c r="P42" s="514"/>
      <c r="Q42" s="514"/>
      <c r="R42" s="514"/>
    </row>
    <row r="43" spans="1:18" x14ac:dyDescent="0.15">
      <c r="A43" s="465" t="s">
        <v>812</v>
      </c>
      <c r="B43" s="467">
        <v>1774</v>
      </c>
      <c r="K43" s="513"/>
      <c r="L43" s="514"/>
      <c r="M43" s="514"/>
      <c r="N43" s="514"/>
      <c r="O43" s="514"/>
      <c r="P43" s="514"/>
      <c r="Q43" s="514"/>
      <c r="R43" s="514"/>
    </row>
    <row r="44" spans="1:18" x14ac:dyDescent="0.15">
      <c r="A44" s="465" t="s">
        <v>813</v>
      </c>
      <c r="B44" s="467">
        <v>1544</v>
      </c>
      <c r="K44" s="513"/>
      <c r="L44" s="514"/>
      <c r="M44" s="514"/>
      <c r="N44" s="514"/>
      <c r="O44" s="514"/>
      <c r="P44" s="514"/>
      <c r="Q44" s="514"/>
      <c r="R44" s="514"/>
    </row>
    <row r="45" spans="1:18" x14ac:dyDescent="0.15">
      <c r="A45" s="465" t="s">
        <v>814</v>
      </c>
      <c r="B45" s="467">
        <v>1498</v>
      </c>
      <c r="K45" s="513"/>
      <c r="L45" s="514"/>
      <c r="M45" s="514"/>
      <c r="N45" s="514"/>
      <c r="O45" s="514"/>
      <c r="P45" s="514"/>
      <c r="Q45" s="514"/>
      <c r="R45" s="514"/>
    </row>
    <row r="46" spans="1:18" x14ac:dyDescent="0.15">
      <c r="A46" s="465" t="s">
        <v>815</v>
      </c>
      <c r="B46" s="467">
        <v>1686</v>
      </c>
      <c r="K46" s="513"/>
      <c r="L46" s="514"/>
      <c r="M46" s="514"/>
      <c r="N46" s="514"/>
      <c r="O46" s="514"/>
      <c r="P46" s="514"/>
      <c r="Q46" s="514"/>
      <c r="R46" s="514"/>
    </row>
    <row r="47" spans="1:18" x14ac:dyDescent="0.15">
      <c r="A47" s="466" t="s">
        <v>816</v>
      </c>
      <c r="B47" s="468">
        <v>956</v>
      </c>
      <c r="K47" s="513"/>
      <c r="L47" s="514"/>
      <c r="M47" s="514"/>
      <c r="N47" s="514"/>
      <c r="O47" s="514"/>
      <c r="P47" s="514"/>
      <c r="Q47" s="514"/>
      <c r="R47" s="514"/>
    </row>
    <row r="48" spans="1:18" x14ac:dyDescent="0.15">
      <c r="K48" s="513"/>
      <c r="L48" s="514"/>
      <c r="M48" s="514"/>
      <c r="N48" s="514"/>
      <c r="O48" s="514"/>
      <c r="P48" s="514"/>
      <c r="Q48" s="514"/>
      <c r="R48" s="514"/>
    </row>
    <row r="49" spans="11:18" x14ac:dyDescent="0.15">
      <c r="K49" s="513"/>
      <c r="L49" s="514"/>
      <c r="M49" s="514"/>
      <c r="N49" s="514"/>
      <c r="O49" s="514"/>
      <c r="P49" s="514"/>
      <c r="Q49" s="514"/>
      <c r="R49" s="514"/>
    </row>
    <row r="50" spans="11:18" x14ac:dyDescent="0.15">
      <c r="K50" s="513"/>
      <c r="L50" s="514"/>
      <c r="M50" s="514"/>
      <c r="N50" s="514"/>
      <c r="O50" s="514"/>
      <c r="P50" s="514"/>
      <c r="Q50" s="514"/>
      <c r="R50" s="514"/>
    </row>
    <row r="51" spans="11:18" x14ac:dyDescent="0.15">
      <c r="K51" s="513"/>
      <c r="L51" s="514"/>
      <c r="M51" s="514"/>
      <c r="N51" s="514"/>
      <c r="O51" s="514"/>
      <c r="P51" s="514"/>
      <c r="Q51" s="514"/>
      <c r="R51" s="514"/>
    </row>
    <row r="52" spans="11:18" x14ac:dyDescent="0.15">
      <c r="K52" s="513"/>
      <c r="L52" s="514"/>
      <c r="M52" s="514"/>
      <c r="N52" s="514"/>
      <c r="O52" s="514"/>
      <c r="P52" s="514"/>
      <c r="Q52" s="514"/>
      <c r="R52" s="514"/>
    </row>
    <row r="53" spans="11:18" x14ac:dyDescent="0.15">
      <c r="K53" s="513"/>
      <c r="L53" s="514"/>
      <c r="M53" s="514"/>
      <c r="N53" s="514"/>
      <c r="O53" s="514"/>
      <c r="P53" s="514"/>
      <c r="Q53" s="514"/>
      <c r="R53" s="514"/>
    </row>
    <row r="54" spans="11:18" x14ac:dyDescent="0.15">
      <c r="K54" s="513"/>
      <c r="L54" s="514"/>
      <c r="M54" s="514"/>
      <c r="N54" s="514"/>
      <c r="O54" s="514"/>
      <c r="P54" s="514"/>
      <c r="Q54" s="514"/>
      <c r="R54" s="514"/>
    </row>
    <row r="55" spans="11:18" x14ac:dyDescent="0.15">
      <c r="K55" s="513"/>
      <c r="L55" s="514"/>
      <c r="M55" s="514"/>
      <c r="N55" s="514"/>
      <c r="O55" s="514"/>
      <c r="P55" s="514"/>
      <c r="Q55" s="514"/>
      <c r="R55" s="514"/>
    </row>
    <row r="56" spans="11:18" x14ac:dyDescent="0.15">
      <c r="K56" s="513"/>
      <c r="L56" s="514"/>
      <c r="M56" s="514"/>
      <c r="N56" s="514"/>
      <c r="O56" s="514"/>
      <c r="P56" s="514"/>
      <c r="Q56" s="514"/>
      <c r="R56" s="514"/>
    </row>
    <row r="57" spans="11:18" x14ac:dyDescent="0.15">
      <c r="K57" s="513"/>
      <c r="L57" s="514"/>
      <c r="M57" s="514"/>
      <c r="N57" s="514"/>
      <c r="O57" s="514"/>
      <c r="P57" s="514"/>
      <c r="Q57" s="514"/>
      <c r="R57" s="514"/>
    </row>
    <row r="58" spans="11:18" x14ac:dyDescent="0.15">
      <c r="K58" s="513"/>
      <c r="L58" s="514"/>
      <c r="M58" s="514"/>
      <c r="N58" s="514"/>
      <c r="O58" s="514"/>
      <c r="P58" s="514"/>
      <c r="Q58" s="514"/>
      <c r="R58" s="514"/>
    </row>
    <row r="59" spans="11:18" x14ac:dyDescent="0.15">
      <c r="K59" s="513"/>
      <c r="L59" s="514"/>
      <c r="M59" s="514"/>
      <c r="N59" s="514"/>
      <c r="O59" s="514"/>
      <c r="P59" s="514"/>
      <c r="Q59" s="514"/>
      <c r="R59" s="514"/>
    </row>
    <row r="60" spans="11:18" x14ac:dyDescent="0.15">
      <c r="K60" s="513"/>
      <c r="L60" s="514"/>
      <c r="M60" s="514"/>
      <c r="N60" s="514"/>
      <c r="O60" s="514"/>
      <c r="P60" s="514"/>
      <c r="Q60" s="514"/>
      <c r="R60" s="514"/>
    </row>
    <row r="61" spans="11:18" x14ac:dyDescent="0.15">
      <c r="K61" s="513"/>
      <c r="L61" s="514"/>
      <c r="M61" s="514"/>
      <c r="N61" s="514"/>
      <c r="O61" s="514"/>
      <c r="P61" s="514"/>
      <c r="Q61" s="514"/>
      <c r="R61" s="514"/>
    </row>
    <row r="62" spans="11:18" x14ac:dyDescent="0.15">
      <c r="K62" s="513"/>
      <c r="L62" s="514"/>
      <c r="M62" s="514"/>
      <c r="N62" s="514"/>
      <c r="O62" s="514"/>
      <c r="P62" s="514"/>
      <c r="Q62" s="514"/>
      <c r="R62" s="514"/>
    </row>
    <row r="63" spans="11:18" x14ac:dyDescent="0.15">
      <c r="K63" s="513"/>
      <c r="L63" s="514"/>
      <c r="M63" s="514"/>
      <c r="N63" s="514"/>
      <c r="O63" s="514"/>
      <c r="P63" s="514"/>
      <c r="Q63" s="514"/>
      <c r="R63" s="514"/>
    </row>
    <row r="64" spans="11:18" x14ac:dyDescent="0.15">
      <c r="K64" s="513"/>
      <c r="L64" s="514"/>
      <c r="M64" s="514"/>
      <c r="N64" s="514"/>
      <c r="O64" s="514"/>
      <c r="P64" s="514"/>
      <c r="Q64" s="514"/>
      <c r="R64" s="514"/>
    </row>
    <row r="65" spans="11:18" x14ac:dyDescent="0.15">
      <c r="K65" s="513"/>
      <c r="L65" s="514"/>
      <c r="M65" s="514"/>
      <c r="N65" s="514"/>
      <c r="O65" s="514"/>
      <c r="P65" s="514"/>
      <c r="Q65" s="514"/>
      <c r="R65" s="514"/>
    </row>
    <row r="66" spans="11:18" x14ac:dyDescent="0.15">
      <c r="K66" s="513"/>
      <c r="L66" s="514"/>
      <c r="M66" s="514"/>
      <c r="N66" s="514"/>
      <c r="O66" s="514"/>
      <c r="P66" s="514"/>
      <c r="Q66" s="514"/>
      <c r="R66" s="514"/>
    </row>
    <row r="67" spans="11:18" x14ac:dyDescent="0.15">
      <c r="K67" s="513"/>
      <c r="L67" s="514"/>
      <c r="M67" s="514"/>
      <c r="N67" s="514"/>
      <c r="O67" s="514"/>
      <c r="P67" s="514"/>
      <c r="Q67" s="514"/>
      <c r="R67" s="514"/>
    </row>
    <row r="68" spans="11:18" x14ac:dyDescent="0.15">
      <c r="K68" s="513"/>
      <c r="L68" s="514"/>
      <c r="M68" s="514"/>
      <c r="N68" s="514"/>
      <c r="O68" s="514"/>
      <c r="P68" s="514"/>
      <c r="Q68" s="514"/>
      <c r="R68" s="514"/>
    </row>
    <row r="69" spans="11:18" x14ac:dyDescent="0.15">
      <c r="K69" s="513"/>
      <c r="L69" s="514"/>
      <c r="M69" s="514"/>
      <c r="N69" s="514"/>
      <c r="O69" s="514"/>
      <c r="P69" s="514"/>
      <c r="Q69" s="514"/>
      <c r="R69" s="514"/>
    </row>
    <row r="70" spans="11:18" x14ac:dyDescent="0.15">
      <c r="K70" s="513"/>
      <c r="L70" s="514"/>
      <c r="M70" s="514"/>
      <c r="N70" s="514"/>
      <c r="O70" s="514"/>
      <c r="P70" s="514"/>
      <c r="Q70" s="514"/>
      <c r="R70" s="514"/>
    </row>
    <row r="71" spans="11:18" x14ac:dyDescent="0.15">
      <c r="K71" s="513"/>
      <c r="L71" s="514"/>
      <c r="M71" s="514"/>
      <c r="N71" s="514"/>
      <c r="O71" s="514"/>
      <c r="P71" s="514"/>
      <c r="Q71" s="514"/>
      <c r="R71" s="514"/>
    </row>
    <row r="72" spans="11:18" x14ac:dyDescent="0.15">
      <c r="K72" s="513"/>
      <c r="L72" s="514"/>
      <c r="M72" s="514"/>
      <c r="N72" s="514"/>
      <c r="O72" s="514"/>
      <c r="P72" s="514"/>
      <c r="Q72" s="514"/>
      <c r="R72" s="514"/>
    </row>
    <row r="73" spans="11:18" x14ac:dyDescent="0.15">
      <c r="K73" s="513"/>
      <c r="L73" s="514"/>
      <c r="M73" s="514"/>
      <c r="N73" s="514"/>
      <c r="O73" s="514"/>
      <c r="P73" s="514"/>
      <c r="Q73" s="514"/>
      <c r="R73" s="514"/>
    </row>
    <row r="74" spans="11:18" x14ac:dyDescent="0.15">
      <c r="K74" s="513"/>
      <c r="L74" s="514"/>
      <c r="M74" s="514"/>
      <c r="N74" s="514"/>
      <c r="O74" s="514"/>
      <c r="P74" s="514"/>
      <c r="Q74" s="514"/>
      <c r="R74" s="514"/>
    </row>
    <row r="75" spans="11:18" x14ac:dyDescent="0.15">
      <c r="K75" s="513"/>
      <c r="L75" s="514"/>
      <c r="M75" s="514"/>
      <c r="N75" s="514"/>
      <c r="O75" s="514"/>
      <c r="P75" s="514"/>
      <c r="Q75" s="514"/>
      <c r="R75" s="514"/>
    </row>
    <row r="76" spans="11:18" x14ac:dyDescent="0.15">
      <c r="K76" s="513"/>
      <c r="L76" s="514"/>
      <c r="M76" s="514"/>
      <c r="N76" s="514"/>
      <c r="O76" s="514"/>
      <c r="P76" s="514"/>
      <c r="Q76" s="514"/>
      <c r="R76" s="514"/>
    </row>
    <row r="77" spans="11:18" x14ac:dyDescent="0.15">
      <c r="K77" s="513"/>
      <c r="L77" s="514"/>
      <c r="M77" s="514"/>
      <c r="N77" s="514"/>
      <c r="O77" s="514"/>
      <c r="P77" s="514"/>
      <c r="Q77" s="514"/>
      <c r="R77" s="514"/>
    </row>
    <row r="78" spans="11:18" x14ac:dyDescent="0.15">
      <c r="K78" s="513"/>
      <c r="L78" s="514"/>
      <c r="M78" s="514"/>
      <c r="N78" s="514"/>
      <c r="O78" s="514"/>
      <c r="P78" s="514"/>
      <c r="Q78" s="514"/>
      <c r="R78" s="514"/>
    </row>
    <row r="79" spans="11:18" x14ac:dyDescent="0.15">
      <c r="K79" s="513"/>
      <c r="L79" s="514"/>
      <c r="M79" s="514"/>
      <c r="N79" s="514"/>
      <c r="O79" s="514"/>
      <c r="P79" s="514"/>
      <c r="Q79" s="514"/>
      <c r="R79" s="514"/>
    </row>
    <row r="80" spans="11:18" x14ac:dyDescent="0.15">
      <c r="K80" s="513"/>
      <c r="L80" s="514"/>
      <c r="M80" s="514"/>
      <c r="N80" s="514"/>
      <c r="O80" s="514"/>
      <c r="P80" s="514"/>
      <c r="Q80" s="514"/>
      <c r="R80" s="514"/>
    </row>
    <row r="81" spans="11:18" x14ac:dyDescent="0.15">
      <c r="K81" s="513"/>
      <c r="L81" s="514"/>
      <c r="M81" s="514"/>
      <c r="N81" s="514"/>
      <c r="O81" s="514"/>
      <c r="P81" s="514"/>
      <c r="Q81" s="514"/>
      <c r="R81" s="514"/>
    </row>
    <row r="82" spans="11:18" x14ac:dyDescent="0.15">
      <c r="K82" s="513"/>
      <c r="L82" s="514"/>
      <c r="M82" s="514"/>
      <c r="N82" s="514"/>
      <c r="O82" s="514"/>
      <c r="P82" s="514"/>
      <c r="Q82" s="514"/>
      <c r="R82" s="514"/>
    </row>
    <row r="83" spans="11:18" x14ac:dyDescent="0.15">
      <c r="K83" s="513"/>
      <c r="L83" s="514"/>
      <c r="M83" s="514"/>
      <c r="N83" s="514"/>
      <c r="O83" s="514"/>
      <c r="P83" s="514"/>
      <c r="Q83" s="514"/>
      <c r="R83" s="514"/>
    </row>
    <row r="84" spans="11:18" x14ac:dyDescent="0.15">
      <c r="K84" s="513"/>
      <c r="L84" s="514"/>
      <c r="M84" s="514"/>
      <c r="N84" s="514"/>
      <c r="O84" s="514"/>
      <c r="P84" s="514"/>
      <c r="Q84" s="514"/>
      <c r="R84" s="514"/>
    </row>
    <row r="85" spans="11:18" x14ac:dyDescent="0.15">
      <c r="K85" s="513"/>
      <c r="L85" s="514"/>
      <c r="M85" s="514"/>
      <c r="N85" s="514"/>
      <c r="O85" s="514"/>
      <c r="P85" s="514"/>
      <c r="Q85" s="514"/>
      <c r="R85" s="514"/>
    </row>
    <row r="86" spans="11:18" x14ac:dyDescent="0.15">
      <c r="K86" s="513"/>
      <c r="L86" s="514"/>
      <c r="M86" s="514"/>
      <c r="N86" s="514"/>
      <c r="O86" s="514"/>
      <c r="P86" s="514"/>
      <c r="Q86" s="514"/>
      <c r="R86" s="514"/>
    </row>
    <row r="87" spans="11:18" x14ac:dyDescent="0.15">
      <c r="K87" s="513"/>
      <c r="L87" s="514"/>
      <c r="M87" s="514"/>
      <c r="N87" s="514"/>
      <c r="O87" s="514"/>
      <c r="P87" s="514"/>
      <c r="Q87" s="514"/>
      <c r="R87" s="514"/>
    </row>
    <row r="88" spans="11:18" x14ac:dyDescent="0.15">
      <c r="K88" s="513"/>
      <c r="L88" s="514"/>
      <c r="M88" s="514"/>
      <c r="N88" s="514"/>
      <c r="O88" s="514"/>
      <c r="P88" s="514"/>
      <c r="Q88" s="514"/>
      <c r="R88" s="514"/>
    </row>
    <row r="89" spans="11:18" x14ac:dyDescent="0.15">
      <c r="K89" s="513"/>
      <c r="L89" s="514"/>
      <c r="M89" s="514"/>
      <c r="N89" s="514"/>
      <c r="O89" s="514"/>
      <c r="P89" s="514"/>
      <c r="Q89" s="514"/>
      <c r="R89" s="514"/>
    </row>
    <row r="90" spans="11:18" x14ac:dyDescent="0.15">
      <c r="K90" s="513"/>
      <c r="L90" s="514"/>
      <c r="M90" s="514"/>
      <c r="N90" s="514"/>
      <c r="O90" s="514"/>
      <c r="P90" s="514"/>
      <c r="Q90" s="514"/>
      <c r="R90" s="514"/>
    </row>
    <row r="91" spans="11:18" x14ac:dyDescent="0.15">
      <c r="K91" s="513"/>
      <c r="L91" s="514"/>
      <c r="M91" s="514"/>
      <c r="N91" s="514"/>
      <c r="O91" s="514"/>
      <c r="P91" s="514"/>
      <c r="Q91" s="514"/>
      <c r="R91" s="514"/>
    </row>
    <row r="92" spans="11:18" x14ac:dyDescent="0.15">
      <c r="K92" s="513"/>
      <c r="L92" s="514"/>
      <c r="M92" s="514"/>
      <c r="N92" s="514"/>
      <c r="O92" s="514"/>
      <c r="P92" s="514"/>
      <c r="Q92" s="514"/>
      <c r="R92" s="514"/>
    </row>
    <row r="93" spans="11:18" x14ac:dyDescent="0.15">
      <c r="K93" s="513"/>
      <c r="L93" s="514"/>
      <c r="M93" s="514"/>
      <c r="N93" s="514"/>
      <c r="O93" s="514"/>
      <c r="P93" s="514"/>
      <c r="Q93" s="514"/>
      <c r="R93" s="514"/>
    </row>
    <row r="94" spans="11:18" x14ac:dyDescent="0.15">
      <c r="K94" s="513"/>
      <c r="L94" s="514"/>
      <c r="M94" s="514"/>
      <c r="N94" s="514"/>
      <c r="O94" s="514"/>
      <c r="P94" s="514"/>
      <c r="Q94" s="514"/>
      <c r="R94" s="514"/>
    </row>
    <row r="95" spans="11:18" x14ac:dyDescent="0.15">
      <c r="K95" s="513"/>
      <c r="L95" s="514"/>
      <c r="M95" s="514"/>
      <c r="N95" s="514"/>
      <c r="O95" s="514"/>
      <c r="P95" s="514"/>
      <c r="Q95" s="514"/>
      <c r="R95" s="514"/>
    </row>
    <row r="96" spans="11:18" x14ac:dyDescent="0.15">
      <c r="K96" s="513"/>
      <c r="L96" s="514"/>
      <c r="M96" s="514"/>
      <c r="N96" s="514"/>
      <c r="O96" s="514"/>
      <c r="P96" s="514"/>
      <c r="Q96" s="514"/>
      <c r="R96" s="514"/>
    </row>
    <row r="97" spans="11:18" x14ac:dyDescent="0.15">
      <c r="K97" s="513"/>
      <c r="L97" s="514"/>
      <c r="M97" s="514"/>
      <c r="N97" s="514"/>
      <c r="O97" s="514"/>
      <c r="P97" s="514"/>
      <c r="Q97" s="514"/>
      <c r="R97" s="514"/>
    </row>
    <row r="98" spans="11:18" x14ac:dyDescent="0.15">
      <c r="K98" s="513"/>
      <c r="L98" s="514"/>
      <c r="M98" s="514"/>
      <c r="N98" s="514"/>
      <c r="O98" s="514"/>
      <c r="P98" s="514"/>
      <c r="Q98" s="514"/>
      <c r="R98" s="514"/>
    </row>
    <row r="99" spans="11:18" x14ac:dyDescent="0.15">
      <c r="K99" s="513"/>
      <c r="L99" s="514"/>
      <c r="M99" s="514"/>
      <c r="N99" s="514"/>
      <c r="O99" s="514"/>
      <c r="P99" s="514"/>
      <c r="Q99" s="514"/>
      <c r="R99" s="514"/>
    </row>
    <row r="100" spans="11:18" x14ac:dyDescent="0.15">
      <c r="K100" s="513"/>
      <c r="L100" s="514"/>
      <c r="M100" s="514"/>
      <c r="N100" s="514"/>
      <c r="O100" s="514"/>
      <c r="P100" s="514"/>
      <c r="Q100" s="514"/>
      <c r="R100" s="514"/>
    </row>
    <row r="101" spans="11:18" x14ac:dyDescent="0.15">
      <c r="K101" s="513"/>
      <c r="L101" s="514"/>
      <c r="M101" s="514"/>
      <c r="N101" s="514"/>
      <c r="O101" s="514"/>
      <c r="P101" s="514"/>
      <c r="Q101" s="514"/>
      <c r="R101" s="514"/>
    </row>
    <row r="102" spans="11:18" x14ac:dyDescent="0.15">
      <c r="K102" s="513"/>
      <c r="L102" s="514"/>
      <c r="M102" s="514"/>
      <c r="N102" s="514"/>
      <c r="O102" s="514"/>
      <c r="P102" s="514"/>
      <c r="Q102" s="514"/>
      <c r="R102" s="514"/>
    </row>
    <row r="103" spans="11:18" x14ac:dyDescent="0.15">
      <c r="K103" s="513"/>
      <c r="L103" s="514"/>
      <c r="M103" s="514"/>
      <c r="N103" s="514"/>
      <c r="O103" s="514"/>
      <c r="P103" s="514"/>
      <c r="Q103" s="514"/>
      <c r="R103" s="514"/>
    </row>
  </sheetData>
  <sheetProtection formatCells="0"/>
  <mergeCells count="4">
    <mergeCell ref="D25:F25"/>
    <mergeCell ref="D2:I2"/>
    <mergeCell ref="A2:B2"/>
    <mergeCell ref="A34:B34"/>
  </mergeCells>
  <conditionalFormatting sqref="L3:R102">
    <cfRule type="expression" dxfId="3" priority="3">
      <formula>IF(AND(L$2=$U$3,$K3=$U$4,L3&lt;&gt;""),TRUE,FALSE)</formula>
    </cfRule>
  </conditionalFormatting>
  <conditionalFormatting sqref="F20">
    <cfRule type="expression" dxfId="2" priority="2">
      <formula>IF(F20&gt;1.05,TRUE,FALSE)</formula>
    </cfRule>
  </conditionalFormatting>
  <dataValidations count="4">
    <dataValidation type="list" allowBlank="1" showInputMessage="1" showErrorMessage="1" sqref="U3">
      <formula1>$L$2:$R$2</formula1>
    </dataValidation>
    <dataValidation type="list" allowBlank="1" showInputMessage="1" showErrorMessage="1" sqref="U4">
      <formula1>Rng_SavingsRates</formula1>
    </dataValidation>
    <dataValidation type="list" allowBlank="1" showInputMessage="1" showErrorMessage="1" sqref="F5 F7">
      <formula1>INDIRECT(E5)</formula1>
    </dataValidation>
    <dataValidation type="list" allowBlank="1" showInputMessage="1" showErrorMessage="1" sqref="F26">
      <formula1>"Initial Payment,Final Payment"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2" r:id="rId4" name="Button 28">
              <controlPr defaultSize="0" print="0" autoFill="0" autoPict="0" macro="[0]!mcrGenerateScenarios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9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5" name="Button 35">
              <controlPr defaultSize="0" print="0" autoFill="0" autoPict="0" macro="[0]!mcrSaveFile">
                <anchor moveWithCells="1" sizeWithCells="1">
                  <from>
                    <xdr:col>7</xdr:col>
                    <xdr:colOff>9525</xdr:colOff>
                    <xdr:row>33</xdr:row>
                    <xdr:rowOff>19050</xdr:rowOff>
                  </from>
                  <to>
                    <xdr:col>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6" name="Button 51">
              <controlPr defaultSize="0" print="0" autoFill="0" autoPict="0" macro="[0]!mcrClearForm">
                <anchor moveWithCells="1" sizeWithCells="1">
                  <from>
                    <xdr:col>7</xdr:col>
                    <xdr:colOff>9525</xdr:colOff>
                    <xdr:row>37</xdr:row>
                    <xdr:rowOff>9525</xdr:rowOff>
                  </from>
                  <to>
                    <xdr:col>9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8" r:id="rId7" name="Button 54">
              <controlPr defaultSize="0" print="0" autoFill="0" autoPict="0" macro="[0]!mcrRecommendSystems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9</xdr:col>
                    <xdr:colOff>0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301D22B3-0EEE-4168-9495-AE30A29F0B3F}">
            <xm:f>IF(OR(OR(AND(VLOOKUP(F5,Components!$A$1:$N$109,8,FALSE)&gt;2,B16&lt;=2),AND(VLOOKUP(F5,Components!$A$1:$N$109,8,FALSE)&lt;=2,B16&gt;2)),I5*VLOOKUP(F5,Components!$A$1:$N$109,12,FALSE)&lt;$F$17,I5*VLOOKUP(F5,Components!$A$1:$N$109,11,FALSE)&gt;$F$17),TRUE,FALSE)</xm:f>
            <x14:dxf>
              <fill>
                <patternFill>
                  <bgColor rgb="FFFF0000"/>
                </patternFill>
              </fill>
            </x14:dxf>
          </x14:cfRule>
          <xm:sqref>F5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ListData!$B$100:$B$102</xm:f>
          </x14:formula1>
          <xm:sqref>B27</xm:sqref>
        </x14:dataValidation>
        <x14:dataValidation type="list" allowBlank="1" showInputMessage="1" showErrorMessage="1">
          <x14:formula1>
            <xm:f>Components!$A$2:$A$3</xm:f>
          </x14:formula1>
          <xm:sqref>F4</xm:sqref>
        </x14:dataValidation>
        <x14:dataValidation type="list" allowBlank="1" showInputMessage="1" showErrorMessage="1">
          <x14:formula1>
            <xm:f>ListData!$B$25:$B$27</xm:f>
          </x14:formula1>
          <xm:sqref>B16</xm:sqref>
        </x14:dataValidation>
        <x14:dataValidation type="list" allowBlank="1" showInputMessage="1" showErrorMessage="1">
          <x14:formula1>
            <xm:f>ListData!$B$16:$B$22</xm:f>
          </x14:formula1>
          <xm:sqref>B18</xm:sqref>
        </x14:dataValidation>
        <x14:dataValidation type="list" allowBlank="1" showInputMessage="1" showErrorMessage="1">
          <x14:formula1>
            <xm:f>ListData!$B$11:$B$12</xm:f>
          </x14:formula1>
          <xm:sqref>B17</xm:sqref>
        </x14:dataValidation>
        <x14:dataValidation type="list" allowBlank="1" showInputMessage="1" showErrorMessage="1">
          <x14:formula1>
            <xm:f>Components!$A$107:$A$109</xm:f>
          </x14:formula1>
          <xm:sqref>F9</xm:sqref>
        </x14:dataValidation>
        <x14:dataValidation type="list" allowBlank="1" showInputMessage="1" showErrorMessage="1">
          <x14:formula1>
            <xm:f>Components!$A$17:$A$22</xm:f>
          </x14:formula1>
          <xm:sqref>F6</xm:sqref>
        </x14:dataValidation>
        <x14:dataValidation type="list" allowBlank="1" showInputMessage="1" showErrorMessage="1">
          <x14:formula1>
            <xm:f>ListData!$B$39:$B$70</xm:f>
          </x14:formula1>
          <xm:sqref>B13</xm:sqref>
        </x14:dataValidation>
        <x14:dataValidation type="list" allowBlank="1" showInputMessage="1" showErrorMessage="1">
          <x14:formula1>
            <xm:f>ListData!$B$73:$B$96</xm:f>
          </x14:formula1>
          <xm:sqref>B25</xm:sqref>
        </x14:dataValidation>
        <x14:dataValidation type="list" allowBlank="1" showInputMessage="1" showErrorMessage="1">
          <x14:formula1>
            <xm:f>ListData!$B$105:$B$113</xm:f>
          </x14:formula1>
          <xm:sqref>B26</xm:sqref>
        </x14:dataValidation>
        <x14:dataValidation type="list" allowBlank="1" showInputMessage="1" showErrorMessage="1">
          <x14:formula1>
            <xm:f>CFE_History_DAC!$B$3:$O$3</xm:f>
          </x14:formula1>
          <xm:sqref>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3:G288"/>
  <sheetViews>
    <sheetView zoomScaleNormal="10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896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IF(Cust_Address="","",IF(Cust_Colonia="",Cust_Address,Cust_Address&amp;", Col. "&amp;Cust_Colonia))</f>
        <v/>
      </c>
    </row>
    <row r="6" spans="1:7" ht="15" x14ac:dyDescent="0.2">
      <c r="G6" s="7" t="str">
        <f>IF(Inputs!B12="","",Inputs!B12)</f>
        <v/>
      </c>
    </row>
    <row r="7" spans="1:7" ht="15" x14ac:dyDescent="0.2">
      <c r="G7" s="7" t="str">
        <f>Inputs!B13&amp;"  "&amp;Inputs!B14</f>
        <v xml:space="preserve">Gto.  </v>
      </c>
    </row>
    <row r="8" spans="1:7" ht="15" x14ac:dyDescent="0.2">
      <c r="G8" s="7" t="str">
        <f>"PV system size is "&amp;TEXT(Inputs_MySOL!$G$17/1000,"0.00")&amp;"kW"</f>
        <v>PV system size is 8.58kW</v>
      </c>
    </row>
    <row r="9" spans="1:7" ht="15.75" customHeight="1" x14ac:dyDescent="0.2">
      <c r="G9" s="1" t="str">
        <f>IF(SysSpec_PV_Units=0,"",SysSpec_PV_Units&amp;" "&amp;Inputs!F$4)</f>
        <v>26 Trina Solar_TSM-PD14 330</v>
      </c>
    </row>
    <row r="10" spans="1:7" ht="15.75" customHeight="1" x14ac:dyDescent="0.3">
      <c r="A10"/>
      <c r="B10" s="8"/>
      <c r="C10" s="8"/>
      <c r="G10" s="1" t="str">
        <f>IF(SysSpec_Inverters_Units=0,"",SysSpec_Inverters_Units&amp;" "&amp;Inputs!F$5)</f>
        <v>1 SMA_SB7.0-1SP-US-40</v>
      </c>
    </row>
    <row r="11" spans="1:7" ht="15.75" customHeight="1" x14ac:dyDescent="0.2">
      <c r="A11"/>
      <c r="G11" s="1" t="str">
        <f>IF(SysSpec_Optimizers_Units=0,"",SysSpec_Optimizers_Units&amp;" "&amp;Inputs!F$6)</f>
        <v/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644" t="s">
        <v>473</v>
      </c>
      <c r="E18" s="644"/>
      <c r="F18" s="644"/>
      <c r="G18" s="393" t="s">
        <v>474</v>
      </c>
    </row>
    <row r="19" spans="1:7" ht="15.75" customHeight="1" x14ac:dyDescent="0.2"/>
    <row r="20" spans="1:7" ht="15.75" customHeight="1" x14ac:dyDescent="0.2">
      <c r="A20" s="10" t="s">
        <v>28</v>
      </c>
      <c r="B20" s="11"/>
      <c r="C20" s="11"/>
      <c r="D20" s="12">
        <f>Cust_InitialPymt</f>
        <v>12446.491187147098</v>
      </c>
      <c r="E20" s="12"/>
      <c r="F20" s="12"/>
      <c r="G20" s="394" t="str">
        <f>IF(D20=0,"Go solar with no upfront cost","Go solar with low upfront cost")</f>
        <v>Go solar with low upfront cost</v>
      </c>
    </row>
    <row r="21" spans="1:7" ht="15.75" customHeight="1" x14ac:dyDescent="0.2"/>
    <row r="22" spans="1:7" ht="15.75" customHeight="1" x14ac:dyDescent="0.2">
      <c r="A22" s="10" t="s">
        <v>518</v>
      </c>
      <c r="B22" s="11"/>
      <c r="C22" s="11"/>
      <c r="D22" s="13">
        <f>Savings!AB6/12</f>
        <v>5628.8362506008561</v>
      </c>
      <c r="E22" s="13"/>
      <c r="F22" s="13"/>
      <c r="G22" s="394" t="s">
        <v>519</v>
      </c>
    </row>
    <row r="23" spans="1:7" ht="15.75" customHeight="1" x14ac:dyDescent="0.2"/>
    <row r="24" spans="1:7" ht="15.75" customHeight="1" x14ac:dyDescent="0.2">
      <c r="A24" s="10" t="s">
        <v>30</v>
      </c>
      <c r="B24" s="11"/>
      <c r="C24" s="11"/>
      <c r="D24" s="14">
        <f>Inputs_MySOL!$B$12</f>
        <v>3.5000000000000003E-2</v>
      </c>
      <c r="E24" s="14"/>
      <c r="F24" s="14"/>
      <c r="G24" s="394" t="str">
        <f>"Low compared to "&amp;TEXT(Inputs_MySOL!$B$6,"0.0%")&amp;" CFE rate increases"</f>
        <v>Low compared to 8.0% CFE rate increases</v>
      </c>
    </row>
    <row r="25" spans="1:7" ht="15.75" customHeight="1" x14ac:dyDescent="0.2"/>
    <row r="26" spans="1:7" ht="15.75" customHeight="1" x14ac:dyDescent="0.2">
      <c r="A26" s="10" t="s">
        <v>31</v>
      </c>
      <c r="B26" s="11"/>
      <c r="C26" s="11"/>
      <c r="D26" s="15">
        <f>Cust_LeaseTermYears</f>
        <v>10</v>
      </c>
      <c r="E26" s="15"/>
      <c r="F26" s="13"/>
      <c r="G26" s="394" t="s">
        <v>32</v>
      </c>
    </row>
    <row r="27" spans="1:7" ht="15.75" customHeight="1" x14ac:dyDescent="0.2"/>
    <row r="28" spans="1:7" ht="15.75" customHeight="1" x14ac:dyDescent="0.2">
      <c r="A28" s="10" t="s">
        <v>34</v>
      </c>
      <c r="B28" s="11"/>
      <c r="C28" s="11"/>
      <c r="D28" s="13" t="s">
        <v>29</v>
      </c>
      <c r="E28" s="13"/>
      <c r="F28" s="13"/>
      <c r="G28" s="394" t="s">
        <v>244</v>
      </c>
    </row>
    <row r="29" spans="1:7" ht="15.75" customHeight="1" x14ac:dyDescent="0.2"/>
    <row r="30" spans="1:7" ht="15.75" customHeight="1" x14ac:dyDescent="0.2">
      <c r="A30" s="10" t="s">
        <v>36</v>
      </c>
      <c r="B30" s="11"/>
      <c r="C30" s="11"/>
      <c r="D30" s="17" t="s">
        <v>29</v>
      </c>
      <c r="E30" s="17"/>
      <c r="F30" s="17"/>
      <c r="G30" s="395" t="s">
        <v>246</v>
      </c>
    </row>
    <row r="31" spans="1:7" ht="15.75" customHeight="1" x14ac:dyDescent="0.2"/>
    <row r="32" spans="1:7" ht="15.75" customHeight="1" x14ac:dyDescent="0.2">
      <c r="A32" s="10" t="s">
        <v>11</v>
      </c>
      <c r="B32" s="11"/>
      <c r="C32" s="11"/>
      <c r="D32" s="17" t="s">
        <v>29</v>
      </c>
      <c r="E32" s="17"/>
      <c r="F32" s="17"/>
      <c r="G32" s="395" t="s">
        <v>245</v>
      </c>
    </row>
    <row r="33" spans="1:7" ht="15.75" customHeight="1" x14ac:dyDescent="0.2"/>
    <row r="34" spans="1:7" ht="15.75" customHeight="1" x14ac:dyDescent="0.2">
      <c r="A34" s="10" t="s">
        <v>475</v>
      </c>
      <c r="B34" s="11"/>
      <c r="C34" s="11"/>
      <c r="D34" s="13" t="s">
        <v>29</v>
      </c>
      <c r="E34" s="13"/>
      <c r="F34" s="17"/>
      <c r="G34" s="394" t="s">
        <v>322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tr">
        <f>G3</f>
        <v>MySOL Service Plan Summary</v>
      </c>
    </row>
    <row r="68" spans="1:7" ht="20.25" x14ac:dyDescent="0.3">
      <c r="B68" s="5"/>
      <c r="G68" s="6" t="str">
        <f t="shared" ref="G68:G75" si="0">G4</f>
        <v xml:space="preserve"> </v>
      </c>
    </row>
    <row r="69" spans="1:7" ht="15" x14ac:dyDescent="0.2">
      <c r="G69" s="7" t="str">
        <f t="shared" si="0"/>
        <v/>
      </c>
    </row>
    <row r="70" spans="1:7" ht="15" x14ac:dyDescent="0.2">
      <c r="G70" s="7" t="str">
        <f t="shared" si="0"/>
        <v/>
      </c>
    </row>
    <row r="71" spans="1:7" ht="15" x14ac:dyDescent="0.2">
      <c r="G71" s="7" t="str">
        <f t="shared" si="0"/>
        <v xml:space="preserve">Gto.  </v>
      </c>
    </row>
    <row r="72" spans="1:7" ht="15" x14ac:dyDescent="0.2">
      <c r="G72" s="7" t="str">
        <f t="shared" si="0"/>
        <v>PV system size is 8.58kW</v>
      </c>
    </row>
    <row r="73" spans="1:7" x14ac:dyDescent="0.2">
      <c r="A73"/>
      <c r="G73" s="1" t="str">
        <f t="shared" si="0"/>
        <v>26 Trina Solar_TSM-PD14 330</v>
      </c>
    </row>
    <row r="74" spans="1:7" ht="20.25" x14ac:dyDescent="0.3">
      <c r="B74" s="8"/>
      <c r="C74" s="8"/>
      <c r="G74" s="1" t="str">
        <f t="shared" si="0"/>
        <v>1 SMA_SB7.0-1SP-US-40</v>
      </c>
    </row>
    <row r="75" spans="1:7" x14ac:dyDescent="0.2">
      <c r="G75" s="1" t="str">
        <f t="shared" si="0"/>
        <v/>
      </c>
    </row>
    <row r="77" spans="1:7" x14ac:dyDescent="0.2">
      <c r="C77" s="9"/>
    </row>
    <row r="83" spans="1:7" ht="30.75" customHeight="1" x14ac:dyDescent="0.25">
      <c r="A83" s="18" t="s">
        <v>206</v>
      </c>
      <c r="B83" s="19"/>
      <c r="C83" s="136" t="s">
        <v>476</v>
      </c>
      <c r="D83" s="136" t="s">
        <v>477</v>
      </c>
      <c r="E83" s="20" t="s">
        <v>205</v>
      </c>
      <c r="G83" s="21" t="str">
        <f>15&amp;" Year Summary"</f>
        <v>15 Year Summary</v>
      </c>
    </row>
    <row r="84" spans="1:7" ht="15" x14ac:dyDescent="0.2">
      <c r="A84" s="7" t="s">
        <v>16</v>
      </c>
      <c r="B84" s="7"/>
      <c r="C84" s="65">
        <f>Savings!J6</f>
        <v>85291.92</v>
      </c>
      <c r="D84" s="65">
        <f>Savings!X6</f>
        <v>1674.5243456785986</v>
      </c>
      <c r="E84" s="7"/>
      <c r="G84" s="22" t="str">
        <f>"Savings in year " &amp;15&amp;" is "&amp;TEXT(Savings!AF20,"0.0%")</f>
        <v>Savings in year 15 is 97.7%</v>
      </c>
    </row>
    <row r="85" spans="1:7" ht="15" x14ac:dyDescent="0.2">
      <c r="A85" s="19" t="s">
        <v>478</v>
      </c>
      <c r="B85" s="19"/>
      <c r="C85" s="66" t="s">
        <v>39</v>
      </c>
      <c r="D85" s="67">
        <f>Savings!AB6</f>
        <v>67546.035007210274</v>
      </c>
      <c r="E85" s="7"/>
      <c r="G85" s="22" t="str">
        <f>"Savings over "&amp;15&amp;" years is $"&amp;TEXT(G138,"#,##")</f>
        <v>Savings over 15 years is $1,473,778</v>
      </c>
    </row>
    <row r="86" spans="1:7" ht="15.75" x14ac:dyDescent="0.25">
      <c r="A86" s="21" t="s">
        <v>26</v>
      </c>
      <c r="C86" s="23">
        <f>SUM(C84:C85)</f>
        <v>85291.92</v>
      </c>
      <c r="D86" s="23">
        <f>SUM(D84:D85)</f>
        <v>69220.559352888871</v>
      </c>
      <c r="E86" s="134">
        <f>C86-D86</f>
        <v>16071.360647111127</v>
      </c>
      <c r="F86" s="25"/>
      <c r="G86" s="21"/>
    </row>
    <row r="87" spans="1:7" ht="15.75" x14ac:dyDescent="0.25">
      <c r="A87" s="7"/>
      <c r="C87" s="137"/>
      <c r="D87" s="137"/>
      <c r="E87" s="25"/>
      <c r="G87" s="21"/>
    </row>
    <row r="88" spans="1:7" ht="15.75" x14ac:dyDescent="0.25">
      <c r="A88" s="21"/>
      <c r="C88" s="23"/>
      <c r="D88" s="23"/>
      <c r="E88" s="134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.75" thickBot="1" x14ac:dyDescent="0.25">
      <c r="A119" s="645" t="str">
        <f>G3</f>
        <v>MySOL Service Plan Summary</v>
      </c>
      <c r="B119" s="646"/>
      <c r="C119" s="646"/>
      <c r="D119" s="646"/>
      <c r="E119" s="646"/>
      <c r="F119" s="646"/>
      <c r="G119" s="647"/>
    </row>
    <row r="120" spans="1:7" ht="18" customHeight="1" thickBot="1" x14ac:dyDescent="0.25">
      <c r="A120" s="654" t="s">
        <v>18</v>
      </c>
      <c r="B120" s="655"/>
      <c r="C120" s="657" t="s">
        <v>476</v>
      </c>
      <c r="D120" s="658"/>
      <c r="E120" s="659" t="s">
        <v>801</v>
      </c>
      <c r="F120" s="660"/>
      <c r="G120" s="661"/>
    </row>
    <row r="121" spans="1:7" ht="16.5" customHeight="1" x14ac:dyDescent="0.2">
      <c r="A121" s="656"/>
      <c r="B121" s="612"/>
      <c r="C121" s="617" t="s">
        <v>16</v>
      </c>
      <c r="D121" s="612"/>
      <c r="E121" s="618" t="s">
        <v>799</v>
      </c>
      <c r="F121" s="619"/>
      <c r="G121" s="449" t="s">
        <v>800</v>
      </c>
    </row>
    <row r="122" spans="1:7" ht="12.75" customHeight="1" x14ac:dyDescent="0.2">
      <c r="A122" s="611" t="s">
        <v>28</v>
      </c>
      <c r="B122" s="612"/>
      <c r="C122" s="622">
        <v>0</v>
      </c>
      <c r="D122" s="612"/>
      <c r="E122" s="620">
        <f>Cust_InitialPymt</f>
        <v>12446.491187147098</v>
      </c>
      <c r="F122" s="621"/>
      <c r="G122" s="450"/>
    </row>
    <row r="123" spans="1:7" x14ac:dyDescent="0.2">
      <c r="A123" s="613">
        <v>1</v>
      </c>
      <c r="B123" s="614"/>
      <c r="C123" s="622">
        <f>Savings!J6</f>
        <v>85291.92</v>
      </c>
      <c r="D123" s="612"/>
      <c r="E123" s="620"/>
      <c r="F123" s="621"/>
      <c r="G123" s="450">
        <f>Savings!AE6</f>
        <v>16071.360647111127</v>
      </c>
    </row>
    <row r="124" spans="1:7" x14ac:dyDescent="0.2">
      <c r="A124" s="613">
        <v>2</v>
      </c>
      <c r="B124" s="614"/>
      <c r="C124" s="622">
        <f>Savings!J7</f>
        <v>92115.2736</v>
      </c>
      <c r="D124" s="612"/>
      <c r="E124" s="620"/>
      <c r="F124" s="621"/>
      <c r="G124" s="450">
        <f>Savings!AE7</f>
        <v>20647.127745197489</v>
      </c>
    </row>
    <row r="125" spans="1:7" x14ac:dyDescent="0.2">
      <c r="A125" s="613">
        <v>3</v>
      </c>
      <c r="B125" s="614"/>
      <c r="C125" s="622">
        <f>Savings!J8</f>
        <v>99484.495488000015</v>
      </c>
      <c r="D125" s="612"/>
      <c r="E125" s="620"/>
      <c r="F125" s="621"/>
      <c r="G125" s="450">
        <f>Savings!AE8</f>
        <v>25381.525677741316</v>
      </c>
    </row>
    <row r="126" spans="1:7" x14ac:dyDescent="0.2">
      <c r="A126" s="613">
        <v>4</v>
      </c>
      <c r="B126" s="614"/>
      <c r="C126" s="622">
        <f>Savings!J9</f>
        <v>107443.25512704003</v>
      </c>
      <c r="D126" s="612"/>
      <c r="E126" s="620"/>
      <c r="F126" s="621"/>
      <c r="G126" s="450">
        <f>Savings!AE9</f>
        <v>30606.387204011291</v>
      </c>
    </row>
    <row r="127" spans="1:7" x14ac:dyDescent="0.2">
      <c r="A127" s="613">
        <v>5</v>
      </c>
      <c r="B127" s="614"/>
      <c r="C127" s="622">
        <f>Savings!J10</f>
        <v>116038.71553720324</v>
      </c>
      <c r="D127" s="612"/>
      <c r="E127" s="648" t="str">
        <f>IF(A127&lt;&gt;Cust_LeaseTermYears,"",IF(OR(Scenario_Variable="Final Payment",Scenario_Variable="Pago Final"),MAX(0,HLOOKUP(A127*12,Model!$D$50:$GA$80,31,FALSE)),Cust_TotalPymtAtTermEnd))</f>
        <v/>
      </c>
      <c r="F127" s="621" t="str">
        <f>IF(OR(D127&lt;5,D127&gt;Cust_LeaseTermYears),"N/A",IF(OR(Scenario_Variable="Final Payment",D127&lt;Cust_LeaseTermYears),MAX(0,HLOOKUP(D127*12,Model!$D$50:$GA$80,20,FALSE)),Cust_FinalPymtAtTermEnd))</f>
        <v>N/A</v>
      </c>
      <c r="G127" s="450">
        <f>Savings!AE10</f>
        <v>36364.956401025731</v>
      </c>
    </row>
    <row r="128" spans="1:7" x14ac:dyDescent="0.2">
      <c r="A128" s="613">
        <v>6</v>
      </c>
      <c r="B128" s="614"/>
      <c r="C128" s="622">
        <f>Savings!J11</f>
        <v>125321.81278017951</v>
      </c>
      <c r="D128" s="612"/>
      <c r="E128" s="648" t="str">
        <f>IF(A128&lt;&gt;Cust_LeaseTermYears,"",IF(OR(Scenario_Variable="Final Payment",Scenario_Variable="Pago Final"),MAX(0,HLOOKUP(A128*12,Model!$D$50:$GA$80,31,FALSE)),Cust_TotalPymtAtTermEnd))</f>
        <v/>
      </c>
      <c r="F128" s="621" t="str">
        <f>IF(OR(D128&lt;5,D128&gt;Cust_LeaseTermYears),"N/A",IF(OR(Scenario_Variable="Final Payment",D128&lt;Cust_LeaseTermYears),MAX(0,HLOOKUP(D128*12,Model!$D$50:$GA$80,20,FALSE)),Cust_FinalPymtAtTermEnd))</f>
        <v>N/A</v>
      </c>
      <c r="G128" s="450">
        <f>Savings!AE11</f>
        <v>42704.07950346444</v>
      </c>
    </row>
    <row r="129" spans="1:7" x14ac:dyDescent="0.2">
      <c r="A129" s="613">
        <v>7</v>
      </c>
      <c r="B129" s="614"/>
      <c r="C129" s="622">
        <f>Savings!J12</f>
        <v>135347.55780259389</v>
      </c>
      <c r="D129" s="612"/>
      <c r="E129" s="620" t="str">
        <f>IF(A129&lt;&gt;Cust_LeaseTermYears,"",IF(OR(Scenario_Variable="Final Payment",Scenario_Variable="Pago Final"),MAX(0,HLOOKUP(A129*12,Model!$D$50:$GA$80,31,FALSE)),Cust_TotalPymtAtTermEnd))</f>
        <v/>
      </c>
      <c r="F129" s="621" t="str">
        <f>IF(OR(D129&lt;5,D129&gt;Cust_LeaseTermYears),"N/A",IF(OR(Scenario_Variable="Final Payment",D129&lt;Cust_LeaseTermYears),MAX(0,HLOOKUP(D129*12,Model!$D$50:$GA$80,20,FALSE)),Cust_FinalPymtAtTermEnd))</f>
        <v>N/A</v>
      </c>
      <c r="G129" s="450">
        <f>Savings!AE12</f>
        <v>49674.498124225967</v>
      </c>
    </row>
    <row r="130" spans="1:7" x14ac:dyDescent="0.2">
      <c r="A130" s="613">
        <v>8</v>
      </c>
      <c r="B130" s="614"/>
      <c r="C130" s="622">
        <f>Savings!J13</f>
        <v>146175.36242680138</v>
      </c>
      <c r="D130" s="612"/>
      <c r="E130" s="620" t="str">
        <f>IF(A130&lt;&gt;Cust_LeaseTermYears,"",IF(OR(Scenario_Variable="Final Payment",Scenario_Variable="Pago Final"),MAX(0,HLOOKUP(A130*12,Model!$D$50:$GA$80,31,FALSE)),Cust_TotalPymtAtTermEnd))</f>
        <v/>
      </c>
      <c r="F130" s="621" t="str">
        <f>IF(OR(D130&lt;5,D130&gt;Cust_LeaseTermYears),"N/A",IF(OR(Scenario_Variable="Final Payment",D130&lt;Cust_LeaseTermYears),MAX(0,HLOOKUP(D130*12,Model!$D$50:$GA$80,20,FALSE)),Cust_FinalPymtAtTermEnd))</f>
        <v>N/A</v>
      </c>
      <c r="G130" s="450">
        <f>Savings!AE13</f>
        <v>57331.166110509817</v>
      </c>
    </row>
    <row r="131" spans="1:7" x14ac:dyDescent="0.2">
      <c r="A131" s="613">
        <v>9</v>
      </c>
      <c r="B131" s="614"/>
      <c r="C131" s="622">
        <f>Savings!J14</f>
        <v>157869.39142094553</v>
      </c>
      <c r="D131" s="612"/>
      <c r="E131" s="620" t="str">
        <f>IF(A131&lt;&gt;Cust_LeaseTermYears,"",IF(OR(Scenario_Variable="Final Payment",Scenario_Variable="Pago Final"),MAX(0,HLOOKUP(A131*12,Model!$D$50:$GA$80,31,FALSE)),Cust_TotalPymtAtTermEnd))</f>
        <v/>
      </c>
      <c r="F131" s="621" t="str">
        <f>IF(OR(D131&lt;5,D131&gt;Cust_LeaseTermYears),"N/A",IF(OR(Scenario_Variable="Final Payment",D131&lt;Cust_LeaseTermYears),MAX(0,HLOOKUP(D131*12,Model!$D$50:$GA$80,20,FALSE)),Cust_FinalPymtAtTermEnd))</f>
        <v>N/A</v>
      </c>
      <c r="G131" s="450">
        <f>Savings!AE14</f>
        <v>65733.591932513504</v>
      </c>
    </row>
    <row r="132" spans="1:7" x14ac:dyDescent="0.2">
      <c r="A132" s="613">
        <v>10</v>
      </c>
      <c r="B132" s="614"/>
      <c r="C132" s="622">
        <f>Savings!J15</f>
        <v>170498.94273462115</v>
      </c>
      <c r="D132" s="612"/>
      <c r="E132" s="620">
        <f>IF(A132&lt;&gt;Cust_LeaseTermYears,"",IF(OR(Scenario_Variable="Final Payment",Scenario_Variable="Pago Final"),MAX(0,HLOOKUP(A132*12,Model!$D$50:$GA$80,31,FALSE)),Cust_TotalPymtAtTermEnd))</f>
        <v>13323.216877566358</v>
      </c>
      <c r="F132" s="621" t="str">
        <f>IF(OR(D132&lt;5,D132&gt;Cust_LeaseTermYears),"N/A",IF(OR(Scenario_Variable="Final Payment",D132&lt;Cust_LeaseTermYears),MAX(0,HLOOKUP(D132*12,Model!$D$50:$GA$80,20,FALSE)),Cust_FinalPymtAtTermEnd))</f>
        <v>N/A</v>
      </c>
      <c r="G132" s="450">
        <f>Savings!AE15</f>
        <v>74437.929127061449</v>
      </c>
    </row>
    <row r="133" spans="1:7" x14ac:dyDescent="0.2">
      <c r="A133" s="613">
        <v>11</v>
      </c>
      <c r="B133" s="614"/>
      <c r="C133" s="622">
        <f>Savings!J16</f>
        <v>184138.85815339087</v>
      </c>
      <c r="D133" s="612"/>
      <c r="E133" s="620" t="str">
        <f>IF(A133&lt;&gt;Cust_LeaseTermYears,"",IF(OR(Scenario_Variable="Final Payment",Scenario_Variable="Pago Final"),MAX(0,HLOOKUP(A133*12,Model!$D$50:$GA$80,31,FALSE)),Cust_TotalPymtAtTermEnd))</f>
        <v/>
      </c>
      <c r="F133" s="621" t="str">
        <f>IF(OR(D133&lt;5,D133&gt;Cust_LeaseTermYears),"N/A",IF(OR(Scenario_Variable="Final Payment",D133&lt;Cust_LeaseTermYears),MAX(0,HLOOKUP(D133*12,Model!$D$50:$GA$80,20,FALSE)),Cust_FinalPymtAtTermEnd))</f>
        <v>N/A</v>
      </c>
      <c r="G133" s="450">
        <f>Savings!AE16</f>
        <v>179763.52969864945</v>
      </c>
    </row>
    <row r="134" spans="1:7" x14ac:dyDescent="0.2">
      <c r="A134" s="613">
        <v>12</v>
      </c>
      <c r="B134" s="614"/>
      <c r="C134" s="622">
        <f>Savings!J17</f>
        <v>198869.96680566214</v>
      </c>
      <c r="D134" s="612"/>
      <c r="E134" s="620" t="str">
        <f>IF(A134&lt;&gt;Cust_LeaseTermYears,"",IF(OR(Scenario_Variable="Final Payment",Scenario_Variable="Pago Final"),MAX(0,HLOOKUP(A134*12,Model!$D$50:$GA$80,31,FALSE)),Cust_TotalPymtAtTermEnd))</f>
        <v/>
      </c>
      <c r="F134" s="621" t="str">
        <f>IF(OR(D134&lt;5,D134&gt;Cust_LeaseTermYears),"N/A",IF(OR(Scenario_Variable="Final Payment",D134&lt;Cust_LeaseTermYears),MAX(0,HLOOKUP(D134*12,Model!$D$50:$GA$80,20,FALSE)),Cust_FinalPymtAtTermEnd))</f>
        <v>N/A</v>
      </c>
      <c r="G134" s="450">
        <f>Savings!AE17</f>
        <v>194105.38042412183</v>
      </c>
    </row>
    <row r="135" spans="1:7" x14ac:dyDescent="0.2">
      <c r="A135" s="613">
        <v>13</v>
      </c>
      <c r="B135" s="614"/>
      <c r="C135" s="622">
        <f>Savings!J18</f>
        <v>214779.56415011513</v>
      </c>
      <c r="D135" s="612"/>
      <c r="E135" s="620" t="str">
        <f>IF(A135&lt;&gt;Cust_LeaseTermYears,"",IF(OR(Scenario_Variable="Final Payment",Scenario_Variable="Pago Final"),MAX(0,HLOOKUP(A135*12,Model!$D$50:$GA$80,31,FALSE)),Cust_TotalPymtAtTermEnd))</f>
        <v/>
      </c>
      <c r="F135" s="621" t="str">
        <f>IF(OR(D135&lt;5,D135&gt;Cust_LeaseTermYears),"N/A",IF(OR(Scenario_Variable="Final Payment",D135&lt;Cust_LeaseTermYears),MAX(0,HLOOKUP(D135*12,Model!$D$50:$GA$80,20,FALSE)),Cust_FinalPymtAtTermEnd))</f>
        <v>N/A</v>
      </c>
      <c r="G135" s="450">
        <f>Savings!AE18</f>
        <v>209696.05030400437</v>
      </c>
    </row>
    <row r="136" spans="1:7" x14ac:dyDescent="0.2">
      <c r="A136" s="613">
        <v>14</v>
      </c>
      <c r="B136" s="614"/>
      <c r="C136" s="622">
        <f>Savings!J19</f>
        <v>231961.92928212433</v>
      </c>
      <c r="D136" s="612"/>
      <c r="E136" s="620" t="str">
        <f>IF(A136&lt;&gt;Cust_LeaseTermYears,"",IF(OR(Scenario_Variable="Final Payment",Scenario_Variable="Pago Final"),MAX(0,HLOOKUP(A136*12,Model!$D$50:$GA$80,31,FALSE)),Cust_TotalPymtAtTermEnd))</f>
        <v/>
      </c>
      <c r="F136" s="621" t="str">
        <f>IF(OR(D136&lt;5,D136&gt;Cust_LeaseTermYears),"N/A",IF(OR(Scenario_Variable="Final Payment",D136&lt;Cust_LeaseTermYears),MAX(0,HLOOKUP(D136*12,Model!$D$50:$GA$80,20,FALSE)),Cust_FinalPymtAtTermEnd))</f>
        <v>N/A</v>
      </c>
      <c r="G136" s="450">
        <f>Savings!AE19</f>
        <v>226535.84095765607</v>
      </c>
    </row>
    <row r="137" spans="1:7" ht="13.5" thickBot="1" x14ac:dyDescent="0.25">
      <c r="A137" s="613">
        <v>15</v>
      </c>
      <c r="B137" s="614"/>
      <c r="C137" s="622">
        <f>Savings!J20</f>
        <v>250518.88362469431</v>
      </c>
      <c r="D137" s="612"/>
      <c r="E137" s="620" t="str">
        <f>IF(A137&lt;&gt;Cust_LeaseTermYears,"",IF(OR(Scenario_Variable="Final Payment",Scenario_Variable="Pago Final"),MAX(0,HLOOKUP(A137*12,Model!$D$50:$GA$80,31,FALSE)),Cust_TotalPymtAtTermEnd))</f>
        <v/>
      </c>
      <c r="F137" s="621" t="str">
        <f>IF(OR(D137&lt;5,D137&gt;Cust_LeaseTermYears),"N/A",IF(OR(Scenario_Variable="Final Payment",D137&lt;Cust_LeaseTermYears),MAX(0,HLOOKUP(D137*12,Model!$D$50:$GA$80,20,FALSE)),Cust_FinalPymtAtTermEnd))</f>
        <v>N/A</v>
      </c>
      <c r="G137" s="450">
        <f>Savings!AE20</f>
        <v>244724.73806247988</v>
      </c>
    </row>
    <row r="138" spans="1:7" ht="16.5" thickBot="1" x14ac:dyDescent="0.25">
      <c r="A138" s="662" t="s">
        <v>33</v>
      </c>
      <c r="B138" s="653"/>
      <c r="C138" s="652">
        <f>SUM(C122:D137)</f>
        <v>2315855.9289333718</v>
      </c>
      <c r="D138" s="653"/>
      <c r="E138" s="615">
        <f>SUM(E122:F137)</f>
        <v>25769.708064713457</v>
      </c>
      <c r="F138" s="616"/>
      <c r="G138" s="451">
        <f>SUM(G123:G137)</f>
        <v>1473778.1619197736</v>
      </c>
    </row>
    <row r="140" spans="1:7" x14ac:dyDescent="0.2">
      <c r="A140" s="673"/>
      <c r="B140" s="674"/>
      <c r="C140" s="674"/>
      <c r="D140" s="674"/>
      <c r="E140" s="674"/>
      <c r="F140" s="674"/>
      <c r="G140" s="674"/>
    </row>
    <row r="141" spans="1:7" ht="13.5" thickBot="1" x14ac:dyDescent="0.25">
      <c r="A141" s="675"/>
      <c r="B141" s="675"/>
      <c r="C141" s="675"/>
      <c r="D141" s="675"/>
      <c r="E141" s="675"/>
      <c r="F141" s="675"/>
      <c r="G141" s="675"/>
    </row>
    <row r="142" spans="1:7" x14ac:dyDescent="0.2">
      <c r="A142" s="676" t="s">
        <v>351</v>
      </c>
      <c r="B142" s="677"/>
      <c r="C142" s="677"/>
      <c r="D142" s="677"/>
      <c r="E142" s="677"/>
      <c r="F142" s="677"/>
      <c r="G142" s="677"/>
    </row>
    <row r="143" spans="1:7" x14ac:dyDescent="0.2">
      <c r="A143" s="601"/>
      <c r="B143" s="601"/>
      <c r="C143" s="601"/>
      <c r="D143" s="601"/>
      <c r="E143" s="601"/>
      <c r="F143" s="601"/>
      <c r="G143" s="601"/>
    </row>
    <row r="159" spans="1:7" ht="28.5" customHeight="1" x14ac:dyDescent="0.35">
      <c r="A159" s="672" t="s">
        <v>324</v>
      </c>
      <c r="B159" s="672"/>
      <c r="C159" s="672"/>
      <c r="D159" s="672"/>
      <c r="E159" s="672"/>
      <c r="F159" s="672"/>
      <c r="G159" s="672"/>
    </row>
    <row r="160" spans="1:7" ht="15.75" x14ac:dyDescent="0.25">
      <c r="A160" s="649" t="s">
        <v>325</v>
      </c>
      <c r="B160" s="650"/>
      <c r="C160" s="650"/>
      <c r="D160" s="650"/>
      <c r="E160" s="650"/>
      <c r="F160" s="650"/>
      <c r="G160" s="650"/>
    </row>
    <row r="162" spans="1:7" ht="12.75" customHeight="1" x14ac:dyDescent="0.2">
      <c r="A162" s="651" t="s">
        <v>326</v>
      </c>
      <c r="B162" s="651"/>
      <c r="C162" s="651"/>
      <c r="D162" s="651"/>
      <c r="E162" s="651"/>
      <c r="F162" s="651"/>
      <c r="G162" s="651"/>
    </row>
    <row r="163" spans="1:7" x14ac:dyDescent="0.2">
      <c r="A163" s="651"/>
      <c r="B163" s="651"/>
      <c r="C163" s="651"/>
      <c r="D163" s="651"/>
      <c r="E163" s="651"/>
      <c r="F163" s="651"/>
      <c r="G163" s="651"/>
    </row>
    <row r="164" spans="1:7" x14ac:dyDescent="0.2">
      <c r="A164" s="651"/>
      <c r="B164" s="651"/>
      <c r="C164" s="651"/>
      <c r="D164" s="651"/>
      <c r="E164" s="651"/>
      <c r="F164" s="651"/>
      <c r="G164" s="651"/>
    </row>
    <row r="165" spans="1:7" ht="12.75" customHeight="1" x14ac:dyDescent="0.2">
      <c r="A165" s="678" t="s">
        <v>327</v>
      </c>
      <c r="B165" s="651"/>
      <c r="C165" s="651"/>
      <c r="D165" s="651"/>
      <c r="E165" s="651"/>
      <c r="F165" s="651"/>
      <c r="G165" s="651"/>
    </row>
    <row r="166" spans="1:7" x14ac:dyDescent="0.2">
      <c r="A166" s="651"/>
      <c r="B166" s="651"/>
      <c r="C166" s="651"/>
      <c r="D166" s="651"/>
      <c r="E166" s="651"/>
      <c r="F166" s="651"/>
      <c r="G166" s="651"/>
    </row>
    <row r="167" spans="1:7" x14ac:dyDescent="0.2">
      <c r="A167" s="651"/>
      <c r="B167" s="651"/>
      <c r="C167" s="651"/>
      <c r="D167" s="651"/>
      <c r="E167" s="651"/>
      <c r="F167" s="651"/>
      <c r="G167" s="651"/>
    </row>
    <row r="168" spans="1:7" x14ac:dyDescent="0.2">
      <c r="A168" s="651"/>
      <c r="B168" s="651"/>
      <c r="C168" s="651"/>
      <c r="D168" s="651"/>
      <c r="E168" s="651"/>
      <c r="F168" s="651"/>
      <c r="G168" s="651"/>
    </row>
    <row r="169" spans="1:7" x14ac:dyDescent="0.2">
      <c r="A169" s="651"/>
      <c r="B169" s="651"/>
      <c r="C169" s="651"/>
      <c r="D169" s="651"/>
      <c r="E169" s="651"/>
      <c r="F169" s="651"/>
      <c r="G169" s="651"/>
    </row>
    <row r="170" spans="1:7" x14ac:dyDescent="0.2">
      <c r="A170" s="651"/>
      <c r="B170" s="651"/>
      <c r="C170" s="651"/>
      <c r="D170" s="651"/>
      <c r="E170" s="651"/>
      <c r="F170" s="651"/>
      <c r="G170" s="651"/>
    </row>
    <row r="171" spans="1:7" ht="12.75" customHeight="1" x14ac:dyDescent="0.2">
      <c r="A171" s="651" t="s">
        <v>328</v>
      </c>
      <c r="B171" s="651"/>
      <c r="C171" s="651"/>
      <c r="D171" s="651"/>
      <c r="E171" s="651"/>
      <c r="F171" s="651"/>
      <c r="G171" s="651"/>
    </row>
    <row r="172" spans="1:7" x14ac:dyDescent="0.2">
      <c r="A172" s="651"/>
      <c r="B172" s="651"/>
      <c r="C172" s="651"/>
      <c r="D172" s="651"/>
      <c r="E172" s="651"/>
      <c r="F172" s="651"/>
      <c r="G172" s="651"/>
    </row>
    <row r="173" spans="1:7" x14ac:dyDescent="0.2">
      <c r="A173" s="386"/>
      <c r="B173" s="386"/>
      <c r="C173" s="386"/>
      <c r="D173" s="386"/>
      <c r="E173" s="386"/>
      <c r="F173" s="386"/>
      <c r="G173" s="386"/>
    </row>
    <row r="174" spans="1:7" x14ac:dyDescent="0.2">
      <c r="A174" s="345"/>
      <c r="B174" s="345"/>
      <c r="C174" s="345"/>
      <c r="D174" s="345"/>
      <c r="E174" s="345"/>
      <c r="F174" s="345"/>
      <c r="G174" s="345"/>
    </row>
    <row r="175" spans="1:7" x14ac:dyDescent="0.2">
      <c r="A175" s="679" t="s">
        <v>329</v>
      </c>
      <c r="B175" s="650"/>
      <c r="C175" s="650"/>
      <c r="D175" s="650"/>
      <c r="E175" s="650"/>
      <c r="F175" s="650"/>
      <c r="G175" s="650"/>
    </row>
    <row r="176" spans="1:7" ht="13.5" thickBot="1" x14ac:dyDescent="0.25"/>
    <row r="177" spans="1:7" ht="36" thickBot="1" x14ac:dyDescent="0.25">
      <c r="A177"/>
      <c r="B177"/>
      <c r="C177" s="352"/>
      <c r="D177" s="681" t="s">
        <v>330</v>
      </c>
      <c r="E177" s="682"/>
      <c r="F177" s="346"/>
    </row>
    <row r="178" spans="1:7" ht="36" thickBot="1" x14ac:dyDescent="0.25">
      <c r="A178" s="347"/>
      <c r="C178" s="352"/>
      <c r="D178" s="681" t="s">
        <v>331</v>
      </c>
      <c r="E178" s="682"/>
      <c r="F178" s="346"/>
    </row>
    <row r="179" spans="1:7" ht="36" thickBot="1" x14ac:dyDescent="0.25">
      <c r="C179" s="352"/>
      <c r="D179" s="681" t="s">
        <v>330</v>
      </c>
      <c r="E179" s="682"/>
      <c r="F179" s="346"/>
    </row>
    <row r="181" spans="1:7" x14ac:dyDescent="0.2">
      <c r="A181" s="2" t="s">
        <v>332</v>
      </c>
      <c r="B181" s="2"/>
    </row>
    <row r="182" spans="1:7" ht="25.5" customHeight="1" thickBot="1" x14ac:dyDescent="0.25">
      <c r="A182" s="680"/>
      <c r="B182" s="664"/>
      <c r="C182" s="664"/>
      <c r="D182" s="664"/>
      <c r="E182" s="664"/>
      <c r="F182" s="664"/>
      <c r="G182" s="664"/>
    </row>
    <row r="184" spans="1:7" x14ac:dyDescent="0.2">
      <c r="A184" s="2" t="s">
        <v>333</v>
      </c>
      <c r="B184" s="2"/>
    </row>
    <row r="185" spans="1:7" ht="25.5" customHeight="1" thickBot="1" x14ac:dyDescent="0.25">
      <c r="A185" s="626"/>
      <c r="B185" s="664"/>
      <c r="C185" s="664"/>
      <c r="D185" s="664"/>
      <c r="E185" s="664"/>
      <c r="F185" s="664"/>
      <c r="G185" s="664"/>
    </row>
    <row r="187" spans="1:7" ht="25.5" customHeight="1" thickBot="1" x14ac:dyDescent="0.25">
      <c r="A187" s="2" t="s">
        <v>334</v>
      </c>
      <c r="B187" s="390"/>
      <c r="C187" s="391"/>
      <c r="D187" s="688"/>
      <c r="E187" s="664"/>
      <c r="F187" s="664"/>
      <c r="G187" s="664"/>
    </row>
    <row r="189" spans="1:7" ht="25.5" customHeight="1" thickBot="1" x14ac:dyDescent="0.25">
      <c r="A189" s="390" t="s">
        <v>335</v>
      </c>
      <c r="B189" s="663"/>
      <c r="C189" s="664"/>
      <c r="D189" s="664"/>
      <c r="E189" s="664"/>
      <c r="F189" s="664"/>
      <c r="G189" s="664"/>
    </row>
    <row r="191" spans="1:7" ht="25.5" customHeight="1" thickBot="1" x14ac:dyDescent="0.25">
      <c r="A191" s="390" t="s">
        <v>336</v>
      </c>
      <c r="B191" s="664"/>
      <c r="C191" s="664"/>
      <c r="D191" s="664"/>
      <c r="E191" s="664"/>
      <c r="F191" s="664"/>
      <c r="G191" s="664"/>
    </row>
    <row r="193" spans="1:7" ht="25.5" customHeight="1" thickBot="1" x14ac:dyDescent="0.25">
      <c r="A193" s="2" t="s">
        <v>337</v>
      </c>
      <c r="B193" s="397"/>
      <c r="C193" s="387"/>
      <c r="D193" s="387"/>
      <c r="E193" s="387"/>
      <c r="F193" s="2" t="s">
        <v>338</v>
      </c>
      <c r="G193" s="348"/>
    </row>
    <row r="195" spans="1:7" ht="25.5" customHeight="1" thickBot="1" x14ac:dyDescent="0.25">
      <c r="A195" s="2" t="s">
        <v>339</v>
      </c>
      <c r="B195" s="397"/>
      <c r="C195" s="387"/>
      <c r="D195" s="387"/>
      <c r="E195" s="387"/>
      <c r="F195" s="2" t="s">
        <v>340</v>
      </c>
      <c r="G195" s="348"/>
    </row>
    <row r="197" spans="1:7" ht="25.5" customHeight="1" thickBot="1" x14ac:dyDescent="0.25">
      <c r="A197" s="390" t="s">
        <v>341</v>
      </c>
      <c r="B197" s="390"/>
      <c r="C197" s="391"/>
      <c r="D197" s="392"/>
      <c r="E197" s="684"/>
      <c r="F197" s="684"/>
      <c r="G197" s="684"/>
    </row>
    <row r="199" spans="1:7" ht="12.75" customHeight="1" x14ac:dyDescent="0.2">
      <c r="A199" s="683" t="s">
        <v>342</v>
      </c>
      <c r="B199" s="666"/>
      <c r="C199" s="666"/>
      <c r="D199" s="666"/>
      <c r="E199" s="666"/>
      <c r="F199" s="666"/>
      <c r="G199" s="666"/>
    </row>
    <row r="200" spans="1:7" x14ac:dyDescent="0.2">
      <c r="A200" s="666"/>
      <c r="B200" s="666"/>
      <c r="C200" s="666"/>
      <c r="D200" s="666"/>
      <c r="E200" s="666"/>
      <c r="F200" s="666"/>
      <c r="G200" s="666"/>
    </row>
    <row r="201" spans="1:7" x14ac:dyDescent="0.2">
      <c r="A201" s="666"/>
      <c r="B201" s="666"/>
      <c r="C201" s="666"/>
      <c r="D201" s="666"/>
      <c r="E201" s="666"/>
      <c r="F201" s="666"/>
      <c r="G201" s="666"/>
    </row>
    <row r="202" spans="1:7" x14ac:dyDescent="0.2">
      <c r="A202" s="666"/>
      <c r="B202" s="666"/>
      <c r="C202" s="666"/>
      <c r="D202" s="666"/>
      <c r="E202" s="666"/>
      <c r="F202" s="666"/>
      <c r="G202" s="666"/>
    </row>
    <row r="205" spans="1:7" ht="25.5" customHeight="1" thickBot="1" x14ac:dyDescent="0.25">
      <c r="A205" s="684"/>
      <c r="B205" s="685"/>
      <c r="C205" s="685"/>
      <c r="D205" s="685"/>
      <c r="E205" s="685"/>
      <c r="F205" s="685"/>
      <c r="G205" s="685"/>
    </row>
    <row r="206" spans="1:7" x14ac:dyDescent="0.2">
      <c r="A206" s="686" t="s">
        <v>343</v>
      </c>
      <c r="B206" s="650"/>
      <c r="C206" s="650"/>
      <c r="D206" s="650"/>
      <c r="E206" s="650"/>
      <c r="F206" s="650"/>
      <c r="G206" s="650"/>
    </row>
    <row r="207" spans="1:7" x14ac:dyDescent="0.2">
      <c r="A207" s="389"/>
      <c r="B207" s="389"/>
      <c r="C207" s="389"/>
      <c r="D207" s="389"/>
      <c r="E207" s="389"/>
      <c r="F207" s="389"/>
      <c r="G207" s="389"/>
    </row>
    <row r="208" spans="1:7" x14ac:dyDescent="0.2">
      <c r="A208" s="687" t="s">
        <v>344</v>
      </c>
      <c r="B208" s="601"/>
      <c r="C208" s="601"/>
      <c r="D208" s="601"/>
      <c r="E208" s="601"/>
      <c r="F208" s="601"/>
      <c r="G208" s="601"/>
    </row>
    <row r="210" spans="1:7" ht="12.75" customHeight="1" x14ac:dyDescent="0.2">
      <c r="A210" s="665" t="s">
        <v>345</v>
      </c>
      <c r="B210" s="666"/>
      <c r="C210" s="666"/>
      <c r="D210" s="666"/>
      <c r="E210" s="666"/>
      <c r="F210" s="666"/>
      <c r="G210" s="666"/>
    </row>
    <row r="211" spans="1:7" x14ac:dyDescent="0.2">
      <c r="A211" s="666"/>
      <c r="B211" s="666"/>
      <c r="C211" s="666"/>
      <c r="D211" s="666"/>
      <c r="E211" s="666"/>
      <c r="F211" s="666"/>
      <c r="G211" s="666"/>
    </row>
    <row r="213" spans="1:7" ht="12.75" customHeight="1" x14ac:dyDescent="0.2">
      <c r="A213" s="388"/>
      <c r="B213" s="389"/>
      <c r="C213" s="389"/>
      <c r="D213" s="389"/>
      <c r="E213" s="389"/>
      <c r="F213" s="389"/>
      <c r="G213" s="389"/>
    </row>
    <row r="214" spans="1:7" x14ac:dyDescent="0.2">
      <c r="A214" s="389"/>
      <c r="B214" s="389"/>
      <c r="C214" s="389"/>
      <c r="D214" s="389"/>
      <c r="E214" s="389"/>
      <c r="F214" s="389"/>
      <c r="G214" s="389"/>
    </row>
    <row r="215" spans="1:7" x14ac:dyDescent="0.2">
      <c r="A215" s="389"/>
      <c r="B215" s="389"/>
      <c r="C215" s="389"/>
      <c r="D215" s="389"/>
      <c r="E215" s="389"/>
      <c r="F215" s="389"/>
      <c r="G215" s="389"/>
    </row>
    <row r="216" spans="1:7" x14ac:dyDescent="0.2">
      <c r="A216" s="667" t="s">
        <v>346</v>
      </c>
      <c r="B216" s="668"/>
      <c r="C216" s="668"/>
      <c r="D216" s="668"/>
      <c r="E216" s="668"/>
      <c r="F216" s="668"/>
      <c r="G216" s="668"/>
    </row>
    <row r="217" spans="1:7" x14ac:dyDescent="0.2">
      <c r="A217" s="668"/>
      <c r="B217" s="668"/>
      <c r="C217" s="668"/>
      <c r="D217" s="668"/>
      <c r="E217" s="668"/>
      <c r="F217" s="668"/>
      <c r="G217" s="668"/>
    </row>
    <row r="218" spans="1:7" x14ac:dyDescent="0.2">
      <c r="A218" s="668"/>
      <c r="B218" s="668"/>
      <c r="C218" s="668"/>
      <c r="D218" s="668"/>
      <c r="E218" s="668"/>
      <c r="F218" s="668"/>
      <c r="G218" s="668"/>
    </row>
    <row r="219" spans="1:7" x14ac:dyDescent="0.2">
      <c r="A219" s="668"/>
      <c r="B219" s="668"/>
      <c r="C219" s="668"/>
      <c r="D219" s="668"/>
      <c r="E219" s="668"/>
      <c r="F219" s="668"/>
      <c r="G219" s="668"/>
    </row>
    <row r="220" spans="1:7" x14ac:dyDescent="0.2">
      <c r="A220" s="668"/>
      <c r="B220" s="668"/>
      <c r="C220" s="668"/>
      <c r="D220" s="668"/>
      <c r="E220" s="668"/>
      <c r="F220" s="668"/>
      <c r="G220" s="668"/>
    </row>
    <row r="221" spans="1:7" x14ac:dyDescent="0.2">
      <c r="A221" s="350"/>
      <c r="B221" s="389"/>
      <c r="C221" s="389"/>
      <c r="D221" s="389"/>
      <c r="E221" s="389"/>
      <c r="F221" s="389"/>
      <c r="G221" s="389"/>
    </row>
    <row r="222" spans="1:7" ht="12.75" customHeight="1" x14ac:dyDescent="0.2">
      <c r="A222" s="669" t="s">
        <v>347</v>
      </c>
      <c r="B222" s="601"/>
      <c r="C222" s="601"/>
      <c r="D222" s="601"/>
      <c r="E222" s="601"/>
      <c r="F222" s="601"/>
      <c r="G222" s="601"/>
    </row>
    <row r="223" spans="1:7" x14ac:dyDescent="0.2">
      <c r="A223" s="601"/>
      <c r="B223" s="601"/>
      <c r="C223" s="601"/>
      <c r="D223" s="601"/>
      <c r="E223" s="601"/>
      <c r="F223" s="601"/>
      <c r="G223" s="601"/>
    </row>
    <row r="224" spans="1:7" x14ac:dyDescent="0.2">
      <c r="A224" s="601"/>
      <c r="B224" s="601"/>
      <c r="C224" s="601"/>
      <c r="D224" s="601"/>
      <c r="E224" s="601"/>
      <c r="F224" s="601"/>
      <c r="G224" s="601"/>
    </row>
    <row r="225" spans="1:7" ht="25.5" customHeight="1" thickBot="1" x14ac:dyDescent="0.25">
      <c r="A225" s="670" t="s">
        <v>348</v>
      </c>
      <c r="B225" s="601"/>
      <c r="C225" s="601"/>
      <c r="D225" s="601"/>
      <c r="E225" s="671"/>
      <c r="F225" s="671"/>
      <c r="G225" s="671"/>
    </row>
    <row r="226" spans="1:7" ht="25.5" customHeight="1" thickBot="1" x14ac:dyDescent="0.25">
      <c r="A226" s="670" t="s">
        <v>349</v>
      </c>
      <c r="B226" s="601"/>
      <c r="C226" s="601"/>
      <c r="D226" s="601"/>
      <c r="E226" s="671"/>
      <c r="F226" s="671"/>
      <c r="G226" s="671"/>
    </row>
    <row r="227" spans="1:7" ht="25.5" customHeight="1" thickBot="1" x14ac:dyDescent="0.25">
      <c r="A227" s="670" t="s">
        <v>350</v>
      </c>
      <c r="B227" s="601"/>
      <c r="C227" s="601"/>
      <c r="D227" s="601"/>
      <c r="E227" s="671"/>
      <c r="F227" s="671"/>
      <c r="G227" s="671"/>
    </row>
    <row r="235" spans="1:7" ht="13.5" thickBot="1" x14ac:dyDescent="0.25"/>
    <row r="236" spans="1:7" ht="24" thickBot="1" x14ac:dyDescent="0.4">
      <c r="A236" s="640" t="s">
        <v>556</v>
      </c>
      <c r="B236" s="641"/>
      <c r="C236" s="641"/>
      <c r="D236" s="641"/>
      <c r="E236" s="641"/>
      <c r="F236" s="641"/>
      <c r="G236" s="642"/>
    </row>
    <row r="237" spans="1:7" ht="25.5" customHeight="1" thickBot="1" x14ac:dyDescent="0.25">
      <c r="A237" s="643" t="s">
        <v>588</v>
      </c>
      <c r="B237" s="632"/>
      <c r="C237" s="633"/>
      <c r="D237" s="634"/>
      <c r="E237" s="634"/>
      <c r="F237" s="634"/>
      <c r="G237" s="635"/>
    </row>
    <row r="238" spans="1:7" ht="25.5" customHeight="1" thickBot="1" x14ac:dyDescent="0.25">
      <c r="A238" s="639" t="s">
        <v>589</v>
      </c>
      <c r="B238" s="624"/>
      <c r="C238" s="625"/>
      <c r="D238" s="626"/>
      <c r="E238" s="626"/>
      <c r="F238" s="626"/>
      <c r="G238" s="627"/>
    </row>
    <row r="239" spans="1:7" ht="12.75" customHeight="1" thickBot="1" x14ac:dyDescent="0.25">
      <c r="A239" s="408"/>
      <c r="B239" s="409"/>
      <c r="C239" s="409"/>
      <c r="D239" s="401"/>
      <c r="E239" s="401"/>
      <c r="F239" s="401"/>
      <c r="G239" s="404"/>
    </row>
    <row r="240" spans="1:7" ht="12.75" customHeight="1" thickBot="1" x14ac:dyDescent="0.25">
      <c r="A240" s="390"/>
      <c r="B240" s="390"/>
      <c r="C240" s="390"/>
      <c r="D240" s="396"/>
      <c r="E240" s="396"/>
      <c r="F240" s="396"/>
      <c r="G240" s="396"/>
    </row>
    <row r="241" spans="1:7" ht="12.75" customHeight="1" thickBot="1" x14ac:dyDescent="0.25">
      <c r="A241" s="628" t="s">
        <v>558</v>
      </c>
      <c r="B241" s="629"/>
      <c r="C241" s="630"/>
      <c r="D241" s="400"/>
      <c r="E241" s="401"/>
      <c r="F241" s="401"/>
      <c r="G241" s="401"/>
    </row>
    <row r="242" spans="1:7" ht="25.5" customHeight="1" thickBot="1" x14ac:dyDescent="0.25">
      <c r="A242" s="631" t="s">
        <v>387</v>
      </c>
      <c r="B242" s="632"/>
      <c r="C242" s="633"/>
      <c r="D242" s="626"/>
      <c r="E242" s="626"/>
      <c r="F242" s="626"/>
      <c r="G242" s="627"/>
    </row>
    <row r="243" spans="1:7" ht="25.5" customHeight="1" thickBot="1" x14ac:dyDescent="0.25">
      <c r="A243" s="623" t="s">
        <v>554</v>
      </c>
      <c r="B243" s="624"/>
      <c r="C243" s="625"/>
      <c r="D243" s="626"/>
      <c r="E243" s="626"/>
      <c r="F243" s="626"/>
      <c r="G243" s="627"/>
    </row>
    <row r="244" spans="1:7" ht="12.75" customHeight="1" thickBot="1" x14ac:dyDescent="0.25">
      <c r="A244" s="402"/>
      <c r="B244" s="403"/>
      <c r="C244" s="403"/>
      <c r="D244" s="401"/>
      <c r="E244" s="401"/>
      <c r="F244" s="401"/>
      <c r="G244" s="404"/>
    </row>
    <row r="245" spans="1:7" ht="12.75" customHeight="1" thickBot="1" x14ac:dyDescent="0.25">
      <c r="A245" s="390"/>
      <c r="B245" s="390"/>
      <c r="C245" s="390"/>
      <c r="D245" s="396"/>
      <c r="E245" s="396"/>
      <c r="F245" s="396"/>
      <c r="G245" s="396"/>
    </row>
    <row r="246" spans="1:7" ht="12.75" customHeight="1" thickBot="1" x14ac:dyDescent="0.25">
      <c r="A246" s="628" t="s">
        <v>557</v>
      </c>
      <c r="B246" s="629"/>
      <c r="C246" s="630"/>
      <c r="D246" s="400"/>
      <c r="E246" s="401"/>
      <c r="F246" s="401"/>
      <c r="G246" s="401"/>
    </row>
    <row r="247" spans="1:7" ht="25.5" customHeight="1" thickBot="1" x14ac:dyDescent="0.25">
      <c r="A247" s="631" t="s">
        <v>539</v>
      </c>
      <c r="B247" s="632"/>
      <c r="C247" s="633"/>
      <c r="D247" s="626"/>
      <c r="E247" s="626"/>
      <c r="F247" s="626"/>
      <c r="G247" s="627"/>
    </row>
    <row r="248" spans="1:7" ht="25.5" customHeight="1" thickBot="1" x14ac:dyDescent="0.25">
      <c r="A248" s="623" t="s">
        <v>540</v>
      </c>
      <c r="B248" s="624"/>
      <c r="C248" s="625"/>
      <c r="D248" s="626"/>
      <c r="E248" s="626"/>
      <c r="F248" s="626"/>
      <c r="G248" s="627"/>
    </row>
    <row r="249" spans="1:7" ht="25.5" customHeight="1" thickBot="1" x14ac:dyDescent="0.25">
      <c r="A249" s="623" t="s">
        <v>541</v>
      </c>
      <c r="B249" s="624"/>
      <c r="C249" s="625"/>
      <c r="D249" s="626"/>
      <c r="E249" s="626"/>
      <c r="F249" s="626"/>
      <c r="G249" s="627"/>
    </row>
    <row r="250" spans="1:7" ht="25.5" customHeight="1" thickBot="1" x14ac:dyDescent="0.25">
      <c r="A250" s="623" t="s">
        <v>542</v>
      </c>
      <c r="B250" s="624"/>
      <c r="C250" s="625"/>
      <c r="D250" s="626"/>
      <c r="E250" s="626"/>
      <c r="F250" s="626"/>
      <c r="G250" s="627"/>
    </row>
    <row r="251" spans="1:7" ht="25.5" customHeight="1" thickBot="1" x14ac:dyDescent="0.25">
      <c r="A251" s="623" t="s">
        <v>543</v>
      </c>
      <c r="B251" s="624"/>
      <c r="C251" s="625"/>
      <c r="D251" s="626"/>
      <c r="E251" s="626"/>
      <c r="F251" s="626"/>
      <c r="G251" s="627"/>
    </row>
    <row r="252" spans="1:7" ht="25.5" customHeight="1" thickBot="1" x14ac:dyDescent="0.25">
      <c r="A252" s="623" t="s">
        <v>544</v>
      </c>
      <c r="B252" s="624"/>
      <c r="C252" s="625"/>
      <c r="D252" s="626"/>
      <c r="E252" s="626"/>
      <c r="F252" s="626"/>
      <c r="G252" s="627"/>
    </row>
    <row r="253" spans="1:7" ht="25.5" customHeight="1" thickBot="1" x14ac:dyDescent="0.25">
      <c r="A253" s="623" t="s">
        <v>545</v>
      </c>
      <c r="B253" s="624"/>
      <c r="C253" s="625"/>
      <c r="D253" s="626"/>
      <c r="E253" s="626"/>
      <c r="F253" s="626"/>
      <c r="G253" s="627"/>
    </row>
    <row r="254" spans="1:7" ht="25.5" customHeight="1" thickBot="1" x14ac:dyDescent="0.25">
      <c r="A254" s="623" t="s">
        <v>552</v>
      </c>
      <c r="B254" s="624"/>
      <c r="C254" s="625"/>
      <c r="D254" s="626"/>
      <c r="E254" s="626"/>
      <c r="F254" s="626"/>
      <c r="G254" s="627"/>
    </row>
    <row r="255" spans="1:7" ht="25.5" customHeight="1" thickBot="1" x14ac:dyDescent="0.25">
      <c r="A255" s="623" t="s">
        <v>546</v>
      </c>
      <c r="B255" s="624"/>
      <c r="C255" s="625"/>
      <c r="D255" s="626"/>
      <c r="E255" s="626"/>
      <c r="F255" s="626"/>
      <c r="G255" s="627"/>
    </row>
    <row r="256" spans="1:7" ht="25.5" customHeight="1" thickBot="1" x14ac:dyDescent="0.25">
      <c r="A256" s="623" t="s">
        <v>547</v>
      </c>
      <c r="B256" s="624"/>
      <c r="C256" s="625"/>
      <c r="D256" s="626"/>
      <c r="E256" s="626"/>
      <c r="F256" s="626"/>
      <c r="G256" s="627"/>
    </row>
    <row r="257" spans="1:7" ht="25.5" customHeight="1" thickBot="1" x14ac:dyDescent="0.25">
      <c r="A257" s="623" t="s">
        <v>548</v>
      </c>
      <c r="B257" s="624"/>
      <c r="C257" s="625"/>
      <c r="D257" s="626"/>
      <c r="E257" s="626"/>
      <c r="F257" s="626"/>
      <c r="G257" s="627"/>
    </row>
    <row r="258" spans="1:7" ht="25.5" customHeight="1" thickBot="1" x14ac:dyDescent="0.25">
      <c r="A258" s="623" t="s">
        <v>549</v>
      </c>
      <c r="B258" s="624"/>
      <c r="C258" s="625"/>
      <c r="D258" s="626"/>
      <c r="E258" s="626"/>
      <c r="F258" s="626"/>
      <c r="G258" s="627"/>
    </row>
    <row r="259" spans="1:7" ht="25.5" customHeight="1" thickBot="1" x14ac:dyDescent="0.25">
      <c r="A259" s="623" t="s">
        <v>550</v>
      </c>
      <c r="B259" s="624"/>
      <c r="C259" s="625"/>
      <c r="D259" s="626"/>
      <c r="E259" s="626"/>
      <c r="F259" s="626"/>
      <c r="G259" s="627"/>
    </row>
    <row r="260" spans="1:7" ht="25.5" customHeight="1" thickBot="1" x14ac:dyDescent="0.25">
      <c r="A260" s="636" t="s">
        <v>555</v>
      </c>
      <c r="B260" s="637"/>
      <c r="C260" s="638"/>
      <c r="D260" s="626"/>
      <c r="E260" s="626"/>
      <c r="F260" s="626"/>
      <c r="G260" s="627"/>
    </row>
    <row r="261" spans="1:7" ht="25.5" customHeight="1" thickBot="1" x14ac:dyDescent="0.25">
      <c r="A261" s="623" t="s">
        <v>551</v>
      </c>
      <c r="B261" s="624"/>
      <c r="C261" s="625"/>
      <c r="D261" s="626"/>
      <c r="E261" s="626"/>
      <c r="F261" s="626"/>
      <c r="G261" s="627"/>
    </row>
    <row r="262" spans="1:7" ht="12.75" customHeight="1" thickBot="1" x14ac:dyDescent="0.25">
      <c r="A262" s="402"/>
      <c r="B262" s="403"/>
      <c r="C262" s="403"/>
      <c r="D262" s="401"/>
      <c r="E262" s="401"/>
      <c r="F262" s="401"/>
      <c r="G262" s="404"/>
    </row>
    <row r="263" spans="1:7" ht="12.75" customHeight="1" thickBot="1" x14ac:dyDescent="0.25">
      <c r="A263" s="399"/>
      <c r="B263" s="399"/>
      <c r="C263" s="399"/>
      <c r="D263" s="396"/>
      <c r="E263" s="396"/>
      <c r="F263" s="396"/>
      <c r="G263" s="396"/>
    </row>
    <row r="264" spans="1:7" ht="12.75" customHeight="1" thickBot="1" x14ac:dyDescent="0.25">
      <c r="A264" s="628" t="s">
        <v>559</v>
      </c>
      <c r="B264" s="629"/>
      <c r="C264" s="630"/>
      <c r="D264" s="400"/>
      <c r="E264" s="401"/>
      <c r="F264" s="401"/>
      <c r="G264" s="401"/>
    </row>
    <row r="265" spans="1:7" ht="25.5" customHeight="1" thickBot="1" x14ac:dyDescent="0.25">
      <c r="A265" s="631" t="s">
        <v>417</v>
      </c>
      <c r="B265" s="632"/>
      <c r="C265" s="633"/>
      <c r="D265" s="626"/>
      <c r="E265" s="626"/>
      <c r="F265" s="626"/>
      <c r="G265" s="627"/>
    </row>
    <row r="266" spans="1:7" ht="25.5" customHeight="1" thickBot="1" x14ac:dyDescent="0.25">
      <c r="A266" s="639" t="s">
        <v>589</v>
      </c>
      <c r="B266" s="624"/>
      <c r="C266" s="625"/>
      <c r="D266" s="626"/>
      <c r="E266" s="626"/>
      <c r="F266" s="626"/>
      <c r="G266" s="627"/>
    </row>
    <row r="267" spans="1:7" ht="12.75" customHeight="1" thickBot="1" x14ac:dyDescent="0.25">
      <c r="A267" s="402"/>
      <c r="B267" s="403"/>
      <c r="C267" s="403"/>
      <c r="D267" s="401"/>
      <c r="E267" s="401"/>
      <c r="F267" s="401"/>
      <c r="G267" s="404"/>
    </row>
    <row r="268" spans="1:7" ht="12.75" customHeight="1" thickBot="1" x14ac:dyDescent="0.25">
      <c r="A268" s="390"/>
      <c r="B268" s="390"/>
      <c r="C268" s="390"/>
      <c r="D268" s="396"/>
      <c r="E268" s="396"/>
      <c r="F268" s="396"/>
      <c r="G268" s="396"/>
    </row>
    <row r="269" spans="1:7" ht="12.75" customHeight="1" thickBot="1" x14ac:dyDescent="0.25">
      <c r="A269" s="628" t="s">
        <v>560</v>
      </c>
      <c r="B269" s="629"/>
      <c r="C269" s="630"/>
      <c r="D269" s="400"/>
      <c r="E269" s="401"/>
      <c r="F269" s="401"/>
      <c r="G269" s="401"/>
    </row>
    <row r="270" spans="1:7" ht="25.5" customHeight="1" thickBot="1" x14ac:dyDescent="0.25">
      <c r="A270" s="631" t="s">
        <v>387</v>
      </c>
      <c r="B270" s="632"/>
      <c r="C270" s="633"/>
      <c r="D270" s="634"/>
      <c r="E270" s="634"/>
      <c r="F270" s="634"/>
      <c r="G270" s="635"/>
    </row>
    <row r="271" spans="1:7" ht="25.5" customHeight="1" thickBot="1" x14ac:dyDescent="0.25">
      <c r="A271" s="623" t="s">
        <v>554</v>
      </c>
      <c r="B271" s="624"/>
      <c r="C271" s="625"/>
      <c r="D271" s="626"/>
      <c r="E271" s="626"/>
      <c r="F271" s="626"/>
      <c r="G271" s="627"/>
    </row>
    <row r="272" spans="1:7" ht="12.75" customHeight="1" thickBot="1" x14ac:dyDescent="0.25">
      <c r="A272" s="402"/>
      <c r="B272" s="403"/>
      <c r="C272" s="403"/>
      <c r="D272" s="401"/>
      <c r="E272" s="401"/>
      <c r="F272" s="401"/>
      <c r="G272" s="404"/>
    </row>
    <row r="273" spans="1:7" ht="12.75" customHeight="1" thickBot="1" x14ac:dyDescent="0.25">
      <c r="A273" s="390"/>
      <c r="B273" s="390"/>
      <c r="C273" s="390"/>
      <c r="D273" s="396"/>
      <c r="E273" s="396"/>
      <c r="F273" s="396"/>
      <c r="G273" s="396"/>
    </row>
    <row r="274" spans="1:7" ht="12.75" customHeight="1" thickBot="1" x14ac:dyDescent="0.25">
      <c r="A274" s="628" t="s">
        <v>561</v>
      </c>
      <c r="B274" s="629"/>
      <c r="C274" s="630"/>
      <c r="D274" s="400"/>
      <c r="E274" s="401"/>
      <c r="F274" s="401"/>
      <c r="G274" s="401"/>
    </row>
    <row r="275" spans="1:7" ht="25.5" customHeight="1" thickBot="1" x14ac:dyDescent="0.25">
      <c r="A275" s="631" t="s">
        <v>539</v>
      </c>
      <c r="B275" s="632"/>
      <c r="C275" s="633"/>
      <c r="D275" s="626"/>
      <c r="E275" s="626"/>
      <c r="F275" s="626"/>
      <c r="G275" s="627"/>
    </row>
    <row r="276" spans="1:7" ht="25.5" customHeight="1" thickBot="1" x14ac:dyDescent="0.25">
      <c r="A276" s="623" t="s">
        <v>540</v>
      </c>
      <c r="B276" s="624"/>
      <c r="C276" s="625"/>
      <c r="D276" s="626"/>
      <c r="E276" s="626"/>
      <c r="F276" s="626"/>
      <c r="G276" s="627"/>
    </row>
    <row r="277" spans="1:7" ht="25.5" customHeight="1" thickBot="1" x14ac:dyDescent="0.25">
      <c r="A277" s="623" t="s">
        <v>541</v>
      </c>
      <c r="B277" s="624"/>
      <c r="C277" s="625"/>
      <c r="D277" s="626"/>
      <c r="E277" s="626"/>
      <c r="F277" s="626"/>
      <c r="G277" s="627"/>
    </row>
    <row r="278" spans="1:7" ht="25.5" customHeight="1" thickBot="1" x14ac:dyDescent="0.25">
      <c r="A278" s="623" t="s">
        <v>542</v>
      </c>
      <c r="B278" s="624"/>
      <c r="C278" s="625"/>
      <c r="D278" s="626"/>
      <c r="E278" s="626"/>
      <c r="F278" s="626"/>
      <c r="G278" s="627"/>
    </row>
    <row r="279" spans="1:7" ht="25.5" customHeight="1" thickBot="1" x14ac:dyDescent="0.25">
      <c r="A279" s="623" t="s">
        <v>543</v>
      </c>
      <c r="B279" s="624"/>
      <c r="C279" s="625"/>
      <c r="D279" s="626"/>
      <c r="E279" s="626"/>
      <c r="F279" s="626"/>
      <c r="G279" s="627"/>
    </row>
    <row r="280" spans="1:7" ht="25.5" customHeight="1" thickBot="1" x14ac:dyDescent="0.25">
      <c r="A280" s="623" t="s">
        <v>544</v>
      </c>
      <c r="B280" s="624"/>
      <c r="C280" s="625"/>
      <c r="D280" s="626"/>
      <c r="E280" s="626"/>
      <c r="F280" s="626"/>
      <c r="G280" s="627"/>
    </row>
    <row r="281" spans="1:7" ht="25.5" customHeight="1" thickBot="1" x14ac:dyDescent="0.25">
      <c r="A281" s="623" t="s">
        <v>545</v>
      </c>
      <c r="B281" s="624"/>
      <c r="C281" s="625"/>
      <c r="D281" s="626"/>
      <c r="E281" s="626"/>
      <c r="F281" s="626"/>
      <c r="G281" s="627"/>
    </row>
    <row r="282" spans="1:7" ht="25.5" customHeight="1" thickBot="1" x14ac:dyDescent="0.25">
      <c r="A282" s="623" t="s">
        <v>552</v>
      </c>
      <c r="B282" s="624"/>
      <c r="C282" s="625"/>
      <c r="D282" s="626"/>
      <c r="E282" s="626"/>
      <c r="F282" s="626"/>
      <c r="G282" s="627"/>
    </row>
    <row r="283" spans="1:7" ht="25.5" customHeight="1" thickBot="1" x14ac:dyDescent="0.25">
      <c r="A283" s="623" t="s">
        <v>546</v>
      </c>
      <c r="B283" s="624"/>
      <c r="C283" s="625"/>
      <c r="D283" s="626"/>
      <c r="E283" s="626"/>
      <c r="F283" s="626"/>
      <c r="G283" s="627"/>
    </row>
    <row r="284" spans="1:7" ht="25.5" customHeight="1" thickBot="1" x14ac:dyDescent="0.25">
      <c r="A284" s="623" t="s">
        <v>547</v>
      </c>
      <c r="B284" s="624"/>
      <c r="C284" s="625"/>
      <c r="D284" s="626"/>
      <c r="E284" s="626"/>
      <c r="F284" s="626"/>
      <c r="G284" s="627"/>
    </row>
    <row r="285" spans="1:7" ht="25.5" customHeight="1" thickBot="1" x14ac:dyDescent="0.25">
      <c r="A285" s="623" t="s">
        <v>548</v>
      </c>
      <c r="B285" s="624"/>
      <c r="C285" s="625"/>
      <c r="D285" s="626"/>
      <c r="E285" s="626"/>
      <c r="F285" s="626"/>
      <c r="G285" s="627"/>
    </row>
    <row r="286" spans="1:7" ht="25.5" customHeight="1" thickBot="1" x14ac:dyDescent="0.25">
      <c r="A286" s="623" t="s">
        <v>549</v>
      </c>
      <c r="B286" s="624"/>
      <c r="C286" s="625"/>
      <c r="D286" s="626"/>
      <c r="E286" s="626"/>
      <c r="F286" s="626"/>
      <c r="G286" s="627"/>
    </row>
    <row r="287" spans="1:7" ht="25.5" customHeight="1" thickBot="1" x14ac:dyDescent="0.25">
      <c r="A287" s="623" t="s">
        <v>550</v>
      </c>
      <c r="B287" s="624"/>
      <c r="C287" s="625"/>
      <c r="D287" s="626"/>
      <c r="E287" s="626"/>
      <c r="F287" s="626"/>
      <c r="G287" s="627"/>
    </row>
    <row r="288" spans="1:7" ht="13.5" thickBot="1" x14ac:dyDescent="0.25">
      <c r="A288" s="405"/>
      <c r="B288" s="406"/>
      <c r="C288" s="406"/>
      <c r="D288" s="406"/>
      <c r="E288" s="406"/>
      <c r="F288" s="406"/>
      <c r="G288" s="407"/>
    </row>
  </sheetData>
  <sheetProtection selectLockedCells="1" selectUnlockedCells="1"/>
  <mergeCells count="166">
    <mergeCell ref="A227:D227"/>
    <mergeCell ref="A140:G141"/>
    <mergeCell ref="A142:G143"/>
    <mergeCell ref="A165:G170"/>
    <mergeCell ref="A171:G172"/>
    <mergeCell ref="A175:G175"/>
    <mergeCell ref="A182:G182"/>
    <mergeCell ref="A185:G185"/>
    <mergeCell ref="D177:E177"/>
    <mergeCell ref="D178:E178"/>
    <mergeCell ref="D179:E179"/>
    <mergeCell ref="E227:G227"/>
    <mergeCell ref="A199:G202"/>
    <mergeCell ref="A205:G205"/>
    <mergeCell ref="A206:G206"/>
    <mergeCell ref="A208:G208"/>
    <mergeCell ref="A226:D226"/>
    <mergeCell ref="E226:G226"/>
    <mergeCell ref="B191:G191"/>
    <mergeCell ref="E197:G197"/>
    <mergeCell ref="D187:G187"/>
    <mergeCell ref="A241:C241"/>
    <mergeCell ref="A125:B125"/>
    <mergeCell ref="A126:B126"/>
    <mergeCell ref="A127:B127"/>
    <mergeCell ref="A128:B128"/>
    <mergeCell ref="A129:B129"/>
    <mergeCell ref="A130:B130"/>
    <mergeCell ref="A135:B135"/>
    <mergeCell ref="A136:B136"/>
    <mergeCell ref="A137:B137"/>
    <mergeCell ref="A138:B138"/>
    <mergeCell ref="C125:D125"/>
    <mergeCell ref="C126:D126"/>
    <mergeCell ref="B189:G189"/>
    <mergeCell ref="A210:G211"/>
    <mergeCell ref="A216:G220"/>
    <mergeCell ref="A131:B131"/>
    <mergeCell ref="A132:B132"/>
    <mergeCell ref="A133:B133"/>
    <mergeCell ref="A134:B134"/>
    <mergeCell ref="A222:G224"/>
    <mergeCell ref="A225:D225"/>
    <mergeCell ref="E225:G225"/>
    <mergeCell ref="A159:G159"/>
    <mergeCell ref="A236:G236"/>
    <mergeCell ref="A237:C237"/>
    <mergeCell ref="D237:G237"/>
    <mergeCell ref="A238:C238"/>
    <mergeCell ref="D238:G238"/>
    <mergeCell ref="D18:F18"/>
    <mergeCell ref="A119:G119"/>
    <mergeCell ref="E125:F125"/>
    <mergeCell ref="E126:F126"/>
    <mergeCell ref="E127:F127"/>
    <mergeCell ref="E128:F128"/>
    <mergeCell ref="E129:F129"/>
    <mergeCell ref="E130:F130"/>
    <mergeCell ref="C122:D122"/>
    <mergeCell ref="C123:D123"/>
    <mergeCell ref="C124:D124"/>
    <mergeCell ref="A160:G160"/>
    <mergeCell ref="A162:G164"/>
    <mergeCell ref="C136:D136"/>
    <mergeCell ref="C137:D137"/>
    <mergeCell ref="C138:D138"/>
    <mergeCell ref="A120:B121"/>
    <mergeCell ref="C120:D120"/>
    <mergeCell ref="E120:G120"/>
    <mergeCell ref="A246:C246"/>
    <mergeCell ref="A247:C247"/>
    <mergeCell ref="D247:G247"/>
    <mergeCell ref="A248:C248"/>
    <mergeCell ref="D248:G248"/>
    <mergeCell ref="A242:C242"/>
    <mergeCell ref="D242:G242"/>
    <mergeCell ref="A243:C243"/>
    <mergeCell ref="D243:G243"/>
    <mergeCell ref="A252:C252"/>
    <mergeCell ref="D252:G252"/>
    <mergeCell ref="A253:C253"/>
    <mergeCell ref="D253:G253"/>
    <mergeCell ref="A254:C254"/>
    <mergeCell ref="D254:G254"/>
    <mergeCell ref="A249:C249"/>
    <mergeCell ref="D249:G249"/>
    <mergeCell ref="A250:C250"/>
    <mergeCell ref="D250:G250"/>
    <mergeCell ref="A251:C251"/>
    <mergeCell ref="D251:G251"/>
    <mergeCell ref="D260:G260"/>
    <mergeCell ref="A266:C266"/>
    <mergeCell ref="D266:G266"/>
    <mergeCell ref="A269:C269"/>
    <mergeCell ref="A255:C255"/>
    <mergeCell ref="D255:G255"/>
    <mergeCell ref="A256:C256"/>
    <mergeCell ref="D256:G256"/>
    <mergeCell ref="A257:C257"/>
    <mergeCell ref="D257:G257"/>
    <mergeCell ref="A287:C287"/>
    <mergeCell ref="D287:G287"/>
    <mergeCell ref="A282:C282"/>
    <mergeCell ref="D282:G282"/>
    <mergeCell ref="A283:C283"/>
    <mergeCell ref="D283:G283"/>
    <mergeCell ref="A284:C284"/>
    <mergeCell ref="D284:G284"/>
    <mergeCell ref="A279:C279"/>
    <mergeCell ref="D279:G279"/>
    <mergeCell ref="A280:C280"/>
    <mergeCell ref="D280:G280"/>
    <mergeCell ref="A281:C281"/>
    <mergeCell ref="D281:G281"/>
    <mergeCell ref="A285:C285"/>
    <mergeCell ref="D285:G285"/>
    <mergeCell ref="A286:C286"/>
    <mergeCell ref="D286:G286"/>
    <mergeCell ref="C135:D135"/>
    <mergeCell ref="A276:C276"/>
    <mergeCell ref="D276:G276"/>
    <mergeCell ref="A277:C277"/>
    <mergeCell ref="D277:G277"/>
    <mergeCell ref="A278:C278"/>
    <mergeCell ref="D278:G278"/>
    <mergeCell ref="A271:C271"/>
    <mergeCell ref="D271:G271"/>
    <mergeCell ref="A274:C274"/>
    <mergeCell ref="A275:C275"/>
    <mergeCell ref="D275:G275"/>
    <mergeCell ref="A270:C270"/>
    <mergeCell ref="D270:G270"/>
    <mergeCell ref="A261:C261"/>
    <mergeCell ref="D261:G261"/>
    <mergeCell ref="A264:C264"/>
    <mergeCell ref="A265:C265"/>
    <mergeCell ref="D265:G265"/>
    <mergeCell ref="A258:C258"/>
    <mergeCell ref="D258:G258"/>
    <mergeCell ref="A259:C259"/>
    <mergeCell ref="D259:G259"/>
    <mergeCell ref="A260:C260"/>
    <mergeCell ref="A122:B122"/>
    <mergeCell ref="A123:B123"/>
    <mergeCell ref="A124:B124"/>
    <mergeCell ref="E138:F138"/>
    <mergeCell ref="C121:D121"/>
    <mergeCell ref="E121:F121"/>
    <mergeCell ref="E122:F122"/>
    <mergeCell ref="E123:F123"/>
    <mergeCell ref="E124:F124"/>
    <mergeCell ref="E135:F135"/>
    <mergeCell ref="E136:F136"/>
    <mergeCell ref="E137:F137"/>
    <mergeCell ref="E131:F131"/>
    <mergeCell ref="E132:F132"/>
    <mergeCell ref="E133:F133"/>
    <mergeCell ref="E134:F134"/>
    <mergeCell ref="C127:D127"/>
    <mergeCell ref="C128:D128"/>
    <mergeCell ref="C129:D129"/>
    <mergeCell ref="C130:D130"/>
    <mergeCell ref="C131:D131"/>
    <mergeCell ref="C132:D132"/>
    <mergeCell ref="C133:D133"/>
    <mergeCell ref="C134:D134"/>
  </mergeCells>
  <printOptions horizontalCentered="1"/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&amp;Cproposal valid for 15 days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3:G288"/>
  <sheetViews>
    <sheetView zoomScaleNormal="100" zoomScalePageLayoutView="15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897</v>
      </c>
    </row>
    <row r="4" spans="1:7" ht="20.25" x14ac:dyDescent="0.3">
      <c r="B4" s="5"/>
      <c r="G4" s="6" t="str">
        <f>IF(Cust_Company="",Cust_FirstName&amp;" "&amp;Cust_LastName&amp;" "&amp;Cust_LastName2,Cust_Company)</f>
        <v xml:space="preserve">  </v>
      </c>
    </row>
    <row r="5" spans="1:7" ht="15" x14ac:dyDescent="0.2">
      <c r="G5" s="7" t="str">
        <f>IF(Cust_Address="","",IF(Cust_Colonia="",Cust_Address,Cust_Address&amp;", Col. "&amp;Cust_Colonia))</f>
        <v/>
      </c>
    </row>
    <row r="6" spans="1:7" ht="15" x14ac:dyDescent="0.2">
      <c r="G6" s="7" t="str">
        <f>IF(Inputs!B12="","",Inputs!B12)</f>
        <v/>
      </c>
    </row>
    <row r="7" spans="1:7" ht="15" x14ac:dyDescent="0.2">
      <c r="G7" s="7" t="str">
        <f>Inputs!B13&amp;"  "&amp;Inputs!B14</f>
        <v xml:space="preserve">Gto.  </v>
      </c>
    </row>
    <row r="8" spans="1:7" ht="15" x14ac:dyDescent="0.2">
      <c r="G8" s="7" t="str">
        <f>"Tamaño  de Sistema PV  "&amp;TEXT(Inputs_MySOL!$G$17/1000,"0.00")&amp;"kW"</f>
        <v>Tamaño  de Sistema PV  8.58kW</v>
      </c>
    </row>
    <row r="9" spans="1:7" ht="15.75" customHeight="1" x14ac:dyDescent="0.2">
      <c r="G9" s="1" t="str">
        <f>IF(SysSpec_PV_Units=0,"",SysSpec_PV_Units&amp;" "&amp;Inputs!F$4)</f>
        <v>26 Trina Solar_TSM-PD14 330</v>
      </c>
    </row>
    <row r="10" spans="1:7" ht="15.75" customHeight="1" x14ac:dyDescent="0.3">
      <c r="A10"/>
      <c r="B10" s="8"/>
      <c r="C10" s="8"/>
      <c r="G10" s="1" t="str">
        <f>IF(SysSpec_Inverters_Units=0,"",SysSpec_Inverters_Units&amp;" "&amp;Inputs!F$5)</f>
        <v>1 SMA_SB7.0-1SP-US-40</v>
      </c>
    </row>
    <row r="11" spans="1:7" ht="15.75" customHeight="1" x14ac:dyDescent="0.2">
      <c r="A11"/>
      <c r="G11" s="1" t="str">
        <f>IF(SysSpec_Optimizers_Units=0,"",SysSpec_Optimizers_Units&amp;" "&amp;Inputs!F$6)</f>
        <v/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644" t="s">
        <v>494</v>
      </c>
      <c r="E18" s="644"/>
      <c r="F18" s="644"/>
      <c r="G18" s="131" t="s">
        <v>495</v>
      </c>
    </row>
    <row r="19" spans="1:7" ht="15.75" customHeight="1" x14ac:dyDescent="0.2"/>
    <row r="20" spans="1:7" ht="15.75" customHeight="1" x14ac:dyDescent="0.2">
      <c r="A20" s="10" t="s">
        <v>117</v>
      </c>
      <c r="B20" s="11"/>
      <c r="C20" s="11"/>
      <c r="D20" s="12">
        <f>Cust_InitialPymt</f>
        <v>12446.491187147098</v>
      </c>
      <c r="E20" s="12"/>
      <c r="F20" s="12"/>
      <c r="G20" s="13" t="str">
        <f>IF(D20=0,"Independizate a Solar con $0 pesos","Independizate a Solar con $"&amp;TEXT(D20,"#,##")&amp;" pesos")</f>
        <v>Independizate a Solar con $12,446 pesos</v>
      </c>
    </row>
    <row r="21" spans="1:7" ht="15.75" customHeight="1" x14ac:dyDescent="0.2"/>
    <row r="22" spans="1:7" ht="15.75" customHeight="1" x14ac:dyDescent="0.2">
      <c r="A22" s="10" t="s">
        <v>520</v>
      </c>
      <c r="B22" s="11"/>
      <c r="C22" s="11"/>
      <c r="D22" s="13">
        <f>Savings!AB6/12</f>
        <v>5628.8362506008561</v>
      </c>
      <c r="E22" s="13"/>
      <c r="F22" s="13"/>
      <c r="G22" s="13" t="s">
        <v>521</v>
      </c>
    </row>
    <row r="23" spans="1:7" ht="15.75" customHeight="1" x14ac:dyDescent="0.2"/>
    <row r="24" spans="1:7" ht="15.75" customHeight="1" x14ac:dyDescent="0.2">
      <c r="A24" s="10" t="s">
        <v>118</v>
      </c>
      <c r="B24" s="11"/>
      <c r="C24" s="11"/>
      <c r="D24" s="14">
        <f>Inputs_MySOL!$B$12</f>
        <v>3.5000000000000003E-2</v>
      </c>
      <c r="E24" s="14"/>
      <c r="F24" s="14"/>
      <c r="G24" s="13" t="str">
        <f>"Bajo comparado con incrementos tarifas CFE "&amp;TEXT(Inputs_MySOL!$B$6,"0.0%")&amp;""</f>
        <v>Bajo comparado con incrementos tarifas CFE 8.0%</v>
      </c>
    </row>
    <row r="25" spans="1:7" ht="15.75" customHeight="1" x14ac:dyDescent="0.2"/>
    <row r="26" spans="1:7" ht="15.75" customHeight="1" x14ac:dyDescent="0.2">
      <c r="A26" s="10" t="s">
        <v>119</v>
      </c>
      <c r="B26" s="11"/>
      <c r="C26" s="11"/>
      <c r="D26" s="15">
        <f>Cust_LeaseTermYears</f>
        <v>10</v>
      </c>
      <c r="E26" s="15"/>
      <c r="F26" s="13"/>
      <c r="G26" s="13" t="s">
        <v>120</v>
      </c>
    </row>
    <row r="27" spans="1:7" ht="15.75" customHeight="1" x14ac:dyDescent="0.2"/>
    <row r="28" spans="1:7" ht="15.75" customHeight="1" x14ac:dyDescent="0.2">
      <c r="A28" s="10" t="s">
        <v>591</v>
      </c>
      <c r="B28" s="11"/>
      <c r="C28" s="11"/>
      <c r="D28" s="13" t="s">
        <v>121</v>
      </c>
      <c r="E28" s="13"/>
      <c r="F28" s="13"/>
      <c r="G28" s="13" t="s">
        <v>592</v>
      </c>
    </row>
    <row r="29" spans="1:7" ht="15.75" customHeight="1" x14ac:dyDescent="0.2"/>
    <row r="30" spans="1:7" ht="15.75" customHeight="1" x14ac:dyDescent="0.2">
      <c r="A30" s="10" t="s">
        <v>122</v>
      </c>
      <c r="B30" s="11"/>
      <c r="C30" s="11"/>
      <c r="D30" s="13" t="s">
        <v>121</v>
      </c>
      <c r="E30" s="17"/>
      <c r="F30" s="17"/>
      <c r="G30" s="17" t="s">
        <v>248</v>
      </c>
    </row>
    <row r="31" spans="1:7" ht="15.75" customHeight="1" x14ac:dyDescent="0.2"/>
    <row r="32" spans="1:7" ht="15.75" customHeight="1" x14ac:dyDescent="0.2">
      <c r="A32" s="10" t="s">
        <v>123</v>
      </c>
      <c r="B32" s="11"/>
      <c r="C32" s="11"/>
      <c r="D32" s="13" t="s">
        <v>121</v>
      </c>
      <c r="E32" s="17"/>
      <c r="F32" s="17"/>
      <c r="G32" s="17" t="s">
        <v>249</v>
      </c>
    </row>
    <row r="33" spans="1:7" ht="15.75" customHeight="1" x14ac:dyDescent="0.2"/>
    <row r="34" spans="1:7" ht="15.75" customHeight="1" x14ac:dyDescent="0.2">
      <c r="A34" s="10" t="s">
        <v>496</v>
      </c>
      <c r="B34" s="11"/>
      <c r="C34" s="11"/>
      <c r="D34" s="13" t="s">
        <v>121</v>
      </c>
      <c r="E34" s="13"/>
      <c r="F34" s="17"/>
      <c r="G34" s="13" t="s">
        <v>323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tr">
        <f t="shared" ref="G67:G72" si="0">G3</f>
        <v>MySOL Plan de Servicio</v>
      </c>
    </row>
    <row r="68" spans="1:7" ht="20.25" x14ac:dyDescent="0.3">
      <c r="B68" s="5"/>
      <c r="G68" s="6" t="str">
        <f t="shared" si="0"/>
        <v xml:space="preserve">  </v>
      </c>
    </row>
    <row r="69" spans="1:7" ht="15" x14ac:dyDescent="0.2">
      <c r="G69" s="7" t="str">
        <f t="shared" si="0"/>
        <v/>
      </c>
    </row>
    <row r="70" spans="1:7" ht="15" x14ac:dyDescent="0.2">
      <c r="G70" s="7" t="str">
        <f t="shared" si="0"/>
        <v/>
      </c>
    </row>
    <row r="71" spans="1:7" ht="15" x14ac:dyDescent="0.2">
      <c r="G71" s="7" t="str">
        <f t="shared" si="0"/>
        <v xml:space="preserve">Gto.  </v>
      </c>
    </row>
    <row r="72" spans="1:7" ht="15" x14ac:dyDescent="0.2">
      <c r="G72" s="7" t="str">
        <f t="shared" si="0"/>
        <v>Tamaño  de Sistema PV  8.58kW</v>
      </c>
    </row>
    <row r="73" spans="1:7" x14ac:dyDescent="0.2">
      <c r="A73"/>
      <c r="G73" s="1" t="str">
        <f>IF(SysSpec_PV_Units=0,"",SysSpec_PV_Units&amp;" "&amp;Inputs!F$4)</f>
        <v>26 Trina Solar_TSM-PD14 330</v>
      </c>
    </row>
    <row r="74" spans="1:7" ht="20.25" x14ac:dyDescent="0.3">
      <c r="B74" s="8"/>
      <c r="C74" s="8"/>
      <c r="G74" s="1" t="str">
        <f>IF(SysSpec_Inverters_Units=0,"",SysSpec_Inverters_Units&amp;" "&amp;Inputs!F$5)</f>
        <v>1 SMA_SB7.0-1SP-US-40</v>
      </c>
    </row>
    <row r="75" spans="1:7" x14ac:dyDescent="0.2">
      <c r="G75" s="1" t="str">
        <f>IF(SysSpec_Optimizers_Units=0,"",SysSpec_Optimizers_Units&amp;" "&amp;Inputs!F$6)</f>
        <v/>
      </c>
    </row>
    <row r="77" spans="1:7" x14ac:dyDescent="0.2">
      <c r="C77" s="9"/>
    </row>
    <row r="83" spans="1:7" ht="30.75" customHeight="1" x14ac:dyDescent="0.25">
      <c r="A83" s="18" t="s">
        <v>184</v>
      </c>
      <c r="B83" s="19"/>
      <c r="C83" s="20" t="s">
        <v>124</v>
      </c>
      <c r="D83" s="136" t="s">
        <v>497</v>
      </c>
      <c r="E83" s="20" t="s">
        <v>207</v>
      </c>
      <c r="G83" s="21" t="str">
        <f>"Resumen "&amp;15&amp;" Años"</f>
        <v>Resumen 15 Años</v>
      </c>
    </row>
    <row r="84" spans="1:7" ht="15" x14ac:dyDescent="0.2">
      <c r="A84" s="7" t="s">
        <v>128</v>
      </c>
      <c r="B84" s="7"/>
      <c r="C84" s="65">
        <f>Savings!J6</f>
        <v>85291.92</v>
      </c>
      <c r="D84" s="65">
        <f>Savings!X6</f>
        <v>1674.5243456785986</v>
      </c>
      <c r="E84" s="7"/>
      <c r="G84" s="22" t="str">
        <f>"Ahorros en el año "&amp;15&amp;" son de un "&amp;TEXT(Savings!AF20,"0.0%")</f>
        <v>Ahorros en el año 15 son de un 97.7%</v>
      </c>
    </row>
    <row r="85" spans="1:7" ht="15" x14ac:dyDescent="0.2">
      <c r="A85" s="19" t="s">
        <v>498</v>
      </c>
      <c r="B85" s="19"/>
      <c r="C85" s="66" t="s">
        <v>39</v>
      </c>
      <c r="D85" s="67">
        <f>Savings!AB6</f>
        <v>67546.035007210274</v>
      </c>
      <c r="E85" s="7"/>
      <c r="G85" s="22" t="str">
        <f>"Ahorros Totales durante "&amp;15&amp;" años "&amp;TEXT(G138,"$000,000")</f>
        <v>Ahorros Totales durante 15 años $1,473,778</v>
      </c>
    </row>
    <row r="86" spans="1:7" ht="15.75" x14ac:dyDescent="0.25">
      <c r="A86" s="94" t="s">
        <v>26</v>
      </c>
      <c r="C86" s="23">
        <f>SUM(C84:C85)</f>
        <v>85291.92</v>
      </c>
      <c r="D86" s="23">
        <f>SUM(D84:D85)</f>
        <v>69220.559352888871</v>
      </c>
      <c r="E86" s="134">
        <f>C86-D86</f>
        <v>16071.360647111127</v>
      </c>
      <c r="F86" s="25"/>
      <c r="G86" s="21"/>
    </row>
    <row r="87" spans="1:7" ht="15.75" x14ac:dyDescent="0.25">
      <c r="A87" s="95"/>
      <c r="C87" s="137"/>
      <c r="D87" s="137"/>
      <c r="E87" s="135"/>
      <c r="G87" s="21"/>
    </row>
    <row r="88" spans="1:7" ht="15.75" x14ac:dyDescent="0.25">
      <c r="A88" s="94"/>
      <c r="C88" s="23"/>
      <c r="D88" s="23"/>
      <c r="E88" s="134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.75" thickBot="1" x14ac:dyDescent="0.25">
      <c r="A119" s="645" t="str">
        <f>G3</f>
        <v>MySOL Plan de Servicio</v>
      </c>
      <c r="B119" s="646"/>
      <c r="C119" s="646"/>
      <c r="D119" s="646"/>
      <c r="E119" s="646"/>
      <c r="F119" s="646"/>
      <c r="G119" s="647"/>
    </row>
    <row r="120" spans="1:7" ht="18" customHeight="1" thickBot="1" x14ac:dyDescent="0.25">
      <c r="A120" s="654" t="s">
        <v>125</v>
      </c>
      <c r="B120" s="655"/>
      <c r="C120" s="657" t="s">
        <v>802</v>
      </c>
      <c r="D120" s="658"/>
      <c r="E120" s="659" t="s">
        <v>818</v>
      </c>
      <c r="F120" s="660"/>
      <c r="G120" s="661"/>
    </row>
    <row r="121" spans="1:7" ht="16.5" customHeight="1" x14ac:dyDescent="0.2">
      <c r="A121" s="656"/>
      <c r="B121" s="612"/>
      <c r="C121" s="617" t="s">
        <v>128</v>
      </c>
      <c r="D121" s="612"/>
      <c r="E121" s="697" t="s">
        <v>803</v>
      </c>
      <c r="F121" s="698"/>
      <c r="G121" s="449" t="s">
        <v>127</v>
      </c>
    </row>
    <row r="122" spans="1:7" x14ac:dyDescent="0.2">
      <c r="A122" s="611" t="s">
        <v>126</v>
      </c>
      <c r="B122" s="612"/>
      <c r="C122" s="622">
        <v>0</v>
      </c>
      <c r="D122" s="612"/>
      <c r="E122" s="620">
        <f>Cust_InitialPymt</f>
        <v>12446.491187147098</v>
      </c>
      <c r="F122" s="621"/>
      <c r="G122" s="450"/>
    </row>
    <row r="123" spans="1:7" x14ac:dyDescent="0.2">
      <c r="A123" s="613">
        <v>1</v>
      </c>
      <c r="B123" s="614"/>
      <c r="C123" s="622">
        <f>Savings!J6</f>
        <v>85291.92</v>
      </c>
      <c r="D123" s="612"/>
      <c r="E123" s="620"/>
      <c r="F123" s="621"/>
      <c r="G123" s="450">
        <f>Savings!AE6</f>
        <v>16071.360647111127</v>
      </c>
    </row>
    <row r="124" spans="1:7" x14ac:dyDescent="0.2">
      <c r="A124" s="613">
        <v>2</v>
      </c>
      <c r="B124" s="614"/>
      <c r="C124" s="622">
        <f>Savings!J7</f>
        <v>92115.2736</v>
      </c>
      <c r="D124" s="612"/>
      <c r="E124" s="620"/>
      <c r="F124" s="621"/>
      <c r="G124" s="450">
        <f>Savings!AE7</f>
        <v>20647.127745197489</v>
      </c>
    </row>
    <row r="125" spans="1:7" x14ac:dyDescent="0.2">
      <c r="A125" s="613">
        <v>3</v>
      </c>
      <c r="B125" s="614"/>
      <c r="C125" s="622">
        <f>Savings!J8</f>
        <v>99484.495488000015</v>
      </c>
      <c r="D125" s="612"/>
      <c r="E125" s="620"/>
      <c r="F125" s="621"/>
      <c r="G125" s="450">
        <f>Savings!AE8</f>
        <v>25381.525677741316</v>
      </c>
    </row>
    <row r="126" spans="1:7" x14ac:dyDescent="0.2">
      <c r="A126" s="613">
        <v>4</v>
      </c>
      <c r="B126" s="614"/>
      <c r="C126" s="622">
        <f>Savings!J9</f>
        <v>107443.25512704003</v>
      </c>
      <c r="D126" s="612"/>
      <c r="E126" s="620"/>
      <c r="F126" s="621"/>
      <c r="G126" s="450">
        <f>Savings!AE9</f>
        <v>30606.387204011291</v>
      </c>
    </row>
    <row r="127" spans="1:7" x14ac:dyDescent="0.2">
      <c r="A127" s="613">
        <v>5</v>
      </c>
      <c r="B127" s="614"/>
      <c r="C127" s="622">
        <f>Savings!J10</f>
        <v>116038.71553720324</v>
      </c>
      <c r="D127" s="612"/>
      <c r="E127" s="620" t="str">
        <f>IF(A127&lt;&gt;Cust_LeaseTermYears,"",IF(OR(Scenario_Variable="Final Payment",Scenario_Variable="Pago Final"),MAX(0,HLOOKUP(A127*12,Model!$D$50:$GA$80,31,FALSE)),Cust_TotalPymtAtTermEnd))</f>
        <v/>
      </c>
      <c r="F127" s="621" t="str">
        <f>IF(OR(D127&lt;5,D127&gt;Cust_LeaseTermYears),"N/A",IF(OR(Scenario_Variable="Final Payment",D127&lt;Cust_LeaseTermYears),MAX(0,HLOOKUP(D127*12,Model!$D$50:$GA$80,20,FALSE)),Cust_FinalPymtAtTermEnd))</f>
        <v>N/A</v>
      </c>
      <c r="G127" s="450">
        <f>Savings!AE10</f>
        <v>36364.956401025731</v>
      </c>
    </row>
    <row r="128" spans="1:7" x14ac:dyDescent="0.2">
      <c r="A128" s="613">
        <v>6</v>
      </c>
      <c r="B128" s="614"/>
      <c r="C128" s="622">
        <f>Savings!J11</f>
        <v>125321.81278017951</v>
      </c>
      <c r="D128" s="612"/>
      <c r="E128" s="648" t="str">
        <f>IF(A128&lt;&gt;Cust_LeaseTermYears,"",IF(OR(Scenario_Variable="Final Payment",Scenario_Variable="Pago Final"),MAX(0,HLOOKUP(A128*12,Model!$D$50:$GA$80,31,FALSE)),Cust_TotalPymtAtTermEnd))</f>
        <v/>
      </c>
      <c r="F128" s="621" t="str">
        <f>IF(OR(D128&lt;5,D128&gt;Cust_LeaseTermYears),"N/A",IF(OR(Scenario_Variable="Final Payment",D128&lt;Cust_LeaseTermYears),MAX(0,HLOOKUP(D128*12,Model!$D$50:$GA$80,20,FALSE)),Cust_FinalPymtAtTermEnd))</f>
        <v>N/A</v>
      </c>
      <c r="G128" s="450">
        <f>Savings!AE11</f>
        <v>42704.07950346444</v>
      </c>
    </row>
    <row r="129" spans="1:7" x14ac:dyDescent="0.2">
      <c r="A129" s="613">
        <v>7</v>
      </c>
      <c r="B129" s="614"/>
      <c r="C129" s="622">
        <f>Savings!J12</f>
        <v>135347.55780259389</v>
      </c>
      <c r="D129" s="612"/>
      <c r="E129" s="620" t="str">
        <f>IF(A129&lt;&gt;Cust_LeaseTermYears,"",IF(OR(Scenario_Variable="Final Payment",Scenario_Variable="Pago Final"),MAX(0,HLOOKUP(A129*12,Model!$D$50:$GA$80,31,FALSE)),Cust_TotalPymtAtTermEnd))</f>
        <v/>
      </c>
      <c r="F129" s="621" t="str">
        <f>IF(OR(D129&lt;5,D129&gt;Cust_LeaseTermYears),"N/A",IF(OR(Scenario_Variable="Final Payment",D129&lt;Cust_LeaseTermYears),MAX(0,HLOOKUP(D129*12,Model!$D$50:$GA$80,20,FALSE)),Cust_FinalPymtAtTermEnd))</f>
        <v>N/A</v>
      </c>
      <c r="G129" s="450">
        <f>Savings!AE12</f>
        <v>49674.498124225967</v>
      </c>
    </row>
    <row r="130" spans="1:7" x14ac:dyDescent="0.2">
      <c r="A130" s="613">
        <v>8</v>
      </c>
      <c r="B130" s="614"/>
      <c r="C130" s="622">
        <f>Savings!J13</f>
        <v>146175.36242680138</v>
      </c>
      <c r="D130" s="612"/>
      <c r="E130" s="620" t="str">
        <f>IF(A130&lt;&gt;Cust_LeaseTermYears,"",IF(OR(Scenario_Variable="Final Payment",Scenario_Variable="Pago Final"),MAX(0,HLOOKUP(A130*12,Model!$D$50:$GA$80,31,FALSE)),Cust_TotalPymtAtTermEnd))</f>
        <v/>
      </c>
      <c r="F130" s="621" t="str">
        <f>IF(OR(D130&lt;5,D130&gt;Cust_LeaseTermYears),"N/A",IF(OR(Scenario_Variable="Final Payment",D130&lt;Cust_LeaseTermYears),MAX(0,HLOOKUP(D130*12,Model!$D$50:$GA$80,20,FALSE)),Cust_FinalPymtAtTermEnd))</f>
        <v>N/A</v>
      </c>
      <c r="G130" s="450">
        <f>Savings!AE13</f>
        <v>57331.166110509817</v>
      </c>
    </row>
    <row r="131" spans="1:7" x14ac:dyDescent="0.2">
      <c r="A131" s="613">
        <v>9</v>
      </c>
      <c r="B131" s="614"/>
      <c r="C131" s="622">
        <f>Savings!J14</f>
        <v>157869.39142094553</v>
      </c>
      <c r="D131" s="612"/>
      <c r="E131" s="620" t="str">
        <f>IF(A131&lt;&gt;Cust_LeaseTermYears,"",IF(OR(Scenario_Variable="Final Payment",Scenario_Variable="Pago Final"),MAX(0,HLOOKUP(A131*12,Model!$D$50:$GA$80,31,FALSE)),Cust_TotalPymtAtTermEnd))</f>
        <v/>
      </c>
      <c r="F131" s="621" t="str">
        <f>IF(OR(D131&lt;5,D131&gt;Cust_LeaseTermYears),"N/A",IF(OR(Scenario_Variable="Final Payment",D131&lt;Cust_LeaseTermYears),MAX(0,HLOOKUP(D131*12,Model!$D$50:$GA$80,20,FALSE)),Cust_FinalPymtAtTermEnd))</f>
        <v>N/A</v>
      </c>
      <c r="G131" s="450">
        <f>Savings!AE14</f>
        <v>65733.591932513504</v>
      </c>
    </row>
    <row r="132" spans="1:7" x14ac:dyDescent="0.2">
      <c r="A132" s="613">
        <v>10</v>
      </c>
      <c r="B132" s="614"/>
      <c r="C132" s="622">
        <f>Savings!J15</f>
        <v>170498.94273462115</v>
      </c>
      <c r="D132" s="612"/>
      <c r="E132" s="620">
        <f>IF(A132&lt;&gt;Cust_LeaseTermYears,"",IF(OR(Scenario_Variable="Final Payment",Scenario_Variable="Pago Final"),MAX(0,HLOOKUP(A132*12,Model!$D$50:$GA$80,31,FALSE)),Cust_TotalPymtAtTermEnd))</f>
        <v>13323.216877566358</v>
      </c>
      <c r="F132" s="621" t="str">
        <f>IF(OR(D132&lt;5,D132&gt;Cust_LeaseTermYears),"N/A",IF(OR(Scenario_Variable="Final Payment",D132&lt;Cust_LeaseTermYears),MAX(0,HLOOKUP(D132*12,Model!$D$50:$GA$80,20,FALSE)),Cust_FinalPymtAtTermEnd))</f>
        <v>N/A</v>
      </c>
      <c r="G132" s="450">
        <f>Savings!AE15</f>
        <v>74437.929127061449</v>
      </c>
    </row>
    <row r="133" spans="1:7" x14ac:dyDescent="0.2">
      <c r="A133" s="613">
        <v>11</v>
      </c>
      <c r="B133" s="614"/>
      <c r="C133" s="622">
        <f>Savings!J16</f>
        <v>184138.85815339087</v>
      </c>
      <c r="D133" s="612"/>
      <c r="E133" s="620" t="str">
        <f>IF(A133&lt;&gt;Cust_LeaseTermYears,"",IF(OR(Scenario_Variable="Final Payment",Scenario_Variable="Pago Final"),MAX(0,HLOOKUP(A133*12,Model!$D$50:$GA$80,31,FALSE)),Cust_TotalPymtAtTermEnd))</f>
        <v/>
      </c>
      <c r="F133" s="621" t="str">
        <f>IF(OR(D133&lt;5,D133&gt;Cust_LeaseTermYears),"N/A",IF(OR(Scenario_Variable="Final Payment",D133&lt;Cust_LeaseTermYears),MAX(0,HLOOKUP(D133*12,Model!$D$50:$GA$80,20,FALSE)),Cust_FinalPymtAtTermEnd))</f>
        <v>N/A</v>
      </c>
      <c r="G133" s="450">
        <f>Savings!AE16</f>
        <v>179763.52969864945</v>
      </c>
    </row>
    <row r="134" spans="1:7" x14ac:dyDescent="0.2">
      <c r="A134" s="613">
        <v>12</v>
      </c>
      <c r="B134" s="614"/>
      <c r="C134" s="622">
        <f>Savings!J17</f>
        <v>198869.96680566214</v>
      </c>
      <c r="D134" s="612"/>
      <c r="E134" s="620" t="str">
        <f>IF(A134&lt;&gt;Cust_LeaseTermYears,"",IF(OR(Scenario_Variable="Final Payment",Scenario_Variable="Pago Final"),MAX(0,HLOOKUP(A134*12,Model!$D$50:$GA$80,31,FALSE)),Cust_TotalPymtAtTermEnd))</f>
        <v/>
      </c>
      <c r="F134" s="621" t="str">
        <f>IF(OR(D134&lt;5,D134&gt;Cust_LeaseTermYears),"N/A",IF(OR(Scenario_Variable="Final Payment",D134&lt;Cust_LeaseTermYears),MAX(0,HLOOKUP(D134*12,Model!$D$50:$GA$80,20,FALSE)),Cust_FinalPymtAtTermEnd))</f>
        <v>N/A</v>
      </c>
      <c r="G134" s="450">
        <f>Savings!AE17</f>
        <v>194105.38042412183</v>
      </c>
    </row>
    <row r="135" spans="1:7" x14ac:dyDescent="0.2">
      <c r="A135" s="613">
        <v>13</v>
      </c>
      <c r="B135" s="614"/>
      <c r="C135" s="622">
        <f>Savings!J18</f>
        <v>214779.56415011513</v>
      </c>
      <c r="D135" s="612"/>
      <c r="E135" s="620" t="str">
        <f>IF(A135&lt;&gt;Cust_LeaseTermYears,"",IF(OR(Scenario_Variable="Final Payment",Scenario_Variable="Pago Final"),MAX(0,HLOOKUP(A135*12,Model!$D$50:$GA$80,31,FALSE)),Cust_TotalPymtAtTermEnd))</f>
        <v/>
      </c>
      <c r="F135" s="621" t="str">
        <f>IF(OR(D135&lt;5,D135&gt;Cust_LeaseTermYears),"N/A",IF(OR(Scenario_Variable="Final Payment",D135&lt;Cust_LeaseTermYears),MAX(0,HLOOKUP(D135*12,Model!$D$50:$GA$80,20,FALSE)),Cust_FinalPymtAtTermEnd))</f>
        <v>N/A</v>
      </c>
      <c r="G135" s="450">
        <f>Savings!AE18</f>
        <v>209696.05030400437</v>
      </c>
    </row>
    <row r="136" spans="1:7" x14ac:dyDescent="0.2">
      <c r="A136" s="613">
        <v>14</v>
      </c>
      <c r="B136" s="614"/>
      <c r="C136" s="622">
        <f>Savings!J19</f>
        <v>231961.92928212433</v>
      </c>
      <c r="D136" s="612"/>
      <c r="E136" s="620" t="str">
        <f>IF(A136&lt;&gt;Cust_LeaseTermYears,"",IF(OR(Scenario_Variable="Final Payment",Scenario_Variable="Pago Final"),MAX(0,HLOOKUP(A136*12,Model!$D$50:$GA$80,31,FALSE)),Cust_TotalPymtAtTermEnd))</f>
        <v/>
      </c>
      <c r="F136" s="621" t="str">
        <f>IF(OR(D136&lt;5,D136&gt;Cust_LeaseTermYears),"N/A",IF(OR(Scenario_Variable="Final Payment",D136&lt;Cust_LeaseTermYears),MAX(0,HLOOKUP(D136*12,Model!$D$50:$GA$80,20,FALSE)),Cust_FinalPymtAtTermEnd))</f>
        <v>N/A</v>
      </c>
      <c r="G136" s="450">
        <f>Savings!AE19</f>
        <v>226535.84095765607</v>
      </c>
    </row>
    <row r="137" spans="1:7" ht="13.5" thickBot="1" x14ac:dyDescent="0.25">
      <c r="A137" s="613">
        <v>15</v>
      </c>
      <c r="B137" s="614"/>
      <c r="C137" s="622">
        <f>Savings!J20</f>
        <v>250518.88362469431</v>
      </c>
      <c r="D137" s="612"/>
      <c r="E137" s="620" t="str">
        <f>IF(A137&lt;&gt;Cust_LeaseTermYears,"",IF(OR(Scenario_Variable="Final Payment",Scenario_Variable="Pago Final"),MAX(0,HLOOKUP(A137*12,Model!$D$50:$GA$80,31,FALSE)),Cust_TotalPymtAtTermEnd))</f>
        <v/>
      </c>
      <c r="F137" s="621" t="str">
        <f>IF(OR(D137&lt;5,D137&gt;Cust_LeaseTermYears),"N/A",IF(OR(Scenario_Variable="Final Payment",D137&lt;Cust_LeaseTermYears),MAX(0,HLOOKUP(D137*12,Model!$D$50:$GA$80,20,FALSE)),Cust_FinalPymtAtTermEnd))</f>
        <v>N/A</v>
      </c>
      <c r="G137" s="450">
        <f>Savings!AE20</f>
        <v>244724.73806247988</v>
      </c>
    </row>
    <row r="138" spans="1:7" ht="16.5" thickBot="1" x14ac:dyDescent="0.25">
      <c r="A138" s="662" t="s">
        <v>33</v>
      </c>
      <c r="B138" s="653"/>
      <c r="C138" s="652">
        <f>SUM(C122:D137)</f>
        <v>2315855.9289333718</v>
      </c>
      <c r="D138" s="653"/>
      <c r="E138" s="615">
        <f>SUM(E122:F137)</f>
        <v>25769.708064713457</v>
      </c>
      <c r="F138" s="616"/>
      <c r="G138" s="451">
        <f>SUM(G123:G137)</f>
        <v>1473778.1619197736</v>
      </c>
    </row>
    <row r="140" spans="1:7" x14ac:dyDescent="0.2">
      <c r="A140" s="673"/>
      <c r="B140" s="674"/>
      <c r="C140" s="674"/>
      <c r="D140" s="674"/>
      <c r="E140" s="674"/>
      <c r="F140" s="674"/>
      <c r="G140" s="674"/>
    </row>
    <row r="141" spans="1:7" ht="13.5" thickBot="1" x14ac:dyDescent="0.25">
      <c r="A141" s="675"/>
      <c r="B141" s="675"/>
      <c r="C141" s="675"/>
      <c r="D141" s="675"/>
      <c r="E141" s="675"/>
      <c r="F141" s="675"/>
      <c r="G141" s="675"/>
    </row>
    <row r="142" spans="1:7" x14ac:dyDescent="0.2">
      <c r="A142" s="699" t="s">
        <v>352</v>
      </c>
      <c r="B142" s="601"/>
      <c r="C142" s="601"/>
      <c r="D142" s="601"/>
      <c r="E142" s="601"/>
      <c r="F142" s="601"/>
      <c r="G142" s="601"/>
    </row>
    <row r="143" spans="1:7" x14ac:dyDescent="0.2">
      <c r="A143" s="601"/>
      <c r="B143" s="601"/>
      <c r="C143" s="601"/>
      <c r="D143" s="601"/>
      <c r="E143" s="601"/>
      <c r="F143" s="601"/>
      <c r="G143" s="601"/>
    </row>
    <row r="159" spans="1:7" ht="28.5" customHeight="1" x14ac:dyDescent="0.35">
      <c r="A159" s="672" t="s">
        <v>324</v>
      </c>
      <c r="B159" s="672"/>
      <c r="C159" s="672"/>
      <c r="D159" s="672"/>
      <c r="E159" s="672"/>
      <c r="F159" s="672"/>
      <c r="G159" s="672"/>
    </row>
    <row r="160" spans="1:7" ht="15.75" x14ac:dyDescent="0.25">
      <c r="A160" s="649" t="s">
        <v>325</v>
      </c>
      <c r="B160" s="650"/>
      <c r="C160" s="650"/>
      <c r="D160" s="650"/>
      <c r="E160" s="650"/>
      <c r="F160" s="650"/>
      <c r="G160" s="650"/>
    </row>
    <row r="162" spans="1:7" ht="12.75" customHeight="1" x14ac:dyDescent="0.2">
      <c r="A162" s="651" t="s">
        <v>326</v>
      </c>
      <c r="B162" s="651"/>
      <c r="C162" s="651"/>
      <c r="D162" s="651"/>
      <c r="E162" s="651"/>
      <c r="F162" s="651"/>
      <c r="G162" s="651"/>
    </row>
    <row r="163" spans="1:7" x14ac:dyDescent="0.2">
      <c r="A163" s="651"/>
      <c r="B163" s="651"/>
      <c r="C163" s="651"/>
      <c r="D163" s="651"/>
      <c r="E163" s="651"/>
      <c r="F163" s="651"/>
      <c r="G163" s="651"/>
    </row>
    <row r="164" spans="1:7" x14ac:dyDescent="0.2">
      <c r="A164" s="651"/>
      <c r="B164" s="651"/>
      <c r="C164" s="651"/>
      <c r="D164" s="651"/>
      <c r="E164" s="651"/>
      <c r="F164" s="651"/>
      <c r="G164" s="651"/>
    </row>
    <row r="165" spans="1:7" ht="12.75" customHeight="1" x14ac:dyDescent="0.2">
      <c r="A165" s="678" t="s">
        <v>327</v>
      </c>
      <c r="B165" s="651"/>
      <c r="C165" s="651"/>
      <c r="D165" s="651"/>
      <c r="E165" s="651"/>
      <c r="F165" s="651"/>
      <c r="G165" s="651"/>
    </row>
    <row r="166" spans="1:7" x14ac:dyDescent="0.2">
      <c r="A166" s="651"/>
      <c r="B166" s="651"/>
      <c r="C166" s="651"/>
      <c r="D166" s="651"/>
      <c r="E166" s="651"/>
      <c r="F166" s="651"/>
      <c r="G166" s="651"/>
    </row>
    <row r="167" spans="1:7" x14ac:dyDescent="0.2">
      <c r="A167" s="651"/>
      <c r="B167" s="651"/>
      <c r="C167" s="651"/>
      <c r="D167" s="651"/>
      <c r="E167" s="651"/>
      <c r="F167" s="651"/>
      <c r="G167" s="651"/>
    </row>
    <row r="168" spans="1:7" x14ac:dyDescent="0.2">
      <c r="A168" s="651"/>
      <c r="B168" s="651"/>
      <c r="C168" s="651"/>
      <c r="D168" s="651"/>
      <c r="E168" s="651"/>
      <c r="F168" s="651"/>
      <c r="G168" s="651"/>
    </row>
    <row r="169" spans="1:7" x14ac:dyDescent="0.2">
      <c r="A169" s="651"/>
      <c r="B169" s="651"/>
      <c r="C169" s="651"/>
      <c r="D169" s="651"/>
      <c r="E169" s="651"/>
      <c r="F169" s="651"/>
      <c r="G169" s="651"/>
    </row>
    <row r="170" spans="1:7" x14ac:dyDescent="0.2">
      <c r="A170" s="651"/>
      <c r="B170" s="651"/>
      <c r="C170" s="651"/>
      <c r="D170" s="651"/>
      <c r="E170" s="651"/>
      <c r="F170" s="651"/>
      <c r="G170" s="651"/>
    </row>
    <row r="171" spans="1:7" ht="12.75" customHeight="1" x14ac:dyDescent="0.2">
      <c r="A171" s="651" t="s">
        <v>328</v>
      </c>
      <c r="B171" s="651"/>
      <c r="C171" s="651"/>
      <c r="D171" s="651"/>
      <c r="E171" s="651"/>
      <c r="F171" s="651"/>
      <c r="G171" s="651"/>
    </row>
    <row r="172" spans="1:7" x14ac:dyDescent="0.2">
      <c r="A172" s="651"/>
      <c r="B172" s="651"/>
      <c r="C172" s="651"/>
      <c r="D172" s="651"/>
      <c r="E172" s="651"/>
      <c r="F172" s="651"/>
      <c r="G172" s="651"/>
    </row>
    <row r="173" spans="1:7" x14ac:dyDescent="0.2">
      <c r="A173" s="351"/>
      <c r="B173" s="351"/>
      <c r="C173" s="351"/>
      <c r="D173" s="351"/>
      <c r="E173" s="351"/>
      <c r="F173" s="351"/>
      <c r="G173" s="351"/>
    </row>
    <row r="174" spans="1:7" x14ac:dyDescent="0.2">
      <c r="A174" s="345"/>
      <c r="B174" s="345"/>
      <c r="C174" s="345"/>
      <c r="D174" s="345"/>
      <c r="E174" s="345"/>
      <c r="F174" s="345"/>
      <c r="G174" s="345"/>
    </row>
    <row r="175" spans="1:7" x14ac:dyDescent="0.2">
      <c r="A175" s="679" t="s">
        <v>329</v>
      </c>
      <c r="B175" s="650"/>
      <c r="C175" s="650"/>
      <c r="D175" s="650"/>
      <c r="E175" s="650"/>
      <c r="F175" s="650"/>
      <c r="G175" s="650"/>
    </row>
    <row r="176" spans="1:7" ht="13.5" thickBot="1" x14ac:dyDescent="0.25"/>
    <row r="177" spans="1:7" ht="36" thickBot="1" x14ac:dyDescent="0.25">
      <c r="A177"/>
      <c r="B177"/>
      <c r="C177" s="352"/>
      <c r="D177" s="681" t="s">
        <v>330</v>
      </c>
      <c r="E177" s="682"/>
      <c r="F177" s="346"/>
    </row>
    <row r="178" spans="1:7" ht="36" thickBot="1" x14ac:dyDescent="0.25">
      <c r="A178" s="347"/>
      <c r="C178" s="352"/>
      <c r="D178" s="681" t="s">
        <v>331</v>
      </c>
      <c r="E178" s="682"/>
      <c r="F178" s="346"/>
    </row>
    <row r="179" spans="1:7" ht="36" thickBot="1" x14ac:dyDescent="0.25">
      <c r="C179" s="352"/>
      <c r="D179" s="681" t="s">
        <v>330</v>
      </c>
      <c r="E179" s="682"/>
      <c r="F179" s="346"/>
    </row>
    <row r="181" spans="1:7" x14ac:dyDescent="0.2">
      <c r="A181" s="2" t="s">
        <v>332</v>
      </c>
      <c r="B181" s="2"/>
    </row>
    <row r="182" spans="1:7" ht="25.5" customHeight="1" thickBot="1" x14ac:dyDescent="0.25">
      <c r="A182" s="680"/>
      <c r="B182" s="664"/>
      <c r="C182" s="664"/>
      <c r="D182" s="664"/>
      <c r="E182" s="664"/>
      <c r="F182" s="664"/>
      <c r="G182" s="664"/>
    </row>
    <row r="184" spans="1:7" x14ac:dyDescent="0.2">
      <c r="A184" s="2" t="s">
        <v>333</v>
      </c>
      <c r="B184" s="2"/>
    </row>
    <row r="185" spans="1:7" ht="25.5" customHeight="1" thickBot="1" x14ac:dyDescent="0.25">
      <c r="A185" s="626"/>
      <c r="B185" s="664"/>
      <c r="C185" s="664"/>
      <c r="D185" s="664"/>
      <c r="E185" s="664"/>
      <c r="F185" s="664"/>
      <c r="G185" s="664"/>
    </row>
    <row r="187" spans="1:7" ht="25.5" customHeight="1" thickBot="1" x14ac:dyDescent="0.25">
      <c r="A187" s="2" t="s">
        <v>334</v>
      </c>
      <c r="B187" s="390"/>
      <c r="C187" s="391"/>
      <c r="D187" s="688"/>
      <c r="E187" s="664"/>
      <c r="F187" s="664"/>
      <c r="G187" s="664"/>
    </row>
    <row r="189" spans="1:7" ht="25.5" customHeight="1" thickBot="1" x14ac:dyDescent="0.25">
      <c r="A189" s="390" t="s">
        <v>335</v>
      </c>
      <c r="B189" s="663"/>
      <c r="C189" s="664"/>
      <c r="D189" s="664"/>
      <c r="E189" s="664"/>
      <c r="F189" s="664"/>
      <c r="G189" s="664"/>
    </row>
    <row r="191" spans="1:7" ht="25.5" customHeight="1" thickBot="1" x14ac:dyDescent="0.25">
      <c r="A191" s="390" t="s">
        <v>336</v>
      </c>
      <c r="B191" s="664"/>
      <c r="C191" s="664"/>
      <c r="D191" s="664"/>
      <c r="E191" s="664"/>
      <c r="F191" s="664"/>
      <c r="G191" s="664"/>
    </row>
    <row r="193" spans="1:7" ht="25.5" customHeight="1" thickBot="1" x14ac:dyDescent="0.25">
      <c r="A193" s="2" t="s">
        <v>337</v>
      </c>
      <c r="B193" s="397"/>
      <c r="C193" s="387"/>
      <c r="D193" s="387"/>
      <c r="E193" s="387"/>
      <c r="F193" s="2" t="s">
        <v>338</v>
      </c>
      <c r="G193" s="348"/>
    </row>
    <row r="195" spans="1:7" ht="25.5" customHeight="1" thickBot="1" x14ac:dyDescent="0.25">
      <c r="A195" s="2" t="s">
        <v>339</v>
      </c>
      <c r="B195" s="397"/>
      <c r="C195" s="387"/>
      <c r="D195" s="387"/>
      <c r="E195" s="387"/>
      <c r="F195" s="2" t="s">
        <v>340</v>
      </c>
      <c r="G195" s="348"/>
    </row>
    <row r="197" spans="1:7" ht="25.5" customHeight="1" thickBot="1" x14ac:dyDescent="0.25">
      <c r="A197" s="390" t="s">
        <v>341</v>
      </c>
      <c r="B197" s="390"/>
      <c r="C197" s="391"/>
      <c r="D197" s="392"/>
      <c r="E197" s="684"/>
      <c r="F197" s="684"/>
      <c r="G197" s="684"/>
    </row>
    <row r="199" spans="1:7" ht="12.75" customHeight="1" x14ac:dyDescent="0.2">
      <c r="A199" s="683" t="s">
        <v>342</v>
      </c>
      <c r="B199" s="666"/>
      <c r="C199" s="666"/>
      <c r="D199" s="666"/>
      <c r="E199" s="666"/>
      <c r="F199" s="666"/>
      <c r="G199" s="666"/>
    </row>
    <row r="200" spans="1:7" x14ac:dyDescent="0.2">
      <c r="A200" s="666"/>
      <c r="B200" s="666"/>
      <c r="C200" s="666"/>
      <c r="D200" s="666"/>
      <c r="E200" s="666"/>
      <c r="F200" s="666"/>
      <c r="G200" s="666"/>
    </row>
    <row r="201" spans="1:7" x14ac:dyDescent="0.2">
      <c r="A201" s="666"/>
      <c r="B201" s="666"/>
      <c r="C201" s="666"/>
      <c r="D201" s="666"/>
      <c r="E201" s="666"/>
      <c r="F201" s="666"/>
      <c r="G201" s="666"/>
    </row>
    <row r="202" spans="1:7" x14ac:dyDescent="0.2">
      <c r="A202" s="666"/>
      <c r="B202" s="666"/>
      <c r="C202" s="666"/>
      <c r="D202" s="666"/>
      <c r="E202" s="666"/>
      <c r="F202" s="666"/>
      <c r="G202" s="666"/>
    </row>
    <row r="205" spans="1:7" ht="25.5" customHeight="1" thickBot="1" x14ac:dyDescent="0.25">
      <c r="A205" s="684"/>
      <c r="B205" s="685"/>
      <c r="C205" s="685"/>
      <c r="D205" s="685"/>
      <c r="E205" s="685"/>
      <c r="F205" s="685"/>
      <c r="G205" s="685"/>
    </row>
    <row r="206" spans="1:7" x14ac:dyDescent="0.2">
      <c r="A206" s="686" t="s">
        <v>343</v>
      </c>
      <c r="B206" s="650"/>
      <c r="C206" s="650"/>
      <c r="D206" s="650"/>
      <c r="E206" s="650"/>
      <c r="F206" s="650"/>
      <c r="G206" s="650"/>
    </row>
    <row r="207" spans="1:7" x14ac:dyDescent="0.2">
      <c r="A207" s="349"/>
      <c r="B207" s="349"/>
      <c r="C207" s="349"/>
      <c r="D207" s="349"/>
      <c r="E207" s="349"/>
      <c r="F207" s="349"/>
      <c r="G207" s="349"/>
    </row>
    <row r="208" spans="1:7" x14ac:dyDescent="0.2">
      <c r="A208" s="687" t="s">
        <v>344</v>
      </c>
      <c r="B208" s="601"/>
      <c r="C208" s="601"/>
      <c r="D208" s="601"/>
      <c r="E208" s="601"/>
      <c r="F208" s="601"/>
      <c r="G208" s="601"/>
    </row>
    <row r="210" spans="1:7" ht="12.75" customHeight="1" x14ac:dyDescent="0.2">
      <c r="A210" s="665" t="s">
        <v>345</v>
      </c>
      <c r="B210" s="666"/>
      <c r="C210" s="666"/>
      <c r="D210" s="666"/>
      <c r="E210" s="666"/>
      <c r="F210" s="666"/>
      <c r="G210" s="666"/>
    </row>
    <row r="211" spans="1:7" x14ac:dyDescent="0.2">
      <c r="A211" s="666"/>
      <c r="B211" s="666"/>
      <c r="C211" s="666"/>
      <c r="D211" s="666"/>
      <c r="E211" s="666"/>
      <c r="F211" s="666"/>
      <c r="G211" s="666"/>
    </row>
    <row r="213" spans="1:7" ht="12.75" customHeight="1" x14ac:dyDescent="0.2">
      <c r="A213" s="388"/>
      <c r="B213" s="389"/>
      <c r="C213" s="389"/>
      <c r="D213" s="389"/>
      <c r="E213" s="389"/>
      <c r="F213" s="389"/>
      <c r="G213" s="389"/>
    </row>
    <row r="214" spans="1:7" x14ac:dyDescent="0.2">
      <c r="A214" s="389"/>
      <c r="B214" s="389"/>
      <c r="C214" s="389"/>
      <c r="D214" s="389"/>
      <c r="E214" s="389"/>
      <c r="F214" s="389"/>
      <c r="G214" s="389"/>
    </row>
    <row r="215" spans="1:7" x14ac:dyDescent="0.2">
      <c r="A215" s="389"/>
      <c r="B215" s="389"/>
      <c r="C215" s="389"/>
      <c r="D215" s="389"/>
      <c r="E215" s="389"/>
      <c r="F215" s="389"/>
      <c r="G215" s="389"/>
    </row>
    <row r="216" spans="1:7" x14ac:dyDescent="0.2">
      <c r="A216" s="667" t="s">
        <v>346</v>
      </c>
      <c r="B216" s="668"/>
      <c r="C216" s="668"/>
      <c r="D216" s="668"/>
      <c r="E216" s="668"/>
      <c r="F216" s="668"/>
      <c r="G216" s="668"/>
    </row>
    <row r="217" spans="1:7" x14ac:dyDescent="0.2">
      <c r="A217" s="668"/>
      <c r="B217" s="668"/>
      <c r="C217" s="668"/>
      <c r="D217" s="668"/>
      <c r="E217" s="668"/>
      <c r="F217" s="668"/>
      <c r="G217" s="668"/>
    </row>
    <row r="218" spans="1:7" x14ac:dyDescent="0.2">
      <c r="A218" s="668"/>
      <c r="B218" s="668"/>
      <c r="C218" s="668"/>
      <c r="D218" s="668"/>
      <c r="E218" s="668"/>
      <c r="F218" s="668"/>
      <c r="G218" s="668"/>
    </row>
    <row r="219" spans="1:7" x14ac:dyDescent="0.2">
      <c r="A219" s="668"/>
      <c r="B219" s="668"/>
      <c r="C219" s="668"/>
      <c r="D219" s="668"/>
      <c r="E219" s="668"/>
      <c r="F219" s="668"/>
      <c r="G219" s="668"/>
    </row>
    <row r="220" spans="1:7" x14ac:dyDescent="0.2">
      <c r="A220" s="668"/>
      <c r="B220" s="668"/>
      <c r="C220" s="668"/>
      <c r="D220" s="668"/>
      <c r="E220" s="668"/>
      <c r="F220" s="668"/>
      <c r="G220" s="668"/>
    </row>
    <row r="221" spans="1:7" x14ac:dyDescent="0.2">
      <c r="A221" s="350"/>
      <c r="B221" s="349"/>
      <c r="C221" s="349"/>
      <c r="D221" s="349"/>
      <c r="E221" s="349"/>
      <c r="F221" s="349"/>
      <c r="G221" s="349"/>
    </row>
    <row r="222" spans="1:7" ht="12.75" customHeight="1" x14ac:dyDescent="0.2">
      <c r="A222" s="669" t="s">
        <v>347</v>
      </c>
      <c r="B222" s="601"/>
      <c r="C222" s="601"/>
      <c r="D222" s="601"/>
      <c r="E222" s="601"/>
      <c r="F222" s="601"/>
      <c r="G222" s="601"/>
    </row>
    <row r="223" spans="1:7" x14ac:dyDescent="0.2">
      <c r="A223" s="601"/>
      <c r="B223" s="601"/>
      <c r="C223" s="601"/>
      <c r="D223" s="601"/>
      <c r="E223" s="601"/>
      <c r="F223" s="601"/>
      <c r="G223" s="601"/>
    </row>
    <row r="224" spans="1:7" x14ac:dyDescent="0.2">
      <c r="A224" s="601"/>
      <c r="B224" s="601"/>
      <c r="C224" s="601"/>
      <c r="D224" s="601"/>
      <c r="E224" s="601"/>
      <c r="F224" s="601"/>
      <c r="G224" s="601"/>
    </row>
    <row r="225" spans="1:7" ht="25.5" customHeight="1" thickBot="1" x14ac:dyDescent="0.25">
      <c r="A225" s="670" t="s">
        <v>348</v>
      </c>
      <c r="B225" s="601"/>
      <c r="C225" s="601"/>
      <c r="D225" s="601"/>
      <c r="E225" s="671"/>
      <c r="F225" s="671"/>
      <c r="G225" s="671"/>
    </row>
    <row r="226" spans="1:7" ht="25.5" customHeight="1" thickBot="1" x14ac:dyDescent="0.25">
      <c r="A226" s="670" t="s">
        <v>349</v>
      </c>
      <c r="B226" s="601"/>
      <c r="C226" s="601"/>
      <c r="D226" s="601"/>
      <c r="E226" s="671"/>
      <c r="F226" s="671"/>
      <c r="G226" s="671"/>
    </row>
    <row r="227" spans="1:7" ht="25.5" customHeight="1" thickBot="1" x14ac:dyDescent="0.25">
      <c r="A227" s="670" t="s">
        <v>350</v>
      </c>
      <c r="B227" s="601"/>
      <c r="C227" s="601"/>
      <c r="D227" s="601"/>
      <c r="E227" s="671"/>
      <c r="F227" s="671"/>
      <c r="G227" s="671"/>
    </row>
    <row r="235" spans="1:7" ht="13.5" thickBot="1" x14ac:dyDescent="0.25"/>
    <row r="236" spans="1:7" ht="24" thickBot="1" x14ac:dyDescent="0.4">
      <c r="A236" s="640" t="s">
        <v>562</v>
      </c>
      <c r="B236" s="641"/>
      <c r="C236" s="641"/>
      <c r="D236" s="641"/>
      <c r="E236" s="641"/>
      <c r="F236" s="641"/>
      <c r="G236" s="642"/>
    </row>
    <row r="237" spans="1:7" ht="25.5" customHeight="1" thickBot="1" x14ac:dyDescent="0.25">
      <c r="A237" s="643" t="s">
        <v>563</v>
      </c>
      <c r="B237" s="632"/>
      <c r="C237" s="632"/>
      <c r="D237" s="692"/>
      <c r="E237" s="634"/>
      <c r="F237" s="694"/>
      <c r="G237" s="695"/>
    </row>
    <row r="238" spans="1:7" ht="25.5" customHeight="1" thickBot="1" x14ac:dyDescent="0.25">
      <c r="A238" s="639" t="s">
        <v>565</v>
      </c>
      <c r="B238" s="624"/>
      <c r="C238" s="624"/>
      <c r="D238" s="693"/>
      <c r="E238" s="689"/>
      <c r="F238" s="690"/>
      <c r="G238" s="691"/>
    </row>
    <row r="239" spans="1:7" ht="12.75" customHeight="1" thickBot="1" x14ac:dyDescent="0.25">
      <c r="A239" s="408"/>
      <c r="B239" s="409"/>
      <c r="C239" s="409"/>
      <c r="D239" s="401"/>
      <c r="E239" s="401"/>
      <c r="F239" s="401"/>
      <c r="G239" s="404"/>
    </row>
    <row r="240" spans="1:7" ht="12.75" customHeight="1" thickBot="1" x14ac:dyDescent="0.25">
      <c r="A240" s="390"/>
      <c r="B240" s="390"/>
      <c r="C240" s="390"/>
      <c r="D240" s="396"/>
      <c r="E240" s="396"/>
      <c r="F240" s="396"/>
      <c r="G240" s="396"/>
    </row>
    <row r="241" spans="1:7" ht="12.75" customHeight="1" thickBot="1" x14ac:dyDescent="0.25">
      <c r="A241" s="628" t="s">
        <v>564</v>
      </c>
      <c r="B241" s="629"/>
      <c r="C241" s="630"/>
      <c r="D241" s="400"/>
      <c r="E241" s="401"/>
      <c r="F241" s="401"/>
      <c r="G241" s="401"/>
    </row>
    <row r="242" spans="1:7" ht="25.5" customHeight="1" thickBot="1" x14ac:dyDescent="0.25">
      <c r="A242" s="643" t="s">
        <v>566</v>
      </c>
      <c r="B242" s="632"/>
      <c r="C242" s="632"/>
      <c r="D242" s="692"/>
      <c r="E242" s="634"/>
      <c r="F242" s="694"/>
      <c r="G242" s="695"/>
    </row>
    <row r="243" spans="1:7" ht="25.5" customHeight="1" thickBot="1" x14ac:dyDescent="0.25">
      <c r="A243" s="696" t="s">
        <v>567</v>
      </c>
      <c r="B243" s="624"/>
      <c r="C243" s="624"/>
      <c r="D243" s="693"/>
      <c r="E243" s="689"/>
      <c r="F243" s="690"/>
      <c r="G243" s="691"/>
    </row>
    <row r="244" spans="1:7" ht="12.75" customHeight="1" thickBot="1" x14ac:dyDescent="0.25">
      <c r="A244" s="402"/>
      <c r="B244" s="403"/>
      <c r="C244" s="403"/>
      <c r="D244" s="401"/>
      <c r="E244" s="401"/>
      <c r="F244" s="401"/>
      <c r="G244" s="404"/>
    </row>
    <row r="245" spans="1:7" ht="12.75" customHeight="1" thickBot="1" x14ac:dyDescent="0.25">
      <c r="A245" s="390"/>
      <c r="B245" s="390"/>
      <c r="C245" s="390"/>
      <c r="D245" s="396"/>
      <c r="E245" s="396"/>
      <c r="F245" s="396"/>
      <c r="G245" s="396"/>
    </row>
    <row r="246" spans="1:7" ht="12.75" customHeight="1" thickBot="1" x14ac:dyDescent="0.25">
      <c r="A246" s="628" t="s">
        <v>582</v>
      </c>
      <c r="B246" s="629"/>
      <c r="C246" s="630"/>
      <c r="D246" s="400"/>
      <c r="E246" s="401"/>
      <c r="F246" s="401"/>
      <c r="G246" s="401"/>
    </row>
    <row r="247" spans="1:7" ht="25.5" customHeight="1" thickBot="1" x14ac:dyDescent="0.25">
      <c r="A247" s="643" t="s">
        <v>568</v>
      </c>
      <c r="B247" s="632"/>
      <c r="C247" s="632"/>
      <c r="D247" s="692"/>
      <c r="E247" s="634"/>
      <c r="F247" s="694"/>
      <c r="G247" s="695"/>
    </row>
    <row r="248" spans="1:7" ht="25.5" customHeight="1" thickBot="1" x14ac:dyDescent="0.25">
      <c r="A248" s="639" t="s">
        <v>569</v>
      </c>
      <c r="B248" s="624"/>
      <c r="C248" s="624"/>
      <c r="D248" s="693"/>
      <c r="E248" s="689"/>
      <c r="F248" s="690"/>
      <c r="G248" s="691"/>
    </row>
    <row r="249" spans="1:7" ht="25.5" customHeight="1" thickBot="1" x14ac:dyDescent="0.25">
      <c r="A249" s="639" t="s">
        <v>570</v>
      </c>
      <c r="B249" s="624"/>
      <c r="C249" s="624"/>
      <c r="D249" s="693"/>
      <c r="E249" s="689"/>
      <c r="F249" s="690"/>
      <c r="G249" s="691"/>
    </row>
    <row r="250" spans="1:7" ht="25.5" customHeight="1" thickBot="1" x14ac:dyDescent="0.25">
      <c r="A250" s="639" t="s">
        <v>571</v>
      </c>
      <c r="B250" s="624"/>
      <c r="C250" s="624"/>
      <c r="D250" s="693"/>
      <c r="E250" s="689"/>
      <c r="F250" s="690"/>
      <c r="G250" s="691"/>
    </row>
    <row r="251" spans="1:7" ht="25.5" customHeight="1" thickBot="1" x14ac:dyDescent="0.25">
      <c r="A251" s="639" t="s">
        <v>572</v>
      </c>
      <c r="B251" s="624"/>
      <c r="C251" s="624"/>
      <c r="D251" s="693"/>
      <c r="E251" s="689"/>
      <c r="F251" s="690"/>
      <c r="G251" s="691"/>
    </row>
    <row r="252" spans="1:7" ht="25.5" customHeight="1" thickBot="1" x14ac:dyDescent="0.25">
      <c r="A252" s="639" t="s">
        <v>573</v>
      </c>
      <c r="B252" s="624"/>
      <c r="C252" s="624"/>
      <c r="D252" s="693"/>
      <c r="E252" s="689"/>
      <c r="F252" s="690"/>
      <c r="G252" s="691"/>
    </row>
    <row r="253" spans="1:7" ht="25.5" customHeight="1" thickBot="1" x14ac:dyDescent="0.25">
      <c r="A253" s="639" t="s">
        <v>574</v>
      </c>
      <c r="B253" s="624"/>
      <c r="C253" s="624"/>
      <c r="D253" s="693"/>
      <c r="E253" s="689"/>
      <c r="F253" s="690"/>
      <c r="G253" s="691"/>
    </row>
    <row r="254" spans="1:7" ht="25.5" customHeight="1" thickBot="1" x14ac:dyDescent="0.25">
      <c r="A254" s="639" t="s">
        <v>575</v>
      </c>
      <c r="B254" s="624"/>
      <c r="C254" s="624"/>
      <c r="D254" s="693"/>
      <c r="E254" s="689"/>
      <c r="F254" s="690"/>
      <c r="G254" s="691"/>
    </row>
    <row r="255" spans="1:7" ht="25.5" customHeight="1" thickBot="1" x14ac:dyDescent="0.25">
      <c r="A255" s="639" t="s">
        <v>576</v>
      </c>
      <c r="B255" s="624"/>
      <c r="C255" s="624"/>
      <c r="D255" s="693"/>
      <c r="E255" s="689"/>
      <c r="F255" s="690"/>
      <c r="G255" s="691"/>
    </row>
    <row r="256" spans="1:7" ht="25.5" customHeight="1" thickBot="1" x14ac:dyDescent="0.25">
      <c r="A256" s="639" t="s">
        <v>585</v>
      </c>
      <c r="B256" s="624"/>
      <c r="C256" s="624"/>
      <c r="D256" s="693"/>
      <c r="E256" s="689"/>
      <c r="F256" s="690"/>
      <c r="G256" s="691"/>
    </row>
    <row r="257" spans="1:7" ht="25.5" customHeight="1" thickBot="1" x14ac:dyDescent="0.25">
      <c r="A257" s="639" t="s">
        <v>577</v>
      </c>
      <c r="B257" s="624"/>
      <c r="C257" s="624"/>
      <c r="D257" s="693"/>
      <c r="E257" s="689"/>
      <c r="F257" s="690"/>
      <c r="G257" s="691"/>
    </row>
    <row r="258" spans="1:7" ht="25.5" customHeight="1" thickBot="1" x14ac:dyDescent="0.25">
      <c r="A258" s="639" t="s">
        <v>578</v>
      </c>
      <c r="B258" s="624"/>
      <c r="C258" s="624"/>
      <c r="D258" s="693"/>
      <c r="E258" s="689"/>
      <c r="F258" s="690"/>
      <c r="G258" s="691"/>
    </row>
    <row r="259" spans="1:7" ht="25.5" customHeight="1" thickBot="1" x14ac:dyDescent="0.25">
      <c r="A259" s="639" t="s">
        <v>579</v>
      </c>
      <c r="B259" s="624"/>
      <c r="C259" s="624"/>
      <c r="D259" s="693"/>
      <c r="E259" s="689"/>
      <c r="F259" s="690"/>
      <c r="G259" s="691"/>
    </row>
    <row r="260" spans="1:7" ht="25.5" customHeight="1" thickBot="1" x14ac:dyDescent="0.25">
      <c r="A260" s="636" t="s">
        <v>586</v>
      </c>
      <c r="B260" s="637"/>
      <c r="C260" s="637"/>
      <c r="D260" s="693"/>
      <c r="E260" s="689"/>
      <c r="F260" s="690"/>
      <c r="G260" s="691"/>
    </row>
    <row r="261" spans="1:7" ht="25.5" customHeight="1" thickBot="1" x14ac:dyDescent="0.25">
      <c r="A261" s="639" t="s">
        <v>587</v>
      </c>
      <c r="B261" s="624"/>
      <c r="C261" s="624"/>
      <c r="D261" s="693"/>
      <c r="E261" s="689"/>
      <c r="F261" s="690"/>
      <c r="G261" s="691"/>
    </row>
    <row r="262" spans="1:7" ht="12.75" customHeight="1" thickBot="1" x14ac:dyDescent="0.25">
      <c r="A262" s="402"/>
      <c r="B262" s="403"/>
      <c r="C262" s="403"/>
      <c r="D262" s="401"/>
      <c r="E262" s="401"/>
      <c r="F262" s="401"/>
      <c r="G262" s="404"/>
    </row>
    <row r="263" spans="1:7" ht="12.75" customHeight="1" thickBot="1" x14ac:dyDescent="0.25">
      <c r="A263" s="399"/>
      <c r="B263" s="399"/>
      <c r="C263" s="399"/>
      <c r="D263" s="396"/>
      <c r="E263" s="396"/>
      <c r="F263" s="396"/>
      <c r="G263" s="396"/>
    </row>
    <row r="264" spans="1:7" ht="12.75" customHeight="1" thickBot="1" x14ac:dyDescent="0.25">
      <c r="A264" s="628" t="s">
        <v>581</v>
      </c>
      <c r="B264" s="629"/>
      <c r="C264" s="630"/>
      <c r="D264" s="400"/>
      <c r="E264" s="401"/>
      <c r="F264" s="401"/>
      <c r="G264" s="401"/>
    </row>
    <row r="265" spans="1:7" ht="25.5" customHeight="1" thickBot="1" x14ac:dyDescent="0.25">
      <c r="A265" s="643" t="s">
        <v>580</v>
      </c>
      <c r="B265" s="632"/>
      <c r="C265" s="632"/>
      <c r="D265" s="692"/>
      <c r="E265" s="634"/>
      <c r="F265" s="694"/>
      <c r="G265" s="695"/>
    </row>
    <row r="266" spans="1:7" ht="25.5" customHeight="1" thickBot="1" x14ac:dyDescent="0.25">
      <c r="A266" s="639" t="s">
        <v>565</v>
      </c>
      <c r="B266" s="624"/>
      <c r="C266" s="624"/>
      <c r="D266" s="693"/>
      <c r="E266" s="689"/>
      <c r="F266" s="690"/>
      <c r="G266" s="691"/>
    </row>
    <row r="267" spans="1:7" ht="12.75" customHeight="1" thickBot="1" x14ac:dyDescent="0.25">
      <c r="A267" s="402"/>
      <c r="B267" s="403"/>
      <c r="C267" s="403"/>
      <c r="D267" s="401"/>
      <c r="E267" s="401"/>
      <c r="F267" s="401"/>
      <c r="G267" s="404"/>
    </row>
    <row r="268" spans="1:7" ht="12.75" customHeight="1" thickBot="1" x14ac:dyDescent="0.25">
      <c r="A268" s="390"/>
      <c r="B268" s="390"/>
      <c r="C268" s="390"/>
      <c r="D268" s="396"/>
      <c r="E268" s="396"/>
      <c r="F268" s="396"/>
      <c r="G268" s="396"/>
    </row>
    <row r="269" spans="1:7" ht="12.75" customHeight="1" thickBot="1" x14ac:dyDescent="0.25">
      <c r="A269" s="628" t="s">
        <v>583</v>
      </c>
      <c r="B269" s="629"/>
      <c r="C269" s="630"/>
      <c r="D269" s="400"/>
      <c r="E269" s="401"/>
      <c r="F269" s="401"/>
      <c r="G269" s="401"/>
    </row>
    <row r="270" spans="1:7" ht="25.5" customHeight="1" thickBot="1" x14ac:dyDescent="0.25">
      <c r="A270" s="643" t="s">
        <v>566</v>
      </c>
      <c r="B270" s="632"/>
      <c r="C270" s="632"/>
      <c r="D270" s="692"/>
      <c r="E270" s="634"/>
      <c r="F270" s="694"/>
      <c r="G270" s="695"/>
    </row>
    <row r="271" spans="1:7" ht="25.5" customHeight="1" thickBot="1" x14ac:dyDescent="0.25">
      <c r="A271" s="639" t="s">
        <v>567</v>
      </c>
      <c r="B271" s="624"/>
      <c r="C271" s="624"/>
      <c r="D271" s="693"/>
      <c r="E271" s="689"/>
      <c r="F271" s="690"/>
      <c r="G271" s="691"/>
    </row>
    <row r="272" spans="1:7" ht="12.75" customHeight="1" thickBot="1" x14ac:dyDescent="0.25">
      <c r="A272" s="402"/>
      <c r="B272" s="403"/>
      <c r="C272" s="403"/>
      <c r="D272" s="401"/>
      <c r="E272" s="401"/>
      <c r="F272" s="401"/>
      <c r="G272" s="404"/>
    </row>
    <row r="273" spans="1:7" ht="12.75" customHeight="1" thickBot="1" x14ac:dyDescent="0.25">
      <c r="A273" s="390"/>
      <c r="B273" s="390"/>
      <c r="C273" s="390"/>
      <c r="D273" s="396"/>
      <c r="E273" s="396"/>
      <c r="F273" s="396"/>
      <c r="G273" s="396"/>
    </row>
    <row r="274" spans="1:7" ht="12.75" customHeight="1" thickBot="1" x14ac:dyDescent="0.25">
      <c r="A274" s="628" t="s">
        <v>584</v>
      </c>
      <c r="B274" s="629"/>
      <c r="C274" s="630"/>
      <c r="D274" s="400"/>
      <c r="E274" s="401"/>
      <c r="F274" s="401"/>
      <c r="G274" s="401"/>
    </row>
    <row r="275" spans="1:7" ht="25.5" customHeight="1" thickBot="1" x14ac:dyDescent="0.25">
      <c r="A275" s="631" t="s">
        <v>568</v>
      </c>
      <c r="B275" s="632"/>
      <c r="C275" s="632"/>
      <c r="D275" s="692"/>
      <c r="E275" s="634"/>
      <c r="F275" s="694"/>
      <c r="G275" s="695"/>
    </row>
    <row r="276" spans="1:7" ht="25.5" customHeight="1" thickBot="1" x14ac:dyDescent="0.25">
      <c r="A276" s="623" t="s">
        <v>569</v>
      </c>
      <c r="B276" s="624"/>
      <c r="C276" s="624"/>
      <c r="D276" s="693"/>
      <c r="E276" s="689"/>
      <c r="F276" s="690"/>
      <c r="G276" s="691"/>
    </row>
    <row r="277" spans="1:7" ht="25.5" customHeight="1" thickBot="1" x14ac:dyDescent="0.25">
      <c r="A277" s="623" t="s">
        <v>570</v>
      </c>
      <c r="B277" s="624"/>
      <c r="C277" s="624"/>
      <c r="D277" s="693"/>
      <c r="E277" s="689"/>
      <c r="F277" s="690"/>
      <c r="G277" s="691"/>
    </row>
    <row r="278" spans="1:7" ht="25.5" customHeight="1" thickBot="1" x14ac:dyDescent="0.25">
      <c r="A278" s="623" t="s">
        <v>571</v>
      </c>
      <c r="B278" s="624"/>
      <c r="C278" s="624"/>
      <c r="D278" s="693"/>
      <c r="E278" s="689"/>
      <c r="F278" s="690"/>
      <c r="G278" s="691"/>
    </row>
    <row r="279" spans="1:7" ht="25.5" customHeight="1" thickBot="1" x14ac:dyDescent="0.25">
      <c r="A279" s="623" t="s">
        <v>572</v>
      </c>
      <c r="B279" s="624"/>
      <c r="C279" s="624"/>
      <c r="D279" s="693"/>
      <c r="E279" s="689"/>
      <c r="F279" s="690"/>
      <c r="G279" s="691"/>
    </row>
    <row r="280" spans="1:7" ht="25.5" customHeight="1" thickBot="1" x14ac:dyDescent="0.25">
      <c r="A280" s="623" t="s">
        <v>573</v>
      </c>
      <c r="B280" s="624"/>
      <c r="C280" s="624"/>
      <c r="D280" s="693"/>
      <c r="E280" s="689"/>
      <c r="F280" s="690"/>
      <c r="G280" s="691"/>
    </row>
    <row r="281" spans="1:7" ht="25.5" customHeight="1" thickBot="1" x14ac:dyDescent="0.25">
      <c r="A281" s="623" t="s">
        <v>574</v>
      </c>
      <c r="B281" s="624"/>
      <c r="C281" s="624"/>
      <c r="D281" s="693"/>
      <c r="E281" s="689"/>
      <c r="F281" s="690"/>
      <c r="G281" s="691"/>
    </row>
    <row r="282" spans="1:7" ht="25.5" customHeight="1" thickBot="1" x14ac:dyDescent="0.25">
      <c r="A282" s="623" t="s">
        <v>575</v>
      </c>
      <c r="B282" s="624"/>
      <c r="C282" s="624"/>
      <c r="D282" s="693"/>
      <c r="E282" s="689"/>
      <c r="F282" s="690"/>
      <c r="G282" s="691"/>
    </row>
    <row r="283" spans="1:7" ht="25.5" customHeight="1" thickBot="1" x14ac:dyDescent="0.25">
      <c r="A283" s="623" t="s">
        <v>576</v>
      </c>
      <c r="B283" s="624"/>
      <c r="C283" s="624"/>
      <c r="D283" s="693"/>
      <c r="E283" s="689"/>
      <c r="F283" s="690"/>
      <c r="G283" s="691"/>
    </row>
    <row r="284" spans="1:7" ht="25.5" customHeight="1" thickBot="1" x14ac:dyDescent="0.25">
      <c r="A284" s="639" t="s">
        <v>585</v>
      </c>
      <c r="B284" s="624"/>
      <c r="C284" s="624"/>
      <c r="D284" s="693"/>
      <c r="E284" s="689"/>
      <c r="F284" s="690"/>
      <c r="G284" s="691"/>
    </row>
    <row r="285" spans="1:7" ht="25.5" customHeight="1" thickBot="1" x14ac:dyDescent="0.25">
      <c r="A285" s="623" t="s">
        <v>577</v>
      </c>
      <c r="B285" s="624"/>
      <c r="C285" s="624"/>
      <c r="D285" s="693"/>
      <c r="E285" s="689"/>
      <c r="F285" s="690"/>
      <c r="G285" s="691"/>
    </row>
    <row r="286" spans="1:7" ht="25.5" customHeight="1" thickBot="1" x14ac:dyDescent="0.25">
      <c r="A286" s="623" t="s">
        <v>578</v>
      </c>
      <c r="B286" s="624"/>
      <c r="C286" s="624"/>
      <c r="D286" s="693"/>
      <c r="E286" s="689"/>
      <c r="F286" s="690"/>
      <c r="G286" s="691"/>
    </row>
    <row r="287" spans="1:7" ht="25.5" customHeight="1" thickBot="1" x14ac:dyDescent="0.25">
      <c r="A287" s="623" t="s">
        <v>579</v>
      </c>
      <c r="B287" s="624"/>
      <c r="C287" s="624"/>
      <c r="D287" s="693"/>
      <c r="E287" s="689"/>
      <c r="F287" s="690"/>
      <c r="G287" s="691"/>
    </row>
    <row r="288" spans="1:7" ht="13.5" thickBot="1" x14ac:dyDescent="0.25">
      <c r="A288" s="405"/>
      <c r="B288" s="406"/>
      <c r="C288" s="406"/>
      <c r="D288" s="406"/>
      <c r="E288" s="406"/>
      <c r="F288" s="406"/>
      <c r="G288" s="407"/>
    </row>
  </sheetData>
  <sheetProtection selectLockedCells="1" selectUnlockedCells="1"/>
  <mergeCells count="166">
    <mergeCell ref="A130:B130"/>
    <mergeCell ref="C130:D130"/>
    <mergeCell ref="E130:F130"/>
    <mergeCell ref="A135:B135"/>
    <mergeCell ref="C135:D135"/>
    <mergeCell ref="E135:F135"/>
    <mergeCell ref="A136:B136"/>
    <mergeCell ref="C136:D136"/>
    <mergeCell ref="E136:F136"/>
    <mergeCell ref="E133:F133"/>
    <mergeCell ref="A134:B134"/>
    <mergeCell ref="C134:D134"/>
    <mergeCell ref="E134:F134"/>
    <mergeCell ref="A137:B137"/>
    <mergeCell ref="C137:D137"/>
    <mergeCell ref="E137:F137"/>
    <mergeCell ref="A138:B138"/>
    <mergeCell ref="C138:D138"/>
    <mergeCell ref="E138:F138"/>
    <mergeCell ref="E123:F123"/>
    <mergeCell ref="A124:B124"/>
    <mergeCell ref="C124:D124"/>
    <mergeCell ref="E124:F124"/>
    <mergeCell ref="A125:B125"/>
    <mergeCell ref="C125:D125"/>
    <mergeCell ref="E125:F125"/>
    <mergeCell ref="A126:B126"/>
    <mergeCell ref="C126:D126"/>
    <mergeCell ref="E126:F126"/>
    <mergeCell ref="A131:B131"/>
    <mergeCell ref="C131:D131"/>
    <mergeCell ref="E131:F131"/>
    <mergeCell ref="A132:B132"/>
    <mergeCell ref="C132:D132"/>
    <mergeCell ref="E132:F132"/>
    <mergeCell ref="A133:B133"/>
    <mergeCell ref="C133:D133"/>
    <mergeCell ref="E197:G197"/>
    <mergeCell ref="A199:G202"/>
    <mergeCell ref="D187:G187"/>
    <mergeCell ref="B189:G189"/>
    <mergeCell ref="B191:G191"/>
    <mergeCell ref="A227:D227"/>
    <mergeCell ref="A216:G220"/>
    <mergeCell ref="A206:G206"/>
    <mergeCell ref="A205:G205"/>
    <mergeCell ref="A208:G208"/>
    <mergeCell ref="A210:G211"/>
    <mergeCell ref="E227:G227"/>
    <mergeCell ref="E225:G225"/>
    <mergeCell ref="E226:G226"/>
    <mergeCell ref="A222:G224"/>
    <mergeCell ref="A225:D225"/>
    <mergeCell ref="A226:D226"/>
    <mergeCell ref="A185:G185"/>
    <mergeCell ref="D177:E177"/>
    <mergeCell ref="D178:E178"/>
    <mergeCell ref="A159:G159"/>
    <mergeCell ref="A140:G141"/>
    <mergeCell ref="A142:G143"/>
    <mergeCell ref="D179:E179"/>
    <mergeCell ref="A175:G175"/>
    <mergeCell ref="A182:G182"/>
    <mergeCell ref="A160:G160"/>
    <mergeCell ref="A162:G164"/>
    <mergeCell ref="A165:G170"/>
    <mergeCell ref="A171:G172"/>
    <mergeCell ref="D18:F18"/>
    <mergeCell ref="A119:G119"/>
    <mergeCell ref="A120:B121"/>
    <mergeCell ref="C120:D120"/>
    <mergeCell ref="E120:G120"/>
    <mergeCell ref="C121:D121"/>
    <mergeCell ref="E121:F121"/>
    <mergeCell ref="A122:B122"/>
    <mergeCell ref="C122:D122"/>
    <mergeCell ref="E122:F122"/>
    <mergeCell ref="A123:B123"/>
    <mergeCell ref="C123:D123"/>
    <mergeCell ref="A247:D247"/>
    <mergeCell ref="A242:D242"/>
    <mergeCell ref="A243:D243"/>
    <mergeCell ref="A237:D237"/>
    <mergeCell ref="A238:D238"/>
    <mergeCell ref="E237:G237"/>
    <mergeCell ref="E238:G238"/>
    <mergeCell ref="E242:G242"/>
    <mergeCell ref="E243:G243"/>
    <mergeCell ref="E247:G247"/>
    <mergeCell ref="A236:G236"/>
    <mergeCell ref="A241:C241"/>
    <mergeCell ref="A246:C246"/>
    <mergeCell ref="A127:B127"/>
    <mergeCell ref="C127:D127"/>
    <mergeCell ref="E127:F127"/>
    <mergeCell ref="A128:B128"/>
    <mergeCell ref="C128:D128"/>
    <mergeCell ref="E128:F128"/>
    <mergeCell ref="A129:B129"/>
    <mergeCell ref="C129:D129"/>
    <mergeCell ref="E129:F129"/>
    <mergeCell ref="A248:D248"/>
    <mergeCell ref="A249:D249"/>
    <mergeCell ref="A250:D250"/>
    <mergeCell ref="A251:D251"/>
    <mergeCell ref="A252:D252"/>
    <mergeCell ref="E248:G248"/>
    <mergeCell ref="E249:G249"/>
    <mergeCell ref="E250:G250"/>
    <mergeCell ref="E251:G251"/>
    <mergeCell ref="E252:G252"/>
    <mergeCell ref="E284:G284"/>
    <mergeCell ref="E285:G285"/>
    <mergeCell ref="E286:G286"/>
    <mergeCell ref="E277:G277"/>
    <mergeCell ref="E278:G278"/>
    <mergeCell ref="E279:G279"/>
    <mergeCell ref="E280:G280"/>
    <mergeCell ref="E281:G281"/>
    <mergeCell ref="E275:G275"/>
    <mergeCell ref="E276:G276"/>
    <mergeCell ref="A264:C264"/>
    <mergeCell ref="A269:C269"/>
    <mergeCell ref="A274:C274"/>
    <mergeCell ref="A255:D255"/>
    <mergeCell ref="A256:D256"/>
    <mergeCell ref="A257:D257"/>
    <mergeCell ref="A258:D258"/>
    <mergeCell ref="A259:D259"/>
    <mergeCell ref="A260:D260"/>
    <mergeCell ref="A261:D261"/>
    <mergeCell ref="E258:G258"/>
    <mergeCell ref="E259:G259"/>
    <mergeCell ref="E260:G260"/>
    <mergeCell ref="E261:G261"/>
    <mergeCell ref="A253:D253"/>
    <mergeCell ref="A254:D254"/>
    <mergeCell ref="E253:G253"/>
    <mergeCell ref="E254:G254"/>
    <mergeCell ref="E255:G255"/>
    <mergeCell ref="E256:G256"/>
    <mergeCell ref="E257:G257"/>
    <mergeCell ref="E287:G287"/>
    <mergeCell ref="A270:D270"/>
    <mergeCell ref="A271:D271"/>
    <mergeCell ref="A266:D266"/>
    <mergeCell ref="A265:D265"/>
    <mergeCell ref="E265:G265"/>
    <mergeCell ref="E266:G266"/>
    <mergeCell ref="E270:G270"/>
    <mergeCell ref="E271:G271"/>
    <mergeCell ref="A287:D287"/>
    <mergeCell ref="A275:D275"/>
    <mergeCell ref="A276:D276"/>
    <mergeCell ref="A277:D277"/>
    <mergeCell ref="A278:D278"/>
    <mergeCell ref="A279:D279"/>
    <mergeCell ref="A280:D280"/>
    <mergeCell ref="A281:D281"/>
    <mergeCell ref="A282:D282"/>
    <mergeCell ref="A283:D283"/>
    <mergeCell ref="A284:D284"/>
    <mergeCell ref="A285:D285"/>
    <mergeCell ref="A286:D286"/>
    <mergeCell ref="E282:G282"/>
    <mergeCell ref="E283:G283"/>
  </mergeCells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
propuesta válido por 15 días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9"/>
  <sheetViews>
    <sheetView topLeftCell="B1" workbookViewId="0">
      <pane ySplit="1" topLeftCell="A2" activePane="bottomLeft" state="frozen"/>
      <selection sqref="A1:H8"/>
      <selection pane="bottomLeft" activeCell="B2" sqref="B2"/>
    </sheetView>
  </sheetViews>
  <sheetFormatPr defaultRowHeight="10.5" x14ac:dyDescent="0.15"/>
  <cols>
    <col min="1" max="1" width="0.42578125" style="359" hidden="1" customWidth="1"/>
    <col min="2" max="2" width="46.28515625" style="359" bestFit="1" customWidth="1"/>
    <col min="3" max="3" width="40.28515625" style="359" bestFit="1" customWidth="1"/>
    <col min="4" max="4" width="75.5703125" style="359" bestFit="1" customWidth="1"/>
    <col min="5" max="16384" width="9.140625" style="359"/>
  </cols>
  <sheetData>
    <row r="1" spans="1:4" ht="13.5" thickBot="1" x14ac:dyDescent="0.25">
      <c r="B1" s="705" t="s">
        <v>472</v>
      </c>
      <c r="C1" s="706"/>
      <c r="D1" s="707"/>
    </row>
    <row r="3" spans="1:4" ht="13.5" customHeight="1" thickBot="1" x14ac:dyDescent="0.2">
      <c r="B3" s="700" t="s">
        <v>353</v>
      </c>
      <c r="C3" s="701"/>
      <c r="D3" s="702"/>
    </row>
    <row r="4" spans="1:4" ht="11.25" thickTop="1" x14ac:dyDescent="0.15">
      <c r="A4" s="360" t="s">
        <v>471</v>
      </c>
      <c r="B4" s="360" t="s">
        <v>354</v>
      </c>
      <c r="C4" s="360" t="s">
        <v>355</v>
      </c>
      <c r="D4" s="360" t="s">
        <v>356</v>
      </c>
    </row>
    <row r="5" spans="1:4" x14ac:dyDescent="0.15">
      <c r="A5" s="361" t="s">
        <v>357</v>
      </c>
      <c r="B5" s="361" t="s">
        <v>353</v>
      </c>
      <c r="C5" s="371" t="str">
        <f>IF(Cust_Company="",Cust_FirstName&amp;" "&amp;Cust_LastName,Cust_Company)</f>
        <v xml:space="preserve"> </v>
      </c>
      <c r="D5" s="361" t="s">
        <v>358</v>
      </c>
    </row>
    <row r="6" spans="1:4" x14ac:dyDescent="0.15">
      <c r="A6" s="362" t="s">
        <v>359</v>
      </c>
      <c r="B6" s="410" t="s">
        <v>588</v>
      </c>
      <c r="C6" s="353"/>
      <c r="D6" s="362" t="s">
        <v>360</v>
      </c>
    </row>
    <row r="7" spans="1:4" x14ac:dyDescent="0.15">
      <c r="A7" s="362" t="s">
        <v>361</v>
      </c>
      <c r="B7" s="410" t="s">
        <v>589</v>
      </c>
      <c r="C7" s="353"/>
      <c r="D7" s="362" t="s">
        <v>362</v>
      </c>
    </row>
    <row r="8" spans="1:4" x14ac:dyDescent="0.15">
      <c r="A8" s="362" t="s">
        <v>363</v>
      </c>
      <c r="B8" s="362" t="s">
        <v>22</v>
      </c>
      <c r="C8" s="363" t="str">
        <f>IF(Cust_Address="","",IF(Cust_Colonia="",Cust_Address,Cust_Address&amp;", Col. "&amp;Cust_Colonia))</f>
        <v/>
      </c>
      <c r="D8" s="385" t="s">
        <v>511</v>
      </c>
    </row>
    <row r="9" spans="1:4" x14ac:dyDescent="0.15">
      <c r="A9" s="362" t="s">
        <v>364</v>
      </c>
      <c r="B9" s="362" t="s">
        <v>23</v>
      </c>
      <c r="C9" s="363" t="str">
        <f>IF(Cust_City="","",Cust_City)</f>
        <v/>
      </c>
      <c r="D9" s="385" t="s">
        <v>512</v>
      </c>
    </row>
    <row r="10" spans="1:4" x14ac:dyDescent="0.15">
      <c r="A10" s="362" t="s">
        <v>365</v>
      </c>
      <c r="B10" s="362" t="s">
        <v>24</v>
      </c>
      <c r="C10" s="363" t="str">
        <f>IF(Cust_State="","",Cust_State)</f>
        <v>Gto.</v>
      </c>
      <c r="D10" s="385" t="s">
        <v>513</v>
      </c>
    </row>
    <row r="11" spans="1:4" x14ac:dyDescent="0.15">
      <c r="A11" s="362" t="s">
        <v>366</v>
      </c>
      <c r="B11" s="362" t="s">
        <v>25</v>
      </c>
      <c r="C11" s="363" t="str">
        <f>IF(Cust_Zip="","",Cust_Zip)</f>
        <v/>
      </c>
      <c r="D11" s="385" t="s">
        <v>514</v>
      </c>
    </row>
    <row r="12" spans="1:4" x14ac:dyDescent="0.15">
      <c r="A12" s="362" t="s">
        <v>367</v>
      </c>
      <c r="B12" s="362" t="s">
        <v>439</v>
      </c>
      <c r="C12" s="412"/>
      <c r="D12" s="362" t="s">
        <v>368</v>
      </c>
    </row>
    <row r="13" spans="1:4" x14ac:dyDescent="0.15">
      <c r="A13" s="362" t="s">
        <v>369</v>
      </c>
      <c r="B13" s="362" t="s">
        <v>438</v>
      </c>
      <c r="C13" s="412"/>
      <c r="D13" s="362" t="s">
        <v>370</v>
      </c>
    </row>
    <row r="14" spans="1:4" x14ac:dyDescent="0.15">
      <c r="A14" s="362" t="s">
        <v>371</v>
      </c>
      <c r="B14" s="362" t="s">
        <v>440</v>
      </c>
      <c r="C14" s="125" t="s">
        <v>372</v>
      </c>
      <c r="D14" s="362" t="s">
        <v>373</v>
      </c>
    </row>
    <row r="15" spans="1:4" x14ac:dyDescent="0.15">
      <c r="A15" s="362" t="s">
        <v>374</v>
      </c>
      <c r="B15" s="362" t="s">
        <v>441</v>
      </c>
      <c r="C15" s="413"/>
      <c r="D15" s="362" t="s">
        <v>375</v>
      </c>
    </row>
    <row r="16" spans="1:4" x14ac:dyDescent="0.15">
      <c r="A16" s="362" t="s">
        <v>376</v>
      </c>
      <c r="B16" s="362" t="s">
        <v>442</v>
      </c>
      <c r="C16" s="413"/>
      <c r="D16" s="398" t="s">
        <v>536</v>
      </c>
    </row>
    <row r="17" spans="1:4" x14ac:dyDescent="0.15">
      <c r="A17" s="362" t="s">
        <v>377</v>
      </c>
      <c r="B17" s="362" t="s">
        <v>443</v>
      </c>
      <c r="C17" s="413"/>
      <c r="D17" s="362" t="s">
        <v>378</v>
      </c>
    </row>
    <row r="18" spans="1:4" x14ac:dyDescent="0.15">
      <c r="A18" s="362" t="s">
        <v>379</v>
      </c>
      <c r="B18" s="362" t="s">
        <v>444</v>
      </c>
      <c r="C18" s="376">
        <f>Cust_LeaseTermYears</f>
        <v>10</v>
      </c>
      <c r="D18" s="385" t="s">
        <v>515</v>
      </c>
    </row>
    <row r="19" spans="1:4" x14ac:dyDescent="0.15">
      <c r="A19" s="362" t="s">
        <v>446</v>
      </c>
      <c r="B19" s="362" t="s">
        <v>241</v>
      </c>
      <c r="C19" s="374">
        <f>Cust_SavingsRate</f>
        <v>0.2</v>
      </c>
      <c r="D19" s="362" t="s">
        <v>448</v>
      </c>
    </row>
    <row r="20" spans="1:4" x14ac:dyDescent="0.15">
      <c r="A20" s="362" t="s">
        <v>380</v>
      </c>
      <c r="B20" s="362" t="s">
        <v>445</v>
      </c>
      <c r="C20" s="372">
        <f>Sys_kWhPerYear</f>
        <v>15141.8089565886</v>
      </c>
      <c r="D20" s="362" t="s">
        <v>381</v>
      </c>
    </row>
    <row r="21" spans="1:4" x14ac:dyDescent="0.15">
      <c r="A21" s="362" t="s">
        <v>382</v>
      </c>
      <c r="B21" s="362" t="s">
        <v>28</v>
      </c>
      <c r="C21" s="372">
        <f>Cust_InitialPymt</f>
        <v>12446.491187147098</v>
      </c>
      <c r="D21" s="385" t="s">
        <v>510</v>
      </c>
    </row>
    <row r="22" spans="1:4" x14ac:dyDescent="0.15">
      <c r="A22" s="362" t="s">
        <v>383</v>
      </c>
      <c r="B22" s="362" t="s">
        <v>447</v>
      </c>
      <c r="C22" s="372">
        <f>IF(Sys_kWhPerYear=0,"",Savings!AB6/12)</f>
        <v>5628.8362506008561</v>
      </c>
      <c r="D22" s="385" t="s">
        <v>509</v>
      </c>
    </row>
    <row r="23" spans="1:4" x14ac:dyDescent="0.15">
      <c r="A23" s="364" t="s">
        <v>384</v>
      </c>
      <c r="B23" s="364" t="s">
        <v>449</v>
      </c>
      <c r="C23" s="373">
        <f>FinYrIncr</f>
        <v>3.5000000000000003E-2</v>
      </c>
      <c r="D23" s="384" t="s">
        <v>516</v>
      </c>
    </row>
    <row r="24" spans="1:4" x14ac:dyDescent="0.15">
      <c r="A24" s="365"/>
      <c r="B24" s="370"/>
      <c r="C24" s="366"/>
      <c r="D24" s="367"/>
    </row>
    <row r="25" spans="1:4" x14ac:dyDescent="0.15">
      <c r="A25" s="369"/>
      <c r="B25" s="375" t="s">
        <v>385</v>
      </c>
      <c r="C25" s="368"/>
      <c r="D25" s="367"/>
    </row>
    <row r="26" spans="1:4" x14ac:dyDescent="0.15">
      <c r="A26" s="361" t="s">
        <v>386</v>
      </c>
      <c r="B26" s="361" t="s">
        <v>451</v>
      </c>
      <c r="C26" s="414"/>
      <c r="D26" s="361" t="s">
        <v>387</v>
      </c>
    </row>
    <row r="27" spans="1:4" x14ac:dyDescent="0.15">
      <c r="A27" s="364" t="s">
        <v>388</v>
      </c>
      <c r="B27" s="411" t="s">
        <v>590</v>
      </c>
      <c r="C27" s="415"/>
      <c r="D27" s="364" t="s">
        <v>389</v>
      </c>
    </row>
    <row r="28" spans="1:4" x14ac:dyDescent="0.15">
      <c r="A28" s="365"/>
      <c r="B28" s="370"/>
      <c r="C28" s="370"/>
      <c r="D28" s="367"/>
    </row>
    <row r="29" spans="1:4" x14ac:dyDescent="0.15">
      <c r="A29" s="369"/>
      <c r="B29" s="375" t="s">
        <v>390</v>
      </c>
      <c r="C29" s="370"/>
      <c r="D29" s="367"/>
    </row>
    <row r="30" spans="1:4" x14ac:dyDescent="0.15">
      <c r="A30" s="361" t="s">
        <v>391</v>
      </c>
      <c r="B30" s="361" t="s">
        <v>452</v>
      </c>
      <c r="C30" s="416"/>
      <c r="D30" s="361" t="s">
        <v>392</v>
      </c>
    </row>
    <row r="31" spans="1:4" x14ac:dyDescent="0.15">
      <c r="A31" s="362" t="s">
        <v>393</v>
      </c>
      <c r="B31" s="362" t="s">
        <v>453</v>
      </c>
      <c r="C31" s="417"/>
      <c r="D31" s="398" t="s">
        <v>537</v>
      </c>
    </row>
    <row r="32" spans="1:4" x14ac:dyDescent="0.15">
      <c r="A32" s="362" t="s">
        <v>394</v>
      </c>
      <c r="B32" s="362" t="s">
        <v>459</v>
      </c>
      <c r="C32" s="413"/>
      <c r="D32" s="362" t="s">
        <v>395</v>
      </c>
    </row>
    <row r="33" spans="1:4" x14ac:dyDescent="0.15">
      <c r="A33" s="362" t="s">
        <v>396</v>
      </c>
      <c r="B33" s="362" t="s">
        <v>455</v>
      </c>
      <c r="C33" s="412"/>
      <c r="D33" s="362" t="s">
        <v>397</v>
      </c>
    </row>
    <row r="34" spans="1:4" x14ac:dyDescent="0.15">
      <c r="A34" s="362" t="s">
        <v>398</v>
      </c>
      <c r="B34" s="362" t="s">
        <v>456</v>
      </c>
      <c r="C34" s="412"/>
      <c r="D34" s="362" t="s">
        <v>399</v>
      </c>
    </row>
    <row r="35" spans="1:4" x14ac:dyDescent="0.15">
      <c r="A35" s="362" t="s">
        <v>400</v>
      </c>
      <c r="B35" s="362" t="s">
        <v>457</v>
      </c>
      <c r="C35" s="412"/>
      <c r="D35" s="398" t="s">
        <v>522</v>
      </c>
    </row>
    <row r="36" spans="1:4" x14ac:dyDescent="0.15">
      <c r="A36" s="362" t="s">
        <v>401</v>
      </c>
      <c r="B36" s="362" t="s">
        <v>458</v>
      </c>
      <c r="C36" s="413"/>
      <c r="D36" s="362" t="s">
        <v>402</v>
      </c>
    </row>
    <row r="37" spans="1:4" x14ac:dyDescent="0.15">
      <c r="A37" s="362" t="s">
        <v>403</v>
      </c>
      <c r="B37" s="362" t="s">
        <v>454</v>
      </c>
      <c r="C37" s="412"/>
      <c r="D37" s="362" t="s">
        <v>404</v>
      </c>
    </row>
    <row r="38" spans="1:4" x14ac:dyDescent="0.15">
      <c r="A38" s="362" t="s">
        <v>405</v>
      </c>
      <c r="B38" s="362" t="s">
        <v>524</v>
      </c>
      <c r="C38" s="413"/>
      <c r="D38" s="362" t="s">
        <v>406</v>
      </c>
    </row>
    <row r="39" spans="1:4" x14ac:dyDescent="0.15">
      <c r="A39" s="362" t="s">
        <v>407</v>
      </c>
      <c r="B39" s="362" t="s">
        <v>525</v>
      </c>
      <c r="C39" s="417"/>
      <c r="D39" s="398" t="s">
        <v>538</v>
      </c>
    </row>
    <row r="40" spans="1:4" x14ac:dyDescent="0.15">
      <c r="A40" s="362" t="s">
        <v>408</v>
      </c>
      <c r="B40" s="362" t="s">
        <v>526</v>
      </c>
      <c r="C40" s="413"/>
      <c r="D40" s="362" t="s">
        <v>409</v>
      </c>
    </row>
    <row r="41" spans="1:4" x14ac:dyDescent="0.15">
      <c r="A41" s="362" t="s">
        <v>410</v>
      </c>
      <c r="B41" s="362" t="s">
        <v>527</v>
      </c>
      <c r="C41" s="412"/>
      <c r="D41" s="362" t="s">
        <v>411</v>
      </c>
    </row>
    <row r="42" spans="1:4" x14ac:dyDescent="0.15">
      <c r="A42" s="362" t="s">
        <v>412</v>
      </c>
      <c r="B42" s="362" t="s">
        <v>528</v>
      </c>
      <c r="C42" s="412"/>
      <c r="D42" s="362" t="s">
        <v>413</v>
      </c>
    </row>
    <row r="43" spans="1:4" x14ac:dyDescent="0.15">
      <c r="A43" s="362" t="s">
        <v>414</v>
      </c>
      <c r="B43" s="362" t="s">
        <v>529</v>
      </c>
      <c r="C43" s="412"/>
      <c r="D43" s="398" t="s">
        <v>523</v>
      </c>
    </row>
    <row r="44" spans="1:4" x14ac:dyDescent="0.15">
      <c r="A44" s="364" t="s">
        <v>415</v>
      </c>
      <c r="B44" s="364" t="s">
        <v>530</v>
      </c>
      <c r="C44" s="415"/>
      <c r="D44" s="364" t="s">
        <v>416</v>
      </c>
    </row>
    <row r="47" spans="1:4" ht="13.5" thickBot="1" x14ac:dyDescent="0.25">
      <c r="B47" s="700" t="s">
        <v>417</v>
      </c>
      <c r="C47" s="703"/>
      <c r="D47" s="704"/>
    </row>
    <row r="48" spans="1:4" ht="11.25" thickTop="1" x14ac:dyDescent="0.15">
      <c r="A48" s="360" t="s">
        <v>471</v>
      </c>
      <c r="B48" s="360" t="s">
        <v>354</v>
      </c>
      <c r="C48" s="360" t="s">
        <v>355</v>
      </c>
      <c r="D48" s="360" t="s">
        <v>356</v>
      </c>
    </row>
    <row r="49" spans="1:4" x14ac:dyDescent="0.15">
      <c r="A49" s="361" t="s">
        <v>418</v>
      </c>
      <c r="B49" s="361" t="s">
        <v>417</v>
      </c>
      <c r="C49" s="414"/>
      <c r="D49" s="361" t="s">
        <v>419</v>
      </c>
    </row>
    <row r="50" spans="1:4" x14ac:dyDescent="0.15">
      <c r="A50" s="364" t="s">
        <v>420</v>
      </c>
      <c r="B50" s="364" t="s">
        <v>460</v>
      </c>
      <c r="C50" s="418"/>
      <c r="D50" s="364" t="s">
        <v>421</v>
      </c>
    </row>
    <row r="51" spans="1:4" x14ac:dyDescent="0.15">
      <c r="A51" s="365"/>
      <c r="B51" s="370"/>
      <c r="C51" s="368"/>
      <c r="D51" s="367"/>
    </row>
    <row r="52" spans="1:4" x14ac:dyDescent="0.15">
      <c r="A52" s="369"/>
      <c r="B52" s="375" t="s">
        <v>422</v>
      </c>
      <c r="C52" s="368"/>
      <c r="D52" s="367"/>
    </row>
    <row r="53" spans="1:4" x14ac:dyDescent="0.15">
      <c r="A53" s="361" t="s">
        <v>423</v>
      </c>
      <c r="B53" s="361" t="s">
        <v>461</v>
      </c>
      <c r="C53" s="414"/>
      <c r="D53" s="361" t="s">
        <v>387</v>
      </c>
    </row>
    <row r="54" spans="1:4" x14ac:dyDescent="0.15">
      <c r="A54" s="364" t="s">
        <v>424</v>
      </c>
      <c r="B54" s="411" t="s">
        <v>553</v>
      </c>
      <c r="C54" s="415"/>
      <c r="D54" s="364" t="s">
        <v>389</v>
      </c>
    </row>
    <row r="55" spans="1:4" x14ac:dyDescent="0.15">
      <c r="A55" s="365"/>
      <c r="B55" s="370"/>
      <c r="C55" s="368"/>
      <c r="D55" s="367"/>
    </row>
    <row r="56" spans="1:4" x14ac:dyDescent="0.15">
      <c r="A56" s="369"/>
      <c r="B56" s="375" t="s">
        <v>425</v>
      </c>
      <c r="C56" s="368"/>
      <c r="D56" s="367"/>
    </row>
    <row r="57" spans="1:4" x14ac:dyDescent="0.15">
      <c r="A57" s="361" t="s">
        <v>426</v>
      </c>
      <c r="B57" s="361" t="s">
        <v>464</v>
      </c>
      <c r="C57" s="416"/>
      <c r="D57" s="361" t="s">
        <v>392</v>
      </c>
    </row>
    <row r="58" spans="1:4" x14ac:dyDescent="0.15">
      <c r="A58" s="362" t="s">
        <v>427</v>
      </c>
      <c r="B58" s="362" t="s">
        <v>465</v>
      </c>
      <c r="C58" s="417"/>
      <c r="D58" s="398" t="s">
        <v>537</v>
      </c>
    </row>
    <row r="59" spans="1:4" x14ac:dyDescent="0.15">
      <c r="A59" s="362" t="s">
        <v>428</v>
      </c>
      <c r="B59" s="362" t="s">
        <v>466</v>
      </c>
      <c r="C59" s="413"/>
      <c r="D59" s="362" t="s">
        <v>395</v>
      </c>
    </row>
    <row r="60" spans="1:4" x14ac:dyDescent="0.15">
      <c r="A60" s="362" t="s">
        <v>429</v>
      </c>
      <c r="B60" s="362" t="s">
        <v>467</v>
      </c>
      <c r="C60" s="412"/>
      <c r="D60" s="362" t="s">
        <v>397</v>
      </c>
    </row>
    <row r="61" spans="1:4" x14ac:dyDescent="0.15">
      <c r="A61" s="362" t="s">
        <v>430</v>
      </c>
      <c r="B61" s="362" t="s">
        <v>468</v>
      </c>
      <c r="C61" s="412"/>
      <c r="D61" s="362" t="s">
        <v>399</v>
      </c>
    </row>
    <row r="62" spans="1:4" x14ac:dyDescent="0.15">
      <c r="A62" s="362" t="s">
        <v>431</v>
      </c>
      <c r="B62" s="362" t="s">
        <v>469</v>
      </c>
      <c r="C62" s="412"/>
      <c r="D62" s="398" t="s">
        <v>522</v>
      </c>
    </row>
    <row r="63" spans="1:4" x14ac:dyDescent="0.15">
      <c r="A63" s="362" t="s">
        <v>432</v>
      </c>
      <c r="B63" s="362" t="s">
        <v>470</v>
      </c>
      <c r="C63" s="413"/>
      <c r="D63" s="362" t="s">
        <v>402</v>
      </c>
    </row>
    <row r="64" spans="1:4" x14ac:dyDescent="0.15">
      <c r="A64" s="362" t="s">
        <v>462</v>
      </c>
      <c r="B64" s="362" t="s">
        <v>463</v>
      </c>
      <c r="C64" s="412"/>
      <c r="D64" s="362" t="s">
        <v>404</v>
      </c>
    </row>
    <row r="65" spans="1:4" x14ac:dyDescent="0.15">
      <c r="A65" s="362" t="s">
        <v>433</v>
      </c>
      <c r="B65" s="362" t="s">
        <v>531</v>
      </c>
      <c r="C65" s="413"/>
      <c r="D65" s="362" t="s">
        <v>406</v>
      </c>
    </row>
    <row r="66" spans="1:4" x14ac:dyDescent="0.15">
      <c r="A66" s="362" t="s">
        <v>434</v>
      </c>
      <c r="B66" s="362" t="s">
        <v>532</v>
      </c>
      <c r="C66" s="417"/>
      <c r="D66" s="398" t="s">
        <v>538</v>
      </c>
    </row>
    <row r="67" spans="1:4" x14ac:dyDescent="0.15">
      <c r="A67" s="362" t="s">
        <v>435</v>
      </c>
      <c r="B67" s="362" t="s">
        <v>533</v>
      </c>
      <c r="C67" s="413"/>
      <c r="D67" s="362" t="s">
        <v>409</v>
      </c>
    </row>
    <row r="68" spans="1:4" x14ac:dyDescent="0.15">
      <c r="A68" s="362" t="s">
        <v>436</v>
      </c>
      <c r="B68" s="362" t="s">
        <v>534</v>
      </c>
      <c r="C68" s="412"/>
      <c r="D68" s="362" t="s">
        <v>411</v>
      </c>
    </row>
    <row r="69" spans="1:4" x14ac:dyDescent="0.15">
      <c r="A69" s="364" t="s">
        <v>437</v>
      </c>
      <c r="B69" s="364" t="s">
        <v>535</v>
      </c>
      <c r="C69" s="418"/>
      <c r="D69" s="364" t="s">
        <v>413</v>
      </c>
    </row>
  </sheetData>
  <mergeCells count="3">
    <mergeCell ref="B3:D3"/>
    <mergeCell ref="B47:D47"/>
    <mergeCell ref="B1:D1"/>
  </mergeCells>
  <dataValidations count="1">
    <dataValidation type="list" allowBlank="1" showInputMessage="1" showErrorMessage="1" sqref="C14">
      <formula1>"Visa,MasterCard"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47"/>
  <sheetViews>
    <sheetView zoomScaleNormal="100" workbookViewId="0">
      <pane ySplit="3" topLeftCell="A4" activePane="bottomLeft" state="frozen"/>
      <selection sqref="A1:H8"/>
      <selection pane="bottomLeft" activeCell="A4" sqref="A4"/>
    </sheetView>
  </sheetViews>
  <sheetFormatPr defaultRowHeight="10.5" x14ac:dyDescent="0.15"/>
  <cols>
    <col min="1" max="1" width="4.7109375" style="202" customWidth="1"/>
    <col min="2" max="2" width="6.7109375" style="202" bestFit="1" customWidth="1"/>
    <col min="3" max="3" width="9.140625" style="202" customWidth="1"/>
    <col min="4" max="4" width="9" style="202" bestFit="1" customWidth="1"/>
    <col min="5" max="5" width="17.42578125" style="202" bestFit="1" customWidth="1"/>
    <col min="6" max="6" width="11.85546875" style="202" bestFit="1" customWidth="1"/>
    <col min="7" max="7" width="9" style="202" customWidth="1"/>
    <col min="8" max="10" width="4.7109375" style="202" customWidth="1"/>
    <col min="11" max="11" width="9.140625" style="202"/>
    <col min="12" max="12" width="9" style="202" customWidth="1"/>
    <col min="13" max="13" width="12.7109375" style="202" customWidth="1"/>
    <col min="14" max="14" width="12.7109375" style="202" bestFit="1" customWidth="1"/>
    <col min="15" max="15" width="13.85546875" style="202" bestFit="1" customWidth="1"/>
    <col min="16" max="16" width="11.85546875" style="202" bestFit="1" customWidth="1"/>
    <col min="17" max="17" width="11.5703125" style="202" bestFit="1" customWidth="1"/>
    <col min="18" max="21" width="12.7109375" style="202" customWidth="1"/>
    <col min="22" max="22" width="17.42578125" style="202" bestFit="1" customWidth="1"/>
    <col min="23" max="24" width="4.7109375" style="202" customWidth="1"/>
    <col min="25" max="25" width="23.5703125" style="202" bestFit="1" customWidth="1"/>
    <col min="26" max="26" width="9.42578125" style="202" customWidth="1"/>
    <col min="27" max="27" width="11.140625" style="202" bestFit="1" customWidth="1"/>
    <col min="28" max="29" width="4.7109375" style="202" customWidth="1"/>
    <col min="30" max="30" width="6.140625" style="202" bestFit="1" customWidth="1"/>
    <col min="31" max="31" width="8.42578125" style="202" bestFit="1" customWidth="1"/>
    <col min="32" max="32" width="6.5703125" style="202" customWidth="1"/>
    <col min="33" max="33" width="10.7109375" style="202" customWidth="1"/>
    <col min="34" max="34" width="7.7109375" style="202" bestFit="1" customWidth="1"/>
    <col min="35" max="35" width="9.140625" style="202"/>
    <col min="36" max="36" width="9.5703125" style="202" bestFit="1" customWidth="1"/>
    <col min="37" max="37" width="9.140625" style="202"/>
    <col min="38" max="38" width="10" style="202" customWidth="1"/>
    <col min="39" max="39" width="9.140625" style="202" bestFit="1" customWidth="1"/>
    <col min="40" max="52" width="9.7109375" style="202" customWidth="1"/>
    <col min="53" max="54" width="4.7109375" style="202" customWidth="1"/>
    <col min="55" max="16384" width="9.140625" style="202"/>
  </cols>
  <sheetData>
    <row r="1" spans="1:53" ht="19.5" thickTop="1" thickBot="1" x14ac:dyDescent="0.3">
      <c r="A1" s="720" t="s">
        <v>998</v>
      </c>
      <c r="B1" s="721"/>
      <c r="C1" s="721"/>
      <c r="D1" s="721"/>
      <c r="E1" s="721"/>
      <c r="F1" s="721"/>
      <c r="G1" s="721"/>
      <c r="H1" s="722"/>
      <c r="J1" s="720" t="s">
        <v>1001</v>
      </c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4"/>
      <c r="AC1" s="720" t="s">
        <v>999</v>
      </c>
      <c r="AD1" s="721"/>
      <c r="AE1" s="721"/>
      <c r="AF1" s="721"/>
      <c r="AG1" s="721"/>
      <c r="AH1" s="721"/>
      <c r="AI1" s="721"/>
      <c r="AJ1" s="721"/>
      <c r="AK1" s="721"/>
      <c r="AL1" s="721"/>
      <c r="AM1" s="721"/>
      <c r="AN1" s="721"/>
      <c r="AO1" s="721"/>
      <c r="AP1" s="721"/>
      <c r="AQ1" s="721"/>
      <c r="AR1" s="721"/>
      <c r="AS1" s="721"/>
      <c r="AT1" s="721"/>
      <c r="AU1" s="721"/>
      <c r="AV1" s="721"/>
      <c r="AW1" s="721"/>
      <c r="AX1" s="721"/>
      <c r="AY1" s="721"/>
      <c r="AZ1" s="721"/>
      <c r="BA1" s="722"/>
    </row>
    <row r="2" spans="1:53" ht="13.5" customHeight="1" thickTop="1" x14ac:dyDescent="0.2">
      <c r="A2" s="541"/>
      <c r="B2" s="78"/>
      <c r="C2" s="717" t="s">
        <v>829</v>
      </c>
      <c r="D2" s="718"/>
      <c r="E2" s="718"/>
      <c r="F2" s="718"/>
      <c r="G2" s="719"/>
      <c r="H2" s="542"/>
      <c r="J2" s="541"/>
      <c r="K2" s="78"/>
      <c r="L2" s="78"/>
      <c r="M2" s="725" t="s">
        <v>821</v>
      </c>
      <c r="N2" s="726"/>
      <c r="O2" s="726"/>
      <c r="P2" s="726"/>
      <c r="Q2" s="727"/>
      <c r="R2" s="717" t="s">
        <v>822</v>
      </c>
      <c r="S2" s="718"/>
      <c r="T2" s="718"/>
      <c r="U2" s="718"/>
      <c r="V2" s="719"/>
      <c r="W2" s="542"/>
      <c r="AC2" s="541"/>
      <c r="AD2" s="78"/>
      <c r="AE2" s="78"/>
      <c r="AF2" s="78"/>
      <c r="AG2" s="78"/>
      <c r="AH2" s="78"/>
      <c r="AI2" s="78"/>
      <c r="AJ2" s="78"/>
      <c r="AK2" s="78"/>
      <c r="AL2" s="508"/>
      <c r="AM2" s="508"/>
      <c r="AN2" s="711" t="s">
        <v>37</v>
      </c>
      <c r="AO2" s="712"/>
      <c r="AP2" s="712"/>
      <c r="AQ2" s="712"/>
      <c r="AR2" s="713"/>
      <c r="AS2" s="714" t="s">
        <v>38</v>
      </c>
      <c r="AT2" s="715"/>
      <c r="AU2" s="715"/>
      <c r="AV2" s="715"/>
      <c r="AW2" s="715"/>
      <c r="AX2" s="715"/>
      <c r="AY2" s="715"/>
      <c r="AZ2" s="716"/>
      <c r="BA2" s="542"/>
    </row>
    <row r="3" spans="1:53" ht="31.5" customHeight="1" x14ac:dyDescent="0.15">
      <c r="A3" s="541"/>
      <c r="B3" s="420" t="s">
        <v>18</v>
      </c>
      <c r="C3" s="543" t="s">
        <v>28</v>
      </c>
      <c r="D3" s="544" t="s">
        <v>316</v>
      </c>
      <c r="E3" s="544" t="s">
        <v>837</v>
      </c>
      <c r="F3" s="544" t="s">
        <v>27</v>
      </c>
      <c r="G3" s="545" t="s">
        <v>830</v>
      </c>
      <c r="H3" s="542"/>
      <c r="J3" s="541"/>
      <c r="K3" s="420" t="s">
        <v>18</v>
      </c>
      <c r="L3" s="572" t="str">
        <f>"Discount Rate "&amp;TEXT(Z4,"0.0%")</f>
        <v>Discount Rate 15.0%</v>
      </c>
      <c r="M3" s="554" t="s">
        <v>824</v>
      </c>
      <c r="N3" s="555" t="s">
        <v>825</v>
      </c>
      <c r="O3" s="555" t="s">
        <v>827</v>
      </c>
      <c r="P3" s="555" t="s">
        <v>26</v>
      </c>
      <c r="Q3" s="556" t="s">
        <v>828</v>
      </c>
      <c r="R3" s="474" t="s">
        <v>799</v>
      </c>
      <c r="S3" s="475" t="s">
        <v>478</v>
      </c>
      <c r="T3" s="475" t="s">
        <v>26</v>
      </c>
      <c r="U3" s="475" t="s">
        <v>828</v>
      </c>
      <c r="V3" s="476" t="s">
        <v>997</v>
      </c>
      <c r="W3" s="542"/>
      <c r="Y3" s="482" t="s">
        <v>835</v>
      </c>
      <c r="AC3" s="541"/>
      <c r="AD3" s="589" t="s">
        <v>312</v>
      </c>
      <c r="AE3" s="589" t="s">
        <v>908</v>
      </c>
      <c r="AF3" s="589" t="s">
        <v>141</v>
      </c>
      <c r="AG3" s="589" t="s">
        <v>909</v>
      </c>
      <c r="AH3" s="589" t="s">
        <v>996</v>
      </c>
      <c r="AI3" s="589" t="s">
        <v>995</v>
      </c>
      <c r="AJ3" s="589" t="s">
        <v>907</v>
      </c>
      <c r="AK3" s="78"/>
      <c r="AL3" s="194" t="s">
        <v>211</v>
      </c>
      <c r="AM3" s="194" t="s">
        <v>209</v>
      </c>
      <c r="AN3" s="565" t="s">
        <v>210</v>
      </c>
      <c r="AO3" s="566" t="s">
        <v>215</v>
      </c>
      <c r="AP3" s="566" t="s">
        <v>212</v>
      </c>
      <c r="AQ3" s="566" t="s">
        <v>213</v>
      </c>
      <c r="AR3" s="567" t="s">
        <v>16</v>
      </c>
      <c r="AS3" s="568" t="s">
        <v>210</v>
      </c>
      <c r="AT3" s="569" t="s">
        <v>215</v>
      </c>
      <c r="AU3" s="569" t="s">
        <v>212</v>
      </c>
      <c r="AV3" s="569" t="s">
        <v>213</v>
      </c>
      <c r="AW3" s="569" t="s">
        <v>16</v>
      </c>
      <c r="AX3" s="569" t="s">
        <v>478</v>
      </c>
      <c r="AY3" s="569" t="s">
        <v>26</v>
      </c>
      <c r="AZ3" s="570" t="s">
        <v>218</v>
      </c>
      <c r="BA3" s="542"/>
    </row>
    <row r="4" spans="1:53" x14ac:dyDescent="0.15">
      <c r="A4" s="541"/>
      <c r="B4" s="500">
        <v>0</v>
      </c>
      <c r="C4" s="470">
        <f>Cust_InitialPymt</f>
        <v>12446.491187147098</v>
      </c>
      <c r="D4" s="471" t="str">
        <f>IFERROR(IF(OR(B4&lt;5,B4&gt;Cust_LeaseTermYears),"N/A",IF(OR(Scenario_Variable="Final Payment",Scenario_Variable="Pago Final",B4&lt;Cust_LeaseTermYears),MAX(0,HLOOKUP(B4*12,Model!$D$50:$GA$80,31,FALSE)),Cust_TotalPymtAtTermEnd)),"N/A")</f>
        <v>N/A</v>
      </c>
      <c r="E4" s="471" t="str">
        <f>IFERROR(MAX(0,D4-SUM(F4:F$5)),"N/A")</f>
        <v>N/A</v>
      </c>
      <c r="F4" s="421">
        <f>Savings!AE5-C4</f>
        <v>-12446.491187147098</v>
      </c>
      <c r="G4" s="483" t="str">
        <f>IF($C$4&lt;=0,"Infinity",IFERROR(IRR(F$4:F4),"N/A"))</f>
        <v>N/A</v>
      </c>
      <c r="H4" s="542"/>
      <c r="J4" s="541"/>
      <c r="K4" s="500">
        <v>0</v>
      </c>
      <c r="L4" s="473">
        <v>1</v>
      </c>
      <c r="M4" s="470">
        <f>((Sys_CostOfComponentsMXN+Sys_CostOfLaborMXN+Sys_CostOfBOSElectricalMXN+Sys_CostOfBOSMechanicalMXN)/(1-$Z$8))*(1+IVA)</f>
        <v>271984.16492307693</v>
      </c>
      <c r="N4" s="471">
        <v>0</v>
      </c>
      <c r="O4" s="421">
        <v>0</v>
      </c>
      <c r="P4" s="478">
        <f>SUM(M4:O4)</f>
        <v>271984.16492307693</v>
      </c>
      <c r="Q4" s="479">
        <f>P4*$L4</f>
        <v>271984.16492307693</v>
      </c>
      <c r="R4" s="470">
        <f>Cust_InitialPymt</f>
        <v>12446.491187147098</v>
      </c>
      <c r="S4" s="471">
        <v>0</v>
      </c>
      <c r="T4" s="421">
        <f>SUM(R4:S4)</f>
        <v>12446.491187147098</v>
      </c>
      <c r="U4" s="421">
        <f t="shared" ref="U4:U19" si="0">T4*$L4</f>
        <v>12446.491187147098</v>
      </c>
      <c r="V4" s="472">
        <f>Q4-U4</f>
        <v>259537.67373592983</v>
      </c>
      <c r="W4" s="542"/>
      <c r="Y4" s="202" t="s">
        <v>820</v>
      </c>
      <c r="Z4" s="469">
        <v>0.15</v>
      </c>
      <c r="AA4" s="469"/>
      <c r="AB4" s="469"/>
      <c r="AC4" s="561"/>
      <c r="AD4" s="505" t="s">
        <v>805</v>
      </c>
      <c r="AE4" s="506">
        <f>IFERROR(AVERAGE(Inputs!B36:B36),CustUsage_kWhPerYear/12)</f>
        <v>568</v>
      </c>
      <c r="AF4" s="507">
        <f t="shared" ref="AF4:AF15" si="1">INDEX(Rng_IrradianceData,$Z$11,MATCH($AD4,Rng_IrradianceCols,0))</f>
        <v>5.99</v>
      </c>
      <c r="AG4" s="506">
        <f t="shared" ref="AG4:AG15" si="2">IFERROR(IFERROR(Sys_NumPanels*Panel_PTC*AF4*InverterLossPct*(1-Sys_OtherLossPct)*365.25/12,0)/1000,0)</f>
        <v>1219.5701983322001</v>
      </c>
      <c r="AH4" s="506">
        <f>AE4-AG4</f>
        <v>-651.57019833220011</v>
      </c>
      <c r="AI4" s="421">
        <f>-MIN(AH4,0)</f>
        <v>651.57019833220011</v>
      </c>
      <c r="AJ4" s="421">
        <f>MAX(0,AH4)</f>
        <v>0</v>
      </c>
      <c r="AK4" s="78"/>
      <c r="AL4" s="536">
        <f>IF(CFE_RateCategory="DAC",INDEX(CFE_History_DAC!$A$4:$DX$37,MATCH(VLOOKUP(CFE_Region,ListData!$B$2:$C$8,2,FALSE),CFE_History_DAC!$A$4:$A$37,0)+1,MATCH($AD4,CFE_History_DAC!$A$2:$DX$2,0)),IF(CFE_RateCategory="Tarifa 2",INDEX(CFE_History_Tarifa2!$B$4:$DV$9,6,MATCH($AD4,CFE_History_Tarifa2!$B$2:$DV$2,0)),"NaN"))</f>
        <v>95.67</v>
      </c>
      <c r="AM4" s="536">
        <f>IF(CFE_RateCategory="DAC",INDEX(CFE_History_DAC!$A$4:$DX$37,MATCH(VLOOKUP(CFE_Region,ListData!$B$2:$C$8,2,FALSE),CFE_History_DAC!$A$4:$A$37,0)+2,MATCH($AD4,CFE_History_DAC!$A$2:$DX$2,0)),IF(CFE_RateCategory="Tarifa 2",(MIN(Inputs!$B$32,50*12)*INDEX(CFE_History_Tarifa2!$B$4:$DV$9,2,MATCH($AD4,CFE_History_Tarifa2!$B$2:$DV$2,0))+MAX(0,MIN(Inputs!$B$32-50*12,50*12))*INDEX(CFE_History_Tarifa2!$B$4:$DV$9,3,MATCH($AD4,CFE_History_Tarifa2!$B$2:$DV$2,0))+MAX(Inputs!$B$32-100*12,0)*INDEX(CFE_History_Tarifa2!$B$4:$DV$9,4,MATCH($AD4,CFE_History_Tarifa2!$B$2:$DV$2,0)))/Inputs!$B$32,"NaN"))</f>
        <v>4.1559999999999997</v>
      </c>
      <c r="AN4" s="480">
        <f t="shared" ref="AN4:AN15" si="3">AE4*$AM4</f>
        <v>2360.6079999999997</v>
      </c>
      <c r="AO4" s="421">
        <f t="shared" ref="AO4:AO15" si="4">AN4+$AL4</f>
        <v>2456.2779999999998</v>
      </c>
      <c r="AP4" s="421">
        <f t="shared" ref="AP4:AP15" si="5">AO4*DAP</f>
        <v>245.62779999999998</v>
      </c>
      <c r="AQ4" s="421">
        <f t="shared" ref="AQ4:AQ15" si="6">AO4*IVA</f>
        <v>393.00448</v>
      </c>
      <c r="AR4" s="422">
        <f t="shared" ref="AR4:AR15" si="7">SUM(AO4:AQ4)</f>
        <v>3094.9102799999996</v>
      </c>
      <c r="AS4" s="480">
        <f t="shared" ref="AS4:AS15" si="8">AJ4*$AM4</f>
        <v>0</v>
      </c>
      <c r="AT4" s="421">
        <f>AS4+$AL4</f>
        <v>95.67</v>
      </c>
      <c r="AU4" s="421">
        <f t="shared" ref="AU4:AU13" si="9">AT4*DAP</f>
        <v>9.5670000000000002</v>
      </c>
      <c r="AV4" s="421">
        <f t="shared" ref="AV4:AV13" si="10">AT4*IVA</f>
        <v>15.3072</v>
      </c>
      <c r="AW4" s="421">
        <f>SUM(AT4:AV4)</f>
        <v>120.54419999999999</v>
      </c>
      <c r="AX4" s="421">
        <f t="shared" ref="AX4:AX15" si="11">((Sys_kWhPerYear*MySol_TotalRate)*(1+IVA))/12</f>
        <v>5628.8362506008561</v>
      </c>
      <c r="AY4" s="421">
        <f>AW4+AX4</f>
        <v>5749.3804506008564</v>
      </c>
      <c r="AZ4" s="422">
        <f>AR4-AY4</f>
        <v>-2654.4701706008568</v>
      </c>
      <c r="BA4" s="542"/>
    </row>
    <row r="5" spans="1:53" x14ac:dyDescent="0.15">
      <c r="A5" s="541"/>
      <c r="B5" s="500">
        <v>1</v>
      </c>
      <c r="C5" s="470"/>
      <c r="D5" s="471" t="str">
        <f>IFERROR(IF(OR(B5&lt;5,B5&gt;Cust_LeaseTermYears),"N/A",IF(OR(Scenario_Variable="Final Payment",Scenario_Variable="Pago Final",B5&lt;Cust_LeaseTermYears),MAX(0,HLOOKUP(B5*12,Model!$D$50:$GA$80,31,FALSE)),Cust_TotalPymtAtTermEnd)),"N/A")</f>
        <v>N/A</v>
      </c>
      <c r="E5" s="471" t="str">
        <f>IFERROR(MAX(0,D5-SUM(F$5:F5)),"N/A")</f>
        <v>N/A</v>
      </c>
      <c r="F5" s="421">
        <f>Savings!AE6</f>
        <v>16071.360647111127</v>
      </c>
      <c r="G5" s="483">
        <f>IF($C$4&lt;=0,"Infinity",IFERROR(IRR(F$4:F5),"N/A"))</f>
        <v>0.29123625329098868</v>
      </c>
      <c r="H5" s="542"/>
      <c r="J5" s="541"/>
      <c r="K5" s="500">
        <v>1</v>
      </c>
      <c r="L5" s="473">
        <f>1/((1+$Z$4)^K5)</f>
        <v>0.86956521739130443</v>
      </c>
      <c r="M5" s="470">
        <v>0</v>
      </c>
      <c r="N5" s="471">
        <f>IF($M$4=0,0,(-HLOOKUP(K5,Model!$D$36:$R$37,2,FALSE)+IF(K5=$Z$6,Unit_Internal!$E$30,0))*(1+$Z$7))</f>
        <v>2965.2480000000005</v>
      </c>
      <c r="O5" s="421">
        <f>(((MAX(0,Savings!C6-(Savings!L6*(1-$Z$5)))-Savings!O6)*INDEX(Savings!$AK6:$AM6,1,MATCH(CFE_RateCategory,Savings!$AK$1:$AM$1,0)))+(IF($Z$5=0,0,(Savings!O6*(INDEX(Savings!$AK6:$AM6,1,MATCH(CFE_RateCategory,Savings!$AK$1:$AM$1,0))-Savings!R6)))))*(1+DAP+IVA)</f>
        <v>8337.3828476768122</v>
      </c>
      <c r="P5" s="421">
        <f t="shared" ref="P5:P19" si="12">SUM(M5:O5)</f>
        <v>11302.630847676814</v>
      </c>
      <c r="Q5" s="472">
        <f t="shared" ref="Q5:Q19" si="13">P5*$L5</f>
        <v>9828.3746501537516</v>
      </c>
      <c r="R5" s="470">
        <f>IF(K5&lt;&gt;Cust_LeaseTermYears,0,IF(AND(OR(Scenario_Variable="Final Payment",Scenario_Variable="Pago Final"),K5=Cust_LeaseTermYears),MAX(0,HLOOKUP(K5*12,Model!$D$50:$GA$80,31,FALSE)),Cust_TotalPymtAtTermEnd))</f>
        <v>0</v>
      </c>
      <c r="S5" s="471">
        <f>Savings!AB6</f>
        <v>67546.035007210274</v>
      </c>
      <c r="T5" s="421">
        <f t="shared" ref="T5:T19" si="14">SUM(R5:S5)</f>
        <v>67546.035007210274</v>
      </c>
      <c r="U5" s="421">
        <f t="shared" si="0"/>
        <v>58735.682614965459</v>
      </c>
      <c r="V5" s="472">
        <f t="shared" ref="V5:V19" si="15">Q5-U5</f>
        <v>-48907.307964811705</v>
      </c>
      <c r="W5" s="542"/>
      <c r="Y5" s="202" t="s">
        <v>827</v>
      </c>
      <c r="Z5" s="469">
        <v>0.1</v>
      </c>
      <c r="AA5" s="469"/>
      <c r="AB5" s="469"/>
      <c r="AC5" s="561"/>
      <c r="AD5" s="505" t="s">
        <v>806</v>
      </c>
      <c r="AE5" s="506">
        <f>IFERROR(AVERAGE(Inputs!B37:B37),CustUsage_kWhPerYear/12)</f>
        <v>778</v>
      </c>
      <c r="AF5" s="507">
        <f t="shared" si="1"/>
        <v>6.78</v>
      </c>
      <c r="AG5" s="506">
        <f t="shared" si="2"/>
        <v>1380.4150158084001</v>
      </c>
      <c r="AH5" s="506">
        <f t="shared" ref="AH5:AH15" si="16">AE5-AG5</f>
        <v>-602.41501580840009</v>
      </c>
      <c r="AI5" s="421">
        <f t="shared" ref="AI5:AI15" si="17">-MIN(AH5,0)+AI4-(MAX(0,AH5)-AJ5)</f>
        <v>1253.9852141406002</v>
      </c>
      <c r="AJ5" s="421">
        <f t="shared" ref="AJ5:AJ15" si="18">MAX(0,AH5-AI4)</f>
        <v>0</v>
      </c>
      <c r="AK5" s="78"/>
      <c r="AL5" s="536">
        <f>IF(CFE_RateCategory="DAC",INDEX(CFE_History_DAC!$A$4:$DX$37,MATCH(VLOOKUP(CFE_Region,ListData!$B$2:$C$8,2,FALSE),CFE_History_DAC!$A$4:$A$37,0)+1,MATCH($AD5,CFE_History_DAC!$A$2:$DX$2,0)),IF(CFE_RateCategory="Tarifa 2",INDEX(CFE_History_Tarifa2!$B$4:$DV$9,6,MATCH($AD5,CFE_History_Tarifa2!$B$2:$DV$2,0)),"NaN"))</f>
        <v>97.01</v>
      </c>
      <c r="AM5" s="536">
        <f>IF(CFE_RateCategory="DAC",INDEX(CFE_History_DAC!$A$4:$DX$37,MATCH(VLOOKUP(CFE_Region,ListData!$B$2:$C$8,2,FALSE),CFE_History_DAC!$A$4:$A$37,0)+2,MATCH($AD5,CFE_History_DAC!$A$2:$DX$2,0)),IF(CFE_RateCategory="Tarifa 2",(MIN(Inputs!$B$32,50*12)*INDEX(CFE_History_Tarifa2!$B$4:$DV$9,2,MATCH($AD5,CFE_History_Tarifa2!$B$2:$DV$2,0))+MAX(0,MIN(Inputs!$B$32-50*12,50*12))*INDEX(CFE_History_Tarifa2!$B$4:$DV$9,3,MATCH($AD5,CFE_History_Tarifa2!$B$2:$DV$2,0))+MAX(Inputs!$B$32-100*12,0)*INDEX(CFE_History_Tarifa2!$B$4:$DV$9,4,MATCH($AD5,CFE_History_Tarifa2!$B$2:$DV$2,0)))/Inputs!$B$32,"NaN"))</f>
        <v>4.3049999999999997</v>
      </c>
      <c r="AN5" s="480">
        <f t="shared" si="3"/>
        <v>3349.29</v>
      </c>
      <c r="AO5" s="421">
        <f t="shared" si="4"/>
        <v>3446.3</v>
      </c>
      <c r="AP5" s="421">
        <f t="shared" si="5"/>
        <v>344.63000000000005</v>
      </c>
      <c r="AQ5" s="421">
        <f t="shared" si="6"/>
        <v>551.40800000000002</v>
      </c>
      <c r="AR5" s="422">
        <f t="shared" si="7"/>
        <v>4342.3380000000006</v>
      </c>
      <c r="AS5" s="480">
        <f t="shared" si="8"/>
        <v>0</v>
      </c>
      <c r="AT5" s="421">
        <f t="shared" ref="AT5:AT15" si="19">AS5+$AL5</f>
        <v>97.01</v>
      </c>
      <c r="AU5" s="421">
        <f t="shared" si="9"/>
        <v>9.7010000000000005</v>
      </c>
      <c r="AV5" s="421">
        <f t="shared" si="10"/>
        <v>15.521600000000001</v>
      </c>
      <c r="AW5" s="421">
        <f t="shared" ref="AW5:AW15" si="20">SUM(AT5:AV5)</f>
        <v>122.23260000000002</v>
      </c>
      <c r="AX5" s="421">
        <f t="shared" si="11"/>
        <v>5628.8362506008561</v>
      </c>
      <c r="AY5" s="421">
        <f t="shared" ref="AY5:AY15" si="21">AW5+AX5</f>
        <v>5751.0688506008564</v>
      </c>
      <c r="AZ5" s="422">
        <f t="shared" ref="AZ5:AZ15" si="22">AR5-AY5</f>
        <v>-1408.7308506008558</v>
      </c>
      <c r="BA5" s="542"/>
    </row>
    <row r="6" spans="1:53" x14ac:dyDescent="0.15">
      <c r="A6" s="541"/>
      <c r="B6" s="500">
        <v>2</v>
      </c>
      <c r="C6" s="470"/>
      <c r="D6" s="471" t="str">
        <f>IFERROR(IF(OR(B6&lt;5,B6&gt;Cust_LeaseTermYears),"N/A",IF(OR(Scenario_Variable="Final Payment",Scenario_Variable="Pago Final",B6&lt;Cust_LeaseTermYears),MAX(0,HLOOKUP(B6*12,Model!$D$50:$GA$80,31,FALSE)),Cust_TotalPymtAtTermEnd)),"N/A")</f>
        <v>N/A</v>
      </c>
      <c r="E6" s="471" t="str">
        <f>IFERROR(MAX(0,D6-SUM(F$5:F6)),"N/A")</f>
        <v>N/A</v>
      </c>
      <c r="F6" s="421">
        <f>Savings!AE7</f>
        <v>20647.127745197489</v>
      </c>
      <c r="G6" s="483">
        <f>IF($C$4&lt;=0,"Infinity",IFERROR(IRR(F$4:F6),"N/A"))</f>
        <v>1.0863450695582961</v>
      </c>
      <c r="H6" s="542"/>
      <c r="J6" s="541"/>
      <c r="K6" s="500">
        <v>2</v>
      </c>
      <c r="L6" s="473">
        <f t="shared" ref="L6:L19" si="23">1/((1+$Z$4)^K6)</f>
        <v>0.7561436672967865</v>
      </c>
      <c r="M6" s="470">
        <v>0</v>
      </c>
      <c r="N6" s="471">
        <f>IF($M$4=0,0,(-HLOOKUP(K6,Model!$D$36:$R$37,2,FALSE)+IF(K6=$Z$6,Unit_Internal!$E$30,0))*(1+$Z$7))</f>
        <v>3054.2054400000006</v>
      </c>
      <c r="O6" s="421">
        <f>(((MAX(0,Savings!C7-(Savings!L7*(1-$Z$5)))-Savings!O7)*INDEX(Savings!$AK7:$AM7,1,MATCH(CFE_RateCategory,Savings!$AK$1:$AM$1,0)))+(IF($Z$5=0,0,(Savings!O7*(INDEX(Savings!$AK7:$AM7,1,MATCH(CFE_RateCategory,Savings!$AK$1:$AM$1,0))-Savings!R7)))))*(1+DAP+IVA)</f>
        <v>9696.4913777527654</v>
      </c>
      <c r="P6" s="421">
        <f t="shared" si="12"/>
        <v>12750.696817752767</v>
      </c>
      <c r="Q6" s="472">
        <f t="shared" si="13"/>
        <v>9641.3586523650429</v>
      </c>
      <c r="R6" s="470">
        <f>IF(K6&lt;&gt;Cust_LeaseTermYears,0,IF(AND(OR(Scenario_Variable="Final Payment",Scenario_Variable="Pago Final"),K6=Cust_LeaseTermYears),MAX(0,HLOOKUP(K6*12,Model!$D$50:$GA$80,31,FALSE)),Cust_TotalPymtAtTermEnd))</f>
        <v>0</v>
      </c>
      <c r="S6" s="471">
        <f>Savings!AB7</f>
        <v>69910.146232462634</v>
      </c>
      <c r="T6" s="421">
        <f t="shared" si="14"/>
        <v>69910.146232462634</v>
      </c>
      <c r="U6" s="421">
        <f t="shared" si="0"/>
        <v>52862.114353468918</v>
      </c>
      <c r="V6" s="472">
        <f t="shared" si="15"/>
        <v>-43220.755701103873</v>
      </c>
      <c r="W6" s="542"/>
      <c r="Y6" s="202" t="s">
        <v>823</v>
      </c>
      <c r="Z6" s="477">
        <v>10</v>
      </c>
      <c r="AA6" s="477"/>
      <c r="AB6" s="477"/>
      <c r="AC6" s="562"/>
      <c r="AD6" s="505" t="s">
        <v>807</v>
      </c>
      <c r="AE6" s="506">
        <f>IFERROR(AVERAGE(Inputs!B38:B38),CustUsage_kWhPerYear/12)</f>
        <v>882</v>
      </c>
      <c r="AF6" s="507">
        <f t="shared" si="1"/>
        <v>7.23</v>
      </c>
      <c r="AG6" s="506">
        <f t="shared" si="2"/>
        <v>1472.0354814594</v>
      </c>
      <c r="AH6" s="506">
        <f t="shared" si="16"/>
        <v>-590.03548145939999</v>
      </c>
      <c r="AI6" s="421">
        <f t="shared" si="17"/>
        <v>1844.0206956000002</v>
      </c>
      <c r="AJ6" s="421">
        <f t="shared" si="18"/>
        <v>0</v>
      </c>
      <c r="AK6" s="78"/>
      <c r="AL6" s="536">
        <f>IF(CFE_RateCategory="DAC",INDEX(CFE_History_DAC!$A$4:$DX$37,MATCH(VLOOKUP(CFE_Region,ListData!$B$2:$C$8,2,FALSE),CFE_History_DAC!$A$4:$A$37,0)+1,MATCH($AD6,CFE_History_DAC!$A$2:$DX$2,0)),IF(CFE_RateCategory="Tarifa 2",INDEX(CFE_History_Tarifa2!$B$4:$DV$9,6,MATCH($AD6,CFE_History_Tarifa2!$B$2:$DV$2,0)),"NaN"))</f>
        <v>99.95</v>
      </c>
      <c r="AM6" s="536">
        <f>IF(CFE_RateCategory="DAC",INDEX(CFE_History_DAC!$A$4:$DX$37,MATCH(VLOOKUP(CFE_Region,ListData!$B$2:$C$8,2,FALSE),CFE_History_DAC!$A$4:$A$37,0)+2,MATCH($AD6,CFE_History_DAC!$A$2:$DX$2,0)),IF(CFE_RateCategory="Tarifa 2",(MIN(Inputs!$B$32,50*12)*INDEX(CFE_History_Tarifa2!$B$4:$DV$9,2,MATCH($AD6,CFE_History_Tarifa2!$B$2:$DV$2,0))+MAX(0,MIN(Inputs!$B$32-50*12,50*12))*INDEX(CFE_History_Tarifa2!$B$4:$DV$9,3,MATCH($AD6,CFE_History_Tarifa2!$B$2:$DV$2,0))+MAX(Inputs!$B$32-100*12,0)*INDEX(CFE_History_Tarifa2!$B$4:$DV$9,4,MATCH($AD6,CFE_History_Tarifa2!$B$2:$DV$2,0)))/Inputs!$B$32,"NaN"))</f>
        <v>4.66</v>
      </c>
      <c r="AN6" s="480">
        <f t="shared" si="3"/>
        <v>4110.12</v>
      </c>
      <c r="AO6" s="421">
        <f t="shared" si="4"/>
        <v>4210.07</v>
      </c>
      <c r="AP6" s="421">
        <f t="shared" si="5"/>
        <v>421.00700000000001</v>
      </c>
      <c r="AQ6" s="421">
        <f t="shared" si="6"/>
        <v>673.61119999999994</v>
      </c>
      <c r="AR6" s="422">
        <f t="shared" si="7"/>
        <v>5304.6881999999996</v>
      </c>
      <c r="AS6" s="480">
        <f t="shared" si="8"/>
        <v>0</v>
      </c>
      <c r="AT6" s="421">
        <f t="shared" si="19"/>
        <v>99.95</v>
      </c>
      <c r="AU6" s="421">
        <f t="shared" si="9"/>
        <v>9.995000000000001</v>
      </c>
      <c r="AV6" s="421">
        <f t="shared" si="10"/>
        <v>15.992000000000001</v>
      </c>
      <c r="AW6" s="421">
        <f t="shared" si="20"/>
        <v>125.93700000000001</v>
      </c>
      <c r="AX6" s="421">
        <f t="shared" si="11"/>
        <v>5628.8362506008561</v>
      </c>
      <c r="AY6" s="421">
        <f t="shared" si="21"/>
        <v>5754.773250600856</v>
      </c>
      <c r="AZ6" s="422">
        <f t="shared" si="22"/>
        <v>-450.08505060085645</v>
      </c>
      <c r="BA6" s="542"/>
    </row>
    <row r="7" spans="1:53" x14ac:dyDescent="0.15">
      <c r="A7" s="541"/>
      <c r="B7" s="500">
        <v>3</v>
      </c>
      <c r="C7" s="470"/>
      <c r="D7" s="471" t="str">
        <f>IFERROR(IF(OR(B7&lt;5,B7&gt;Cust_LeaseTermYears),"N/A",IF(OR(Scenario_Variable="Final Payment",Scenario_Variable="Pago Final",B7&lt;Cust_LeaseTermYears),MAX(0,HLOOKUP(B7*12,Model!$D$50:$GA$80,31,FALSE)),Cust_TotalPymtAtTermEnd)),"N/A")</f>
        <v>N/A</v>
      </c>
      <c r="E7" s="471" t="str">
        <f>IFERROR(MAX(0,D7-SUM(F$5:F7)),"N/A")</f>
        <v>N/A</v>
      </c>
      <c r="F7" s="421">
        <f>Savings!AE8</f>
        <v>25381.525677741316</v>
      </c>
      <c r="G7" s="483">
        <f>IF($C$4&lt;=0,"Infinity",IFERROR(IRR(F$4:F7),"N/A"))</f>
        <v>1.3601787932288723</v>
      </c>
      <c r="H7" s="542"/>
      <c r="J7" s="541"/>
      <c r="K7" s="500">
        <v>3</v>
      </c>
      <c r="L7" s="473">
        <f t="shared" si="23"/>
        <v>0.65751623243198831</v>
      </c>
      <c r="M7" s="470">
        <v>0</v>
      </c>
      <c r="N7" s="471">
        <f>IF($M$4=0,0,(-HLOOKUP(K7,Model!$D$36:$R$37,2,FALSE)+IF(K7=$Z$6,Unit_Internal!$E$30,0))*(1+$Z$7))</f>
        <v>3145.8316032000007</v>
      </c>
      <c r="O7" s="421">
        <f>(((MAX(0,Savings!C8-(Savings!L8*(1-$Z$5)))-Savings!O8)*INDEX(Savings!$AK8:$AM8,1,MATCH(CFE_RateCategory,Savings!$AK$1:$AM$1,0)))+(IF($Z$5=0,0,(Savings!O8*(INDEX(Savings!$AK8:$AM8,1,MATCH(CFE_RateCategory,Savings!$AK$1:$AM$1,0))-Savings!R8)))))*(1+DAP+IVA)</f>
        <v>10837.282899707909</v>
      </c>
      <c r="P7" s="421">
        <f t="shared" si="12"/>
        <v>13983.114502907909</v>
      </c>
      <c r="Q7" s="472">
        <f t="shared" si="13"/>
        <v>9194.1247656171035</v>
      </c>
      <c r="R7" s="470">
        <f>IF(K7&lt;&gt;Cust_LeaseTermYears,0,IF(AND(OR(Scenario_Variable="Final Payment",Scenario_Variable="Pago Final"),K7=Cust_LeaseTermYears),MAX(0,HLOOKUP(K7*12,Model!$D$50:$GA$80,31,FALSE)),Cust_TotalPymtAtTermEnd))</f>
        <v>0</v>
      </c>
      <c r="S7" s="471">
        <f>Savings!AB8</f>
        <v>72357.001350598817</v>
      </c>
      <c r="T7" s="421">
        <f t="shared" si="14"/>
        <v>72357.001350598817</v>
      </c>
      <c r="U7" s="421">
        <f t="shared" si="0"/>
        <v>47575.902918122025</v>
      </c>
      <c r="V7" s="472">
        <f t="shared" si="15"/>
        <v>-38381.778152504921</v>
      </c>
      <c r="W7" s="542"/>
      <c r="Y7" s="202" t="s">
        <v>826</v>
      </c>
      <c r="Z7" s="469">
        <v>0.6</v>
      </c>
      <c r="AA7" s="469"/>
      <c r="AB7" s="469"/>
      <c r="AC7" s="561"/>
      <c r="AD7" s="505" t="s">
        <v>808</v>
      </c>
      <c r="AE7" s="506">
        <f>IFERROR(AVERAGE(Inputs!B39:B39),CustUsage_kWhPerYear/12)</f>
        <v>950</v>
      </c>
      <c r="AF7" s="507">
        <f t="shared" si="1"/>
        <v>6.83</v>
      </c>
      <c r="AG7" s="506">
        <f t="shared" si="2"/>
        <v>1390.5950675474</v>
      </c>
      <c r="AH7" s="506">
        <f t="shared" si="16"/>
        <v>-440.59506754740005</v>
      </c>
      <c r="AI7" s="421">
        <f t="shared" si="17"/>
        <v>2284.6157631474002</v>
      </c>
      <c r="AJ7" s="421">
        <f t="shared" si="18"/>
        <v>0</v>
      </c>
      <c r="AK7" s="78"/>
      <c r="AL7" s="536">
        <f>IF(CFE_RateCategory="DAC",INDEX(CFE_History_DAC!$A$4:$DX$37,MATCH(VLOOKUP(CFE_Region,ListData!$B$2:$C$8,2,FALSE),CFE_History_DAC!$A$4:$A$37,0)+1,MATCH($AD7,CFE_History_DAC!$A$2:$DX$2,0)),IF(CFE_RateCategory="Tarifa 2",INDEX(CFE_History_Tarifa2!$B$4:$DV$9,6,MATCH($AD7,CFE_History_Tarifa2!$B$2:$DV$2,0)),"NaN"))</f>
        <v>100.55</v>
      </c>
      <c r="AM7" s="536">
        <f>IF(CFE_RateCategory="DAC",INDEX(CFE_History_DAC!$A$4:$DX$37,MATCH(VLOOKUP(CFE_Region,ListData!$B$2:$C$8,2,FALSE),CFE_History_DAC!$A$4:$A$37,0)+2,MATCH($AD7,CFE_History_DAC!$A$2:$DX$2,0)),IF(CFE_RateCategory="Tarifa 2",(MIN(Inputs!$B$32,50*12)*INDEX(CFE_History_Tarifa2!$B$4:$DV$9,2,MATCH($AD7,CFE_History_Tarifa2!$B$2:$DV$2,0))+MAX(0,MIN(Inputs!$B$32-50*12,50*12))*INDEX(CFE_History_Tarifa2!$B$4:$DV$9,3,MATCH($AD7,CFE_History_Tarifa2!$B$2:$DV$2,0))+MAX(Inputs!$B$32-100*12,0)*INDEX(CFE_History_Tarifa2!$B$4:$DV$9,4,MATCH($AD7,CFE_History_Tarifa2!$B$2:$DV$2,0)))/Inputs!$B$32,"NaN"))</f>
        <v>4.5919999999999996</v>
      </c>
      <c r="AN7" s="480">
        <f t="shared" si="3"/>
        <v>4362.3999999999996</v>
      </c>
      <c r="AO7" s="421">
        <f t="shared" si="4"/>
        <v>4462.95</v>
      </c>
      <c r="AP7" s="421">
        <f t="shared" si="5"/>
        <v>446.29500000000002</v>
      </c>
      <c r="AQ7" s="421">
        <f t="shared" si="6"/>
        <v>714.072</v>
      </c>
      <c r="AR7" s="422">
        <f t="shared" si="7"/>
        <v>5623.317</v>
      </c>
      <c r="AS7" s="480">
        <f t="shared" si="8"/>
        <v>0</v>
      </c>
      <c r="AT7" s="421">
        <f t="shared" si="19"/>
        <v>100.55</v>
      </c>
      <c r="AU7" s="421">
        <f t="shared" si="9"/>
        <v>10.055</v>
      </c>
      <c r="AV7" s="421">
        <f t="shared" si="10"/>
        <v>16.088000000000001</v>
      </c>
      <c r="AW7" s="421">
        <f t="shared" si="20"/>
        <v>126.69299999999998</v>
      </c>
      <c r="AX7" s="421">
        <f t="shared" si="11"/>
        <v>5628.8362506008561</v>
      </c>
      <c r="AY7" s="421">
        <f t="shared" si="21"/>
        <v>5755.5292506008564</v>
      </c>
      <c r="AZ7" s="422">
        <f t="shared" si="22"/>
        <v>-132.21225060085635</v>
      </c>
      <c r="BA7" s="542"/>
    </row>
    <row r="8" spans="1:53" x14ac:dyDescent="0.15">
      <c r="A8" s="541"/>
      <c r="B8" s="500">
        <v>4</v>
      </c>
      <c r="C8" s="470"/>
      <c r="D8" s="471" t="str">
        <f>IFERROR(IF(OR(B8&lt;5,B8&gt;Cust_LeaseTermYears),"N/A",IF(OR(Scenario_Variable="Final Payment",Scenario_Variable="Pago Final",B8&lt;Cust_LeaseTermYears),MAX(0,HLOOKUP(B8*12,Model!$D$50:$GA$80,31,FALSE)),Cust_TotalPymtAtTermEnd)),"N/A")</f>
        <v>N/A</v>
      </c>
      <c r="E8" s="471" t="str">
        <f>IFERROR(MAX(0,D8-SUM(F$5:F8)),"N/A")</f>
        <v>N/A</v>
      </c>
      <c r="F8" s="421">
        <f>Savings!AE9</f>
        <v>30606.387204011291</v>
      </c>
      <c r="G8" s="483">
        <f>IF($C$4&lt;=0,"Infinity",IFERROR(IRR(F$4:F8),"N/A"))</f>
        <v>1.4644246132471115</v>
      </c>
      <c r="H8" s="542"/>
      <c r="J8" s="541"/>
      <c r="K8" s="500">
        <v>4</v>
      </c>
      <c r="L8" s="473">
        <f t="shared" si="23"/>
        <v>0.57175324559303342</v>
      </c>
      <c r="M8" s="470">
        <v>0</v>
      </c>
      <c r="N8" s="471">
        <f>IF($M$4=0,0,(-HLOOKUP(K8,Model!$D$36:$R$37,2,FALSE)+IF(K8=$Z$6,Unit_Internal!$E$30,0))*(1+$Z$7))</f>
        <v>3240.2065512960007</v>
      </c>
      <c r="O8" s="421">
        <f>(((MAX(0,Savings!C9-(Savings!L9*(1-$Z$5)))-Savings!O9)*INDEX(Savings!$AK9:$AM9,1,MATCH(CFE_RateCategory,Savings!$AK$1:$AM$1,0)))+(IF($Z$5=0,0,(Savings!O9*(INDEX(Savings!$AK9:$AM9,1,MATCH(CFE_RateCategory,Savings!$AK$1:$AM$1,0))-Savings!R9)))))*(1+DAP+IVA)</f>
        <v>12106.183230488716</v>
      </c>
      <c r="P8" s="421">
        <f t="shared" si="12"/>
        <v>15346.389781784717</v>
      </c>
      <c r="Q8" s="472">
        <f t="shared" si="13"/>
        <v>8774.3481658711753</v>
      </c>
      <c r="R8" s="470">
        <f>IF(K8&lt;&gt;Cust_LeaseTermYears,0,IF(AND(OR(Scenario_Variable="Final Payment",Scenario_Variable="Pago Final"),K8=Cust_LeaseTermYears),MAX(0,HLOOKUP(K8*12,Model!$D$50:$GA$80,31,FALSE)),Cust_TotalPymtAtTermEnd))</f>
        <v>0</v>
      </c>
      <c r="S8" s="471">
        <f>Savings!AB9</f>
        <v>74889.496397869763</v>
      </c>
      <c r="T8" s="421">
        <f t="shared" si="14"/>
        <v>74889.496397869763</v>
      </c>
      <c r="U8" s="421">
        <f t="shared" si="0"/>
        <v>42818.312626309824</v>
      </c>
      <c r="V8" s="472">
        <f t="shared" si="15"/>
        <v>-34043.964460438649</v>
      </c>
      <c r="W8" s="542"/>
      <c r="Y8" s="202" t="s">
        <v>861</v>
      </c>
      <c r="Z8" s="469">
        <v>0.35</v>
      </c>
      <c r="AA8" s="469"/>
      <c r="AB8" s="469"/>
      <c r="AC8" s="561"/>
      <c r="AD8" s="505" t="s">
        <v>809</v>
      </c>
      <c r="AE8" s="506">
        <f>IFERROR(AVERAGE(Inputs!B40:B40),CustUsage_kWhPerYear/12)</f>
        <v>1280</v>
      </c>
      <c r="AF8" s="507">
        <f t="shared" si="1"/>
        <v>6.28</v>
      </c>
      <c r="AG8" s="506">
        <f t="shared" si="2"/>
        <v>1278.6144984183998</v>
      </c>
      <c r="AH8" s="506">
        <f t="shared" si="16"/>
        <v>1.3855015816002378</v>
      </c>
      <c r="AI8" s="421">
        <f t="shared" si="17"/>
        <v>2283.2302615658</v>
      </c>
      <c r="AJ8" s="421">
        <f t="shared" si="18"/>
        <v>0</v>
      </c>
      <c r="AK8" s="78"/>
      <c r="AL8" s="536">
        <f>IF(CFE_RateCategory="DAC",INDEX(CFE_History_DAC!$A$4:$DX$37,MATCH(VLOOKUP(CFE_Region,ListData!$B$2:$C$8,2,FALSE),CFE_History_DAC!$A$4:$A$37,0)+1,MATCH($AD8,CFE_History_DAC!$A$2:$DX$2,0)),IF(CFE_RateCategory="Tarifa 2",INDEX(CFE_History_Tarifa2!$B$4:$DV$9,6,MATCH($AD8,CFE_History_Tarifa2!$B$2:$DV$2,0)),"NaN"))</f>
        <v>99.84</v>
      </c>
      <c r="AM8" s="536">
        <f>IF(CFE_RateCategory="DAC",INDEX(CFE_History_DAC!$A$4:$DX$37,MATCH(VLOOKUP(CFE_Region,ListData!$B$2:$C$8,2,FALSE),CFE_History_DAC!$A$4:$A$37,0)+2,MATCH($AD8,CFE_History_DAC!$A$2:$DX$2,0)),IF(CFE_RateCategory="Tarifa 2",(MIN(Inputs!$B$32,50*12)*INDEX(CFE_History_Tarifa2!$B$4:$DV$9,2,MATCH($AD8,CFE_History_Tarifa2!$B$2:$DV$2,0))+MAX(0,MIN(Inputs!$B$32-50*12,50*12))*INDEX(CFE_History_Tarifa2!$B$4:$DV$9,3,MATCH($AD8,CFE_History_Tarifa2!$B$2:$DV$2,0))+MAX(Inputs!$B$32-100*12,0)*INDEX(CFE_History_Tarifa2!$B$4:$DV$9,4,MATCH($AD8,CFE_History_Tarifa2!$B$2:$DV$2,0)))/Inputs!$B$32,"NaN"))</f>
        <v>4.37</v>
      </c>
      <c r="AN8" s="480">
        <f t="shared" si="3"/>
        <v>5593.6</v>
      </c>
      <c r="AO8" s="421">
        <f t="shared" si="4"/>
        <v>5693.4400000000005</v>
      </c>
      <c r="AP8" s="421">
        <f t="shared" si="5"/>
        <v>569.34400000000005</v>
      </c>
      <c r="AQ8" s="421">
        <f t="shared" si="6"/>
        <v>910.95040000000006</v>
      </c>
      <c r="AR8" s="422">
        <f t="shared" si="7"/>
        <v>7173.7344000000003</v>
      </c>
      <c r="AS8" s="480">
        <f t="shared" si="8"/>
        <v>0</v>
      </c>
      <c r="AT8" s="421">
        <f t="shared" si="19"/>
        <v>99.84</v>
      </c>
      <c r="AU8" s="421">
        <f t="shared" si="9"/>
        <v>9.9840000000000018</v>
      </c>
      <c r="AV8" s="421">
        <f t="shared" si="10"/>
        <v>15.974400000000001</v>
      </c>
      <c r="AW8" s="421">
        <f t="shared" si="20"/>
        <v>125.79840000000002</v>
      </c>
      <c r="AX8" s="421">
        <f t="shared" si="11"/>
        <v>5628.8362506008561</v>
      </c>
      <c r="AY8" s="421">
        <f t="shared" si="21"/>
        <v>5754.6346506008558</v>
      </c>
      <c r="AZ8" s="422">
        <f t="shared" si="22"/>
        <v>1419.0997493991445</v>
      </c>
      <c r="BA8" s="542"/>
    </row>
    <row r="9" spans="1:53" x14ac:dyDescent="0.15">
      <c r="A9" s="541"/>
      <c r="B9" s="500">
        <v>5</v>
      </c>
      <c r="C9" s="470"/>
      <c r="D9" s="471">
        <f ca="1">IFERROR(IF(OR(B9&lt;5,B9&gt;Cust_LeaseTermYears),"N/A",IF(OR(Scenario_Variable="Final Payment",Scenario_Variable="Pago Final",B9&lt;Cust_LeaseTermYears),MAX(0,HLOOKUP(B9*12,Model!$D$50:$GA$80,31,FALSE)),Cust_TotalPymtAtTermEnd)),"N/A")</f>
        <v>220962.80386794516</v>
      </c>
      <c r="E9" s="471">
        <f ca="1">IFERROR(MAX(0,D9-SUM(F$5:F9)),"N/A")</f>
        <v>91891.446192858202</v>
      </c>
      <c r="F9" s="421">
        <f>Savings!AE10</f>
        <v>36364.956401025731</v>
      </c>
      <c r="G9" s="483">
        <f>IF($C$4&lt;=0,"Infinity",IFERROR(IRR(F$4:F9),"N/A"))</f>
        <v>1.5072299818788086</v>
      </c>
      <c r="H9" s="542"/>
      <c r="J9" s="541"/>
      <c r="K9" s="500">
        <v>5</v>
      </c>
      <c r="L9" s="473">
        <f t="shared" si="23"/>
        <v>0.49717673529828987</v>
      </c>
      <c r="M9" s="470">
        <v>0</v>
      </c>
      <c r="N9" s="471">
        <f>IF($M$4=0,0,(-HLOOKUP(K9,Model!$D$36:$R$37,2,FALSE)+IF(K9=$Z$6,Unit_Internal!$E$30,0))*(1+$Z$7))</f>
        <v>3337.4127478348805</v>
      </c>
      <c r="O9" s="421">
        <f>(((MAX(0,Savings!C10-(Savings!L10*(1-$Z$5)))-Savings!O10)*INDEX(Savings!$AK10:$AM10,1,MATCH(CFE_RateCategory,Savings!$AK$1:$AM$1,0)))+(IF($Z$5=0,0,(Savings!O10*(INDEX(Savings!$AK10:$AM10,1,MATCH(CFE_RateCategory,Savings!$AK$1:$AM$1,0))-Savings!R10)))))*(1+DAP+IVA)</f>
        <v>13516.41727041211</v>
      </c>
      <c r="P9" s="421">
        <f t="shared" si="12"/>
        <v>16853.83001824699</v>
      </c>
      <c r="Q9" s="472">
        <f t="shared" si="13"/>
        <v>8379.3321857443552</v>
      </c>
      <c r="R9" s="470">
        <f>IF(K9&lt;&gt;Cust_LeaseTermYears,0,IF(AND(OR(Scenario_Variable="Final Payment",Scenario_Variable="Pago Final"),K9=Cust_LeaseTermYears),MAX(0,HLOOKUP(K9*12,Model!$D$50:$GA$80,31,FALSE)),Cust_TotalPymtAtTermEnd))</f>
        <v>0</v>
      </c>
      <c r="S9" s="471">
        <f>Savings!AB10</f>
        <v>77510.628771795207</v>
      </c>
      <c r="T9" s="421">
        <f t="shared" si="14"/>
        <v>77510.628771795207</v>
      </c>
      <c r="U9" s="421">
        <f t="shared" si="0"/>
        <v>38536.481363678839</v>
      </c>
      <c r="V9" s="472">
        <f t="shared" si="15"/>
        <v>-30157.149177934483</v>
      </c>
      <c r="W9" s="542"/>
      <c r="AC9" s="541"/>
      <c r="AD9" s="505" t="s">
        <v>810</v>
      </c>
      <c r="AE9" s="506">
        <f>IFERROR(AVERAGE(Inputs!B41:B41),CustUsage_kWhPerYear/12)</f>
        <v>1500</v>
      </c>
      <c r="AF9" s="507">
        <f t="shared" si="1"/>
        <v>6.34</v>
      </c>
      <c r="AG9" s="506">
        <f t="shared" si="2"/>
        <v>1290.8305605051999</v>
      </c>
      <c r="AH9" s="506">
        <f t="shared" si="16"/>
        <v>209.16943949480014</v>
      </c>
      <c r="AI9" s="421">
        <f t="shared" si="17"/>
        <v>2074.0608220710001</v>
      </c>
      <c r="AJ9" s="421">
        <f t="shared" si="18"/>
        <v>0</v>
      </c>
      <c r="AK9" s="78"/>
      <c r="AL9" s="536">
        <f>IF(CFE_RateCategory="DAC",INDEX(CFE_History_DAC!$A$4:$DX$37,MATCH(VLOOKUP(CFE_Region,ListData!$B$2:$C$8,2,FALSE),CFE_History_DAC!$A$4:$A$37,0)+1,MATCH($AD9,CFE_History_DAC!$A$2:$DX$2,0)),IF(CFE_RateCategory="Tarifa 2",INDEX(CFE_History_Tarifa2!$B$4:$DV$9,6,MATCH($AD9,CFE_History_Tarifa2!$B$2:$DV$2,0)),"NaN"))</f>
        <v>98.71</v>
      </c>
      <c r="AM9" s="536">
        <f>IF(CFE_RateCategory="DAC",INDEX(CFE_History_DAC!$A$4:$DX$37,MATCH(VLOOKUP(CFE_Region,ListData!$B$2:$C$8,2,FALSE),CFE_History_DAC!$A$4:$A$37,0)+2,MATCH($AD9,CFE_History_DAC!$A$2:$DX$2,0)),IF(CFE_RateCategory="Tarifa 2",(MIN(Inputs!$B$32,50*12)*INDEX(CFE_History_Tarifa2!$B$4:$DV$9,2,MATCH($AD9,CFE_History_Tarifa2!$B$2:$DV$2,0))+MAX(0,MIN(Inputs!$B$32-50*12,50*12))*INDEX(CFE_History_Tarifa2!$B$4:$DV$9,3,MATCH($AD9,CFE_History_Tarifa2!$B$2:$DV$2,0))+MAX(Inputs!$B$32-100*12,0)*INDEX(CFE_History_Tarifa2!$B$4:$DV$9,4,MATCH($AD9,CFE_History_Tarifa2!$B$2:$DV$2,0)))/Inputs!$B$32,"NaN"))</f>
        <v>4.3550000000000004</v>
      </c>
      <c r="AN9" s="480">
        <f t="shared" si="3"/>
        <v>6532.5000000000009</v>
      </c>
      <c r="AO9" s="421">
        <f t="shared" si="4"/>
        <v>6631.2100000000009</v>
      </c>
      <c r="AP9" s="421">
        <f t="shared" si="5"/>
        <v>663.12100000000009</v>
      </c>
      <c r="AQ9" s="421">
        <f t="shared" si="6"/>
        <v>1060.9936000000002</v>
      </c>
      <c r="AR9" s="422">
        <f t="shared" si="7"/>
        <v>8355.3246000000017</v>
      </c>
      <c r="AS9" s="480">
        <f t="shared" si="8"/>
        <v>0</v>
      </c>
      <c r="AT9" s="421">
        <f t="shared" si="19"/>
        <v>98.71</v>
      </c>
      <c r="AU9" s="421">
        <f t="shared" si="9"/>
        <v>9.8710000000000004</v>
      </c>
      <c r="AV9" s="421">
        <f t="shared" si="10"/>
        <v>15.7936</v>
      </c>
      <c r="AW9" s="421">
        <f t="shared" si="20"/>
        <v>124.37459999999999</v>
      </c>
      <c r="AX9" s="421">
        <f t="shared" si="11"/>
        <v>5628.8362506008561</v>
      </c>
      <c r="AY9" s="421">
        <f t="shared" si="21"/>
        <v>5753.2108506008562</v>
      </c>
      <c r="AZ9" s="422">
        <f t="shared" si="22"/>
        <v>2602.1137493991455</v>
      </c>
      <c r="BA9" s="542"/>
    </row>
    <row r="10" spans="1:53" x14ac:dyDescent="0.15">
      <c r="A10" s="541"/>
      <c r="B10" s="500">
        <v>6</v>
      </c>
      <c r="C10" s="470"/>
      <c r="D10" s="471">
        <f ca="1">IFERROR(IF(OR(B10&lt;5,B10&gt;Cust_LeaseTermYears),"N/A",IF(OR(Scenario_Variable="Final Payment",Scenario_Variable="Pago Final",B10&lt;Cust_LeaseTermYears),MAX(0,HLOOKUP(B10*12,Model!$D$50:$GA$80,31,FALSE)),Cust_TotalPymtAtTermEnd)),"N/A")</f>
        <v>193798.62083288681</v>
      </c>
      <c r="E10" s="471">
        <f ca="1">IFERROR(MAX(0,D10-SUM(F$5:F10)),"N/A")</f>
        <v>22023.183654335415</v>
      </c>
      <c r="F10" s="421">
        <f>Savings!AE11</f>
        <v>42704.07950346444</v>
      </c>
      <c r="G10" s="483">
        <f>IF($C$4&lt;=0,"Infinity",IFERROR(IRR(F$4:F10),"N/A"))</f>
        <v>1.5255983046224224</v>
      </c>
      <c r="H10" s="542"/>
      <c r="J10" s="541"/>
      <c r="K10" s="500">
        <v>6</v>
      </c>
      <c r="L10" s="473">
        <f t="shared" si="23"/>
        <v>0.43232759591155645</v>
      </c>
      <c r="M10" s="470">
        <v>0</v>
      </c>
      <c r="N10" s="471">
        <f>IF($M$4=0,0,(-HLOOKUP(K10,Model!$D$36:$R$37,2,FALSE)+IF(K10=$Z$6,Unit_Internal!$E$30,0))*(1+$Z$7))</f>
        <v>3437.5351302699269</v>
      </c>
      <c r="O10" s="421">
        <f>(((MAX(0,Savings!C11-(Savings!L11*(1-$Z$5)))-Savings!O11)*INDEX(Savings!$AK11:$AM11,1,MATCH(CFE_RateCategory,Savings!$AK$1:$AM$1,0)))+(IF($Z$5=0,0,(Savings!O11*(INDEX(Savings!$AK11:$AM11,1,MATCH(CFE_RateCategory,Savings!$AK$1:$AM$1,0))-Savings!R11)))))*(1+DAP+IVA)</f>
        <v>15082.500845128823</v>
      </c>
      <c r="P10" s="421">
        <f t="shared" si="12"/>
        <v>18520.03597539875</v>
      </c>
      <c r="Q10" s="472">
        <f t="shared" si="13"/>
        <v>8006.7226294396796</v>
      </c>
      <c r="R10" s="470">
        <f>IF(K10&lt;&gt;Cust_LeaseTermYears,0,IF(AND(OR(Scenario_Variable="Final Payment",Scenario_Variable="Pago Final"),K10=Cust_LeaseTermYears),MAX(0,HLOOKUP(K10*12,Model!$D$50:$GA$80,31,FALSE)),Cust_TotalPymtAtTermEnd))</f>
        <v>0</v>
      </c>
      <c r="S10" s="471">
        <f>Savings!AB11</f>
        <v>80223.500778808026</v>
      </c>
      <c r="T10" s="421">
        <f t="shared" si="14"/>
        <v>80223.500778808026</v>
      </c>
      <c r="U10" s="421">
        <f t="shared" si="0"/>
        <v>34682.833227310948</v>
      </c>
      <c r="V10" s="472">
        <f t="shared" si="15"/>
        <v>-26676.110597871269</v>
      </c>
      <c r="W10" s="542"/>
      <c r="Y10" s="202" t="s">
        <v>905</v>
      </c>
      <c r="Z10" s="223" t="str">
        <f>Sys_SunHoursCity&amp;"_"&amp;Sys_Tilt&amp;"_"&amp;Sys_Azimuth</f>
        <v>Queretaro_Optimal Year Round_180</v>
      </c>
      <c r="AC10" s="541"/>
      <c r="AD10" s="505" t="s">
        <v>811</v>
      </c>
      <c r="AE10" s="506">
        <f>IFERROR(AVERAGE(Inputs!B42:B42),CustUsage_kWhPerYear/12)</f>
        <v>1800</v>
      </c>
      <c r="AF10" s="507">
        <f t="shared" si="1"/>
        <v>6.07</v>
      </c>
      <c r="AG10" s="506">
        <f t="shared" si="2"/>
        <v>1235.8582811146</v>
      </c>
      <c r="AH10" s="506">
        <f t="shared" si="16"/>
        <v>564.1417188854</v>
      </c>
      <c r="AI10" s="421">
        <f t="shared" si="17"/>
        <v>1509.9191031856001</v>
      </c>
      <c r="AJ10" s="421">
        <f t="shared" si="18"/>
        <v>0</v>
      </c>
      <c r="AK10" s="78"/>
      <c r="AL10" s="536">
        <f>IF(CFE_RateCategory="DAC",INDEX(CFE_History_DAC!$A$4:$DX$37,MATCH(VLOOKUP(CFE_Region,ListData!$B$2:$C$8,2,FALSE),CFE_History_DAC!$A$4:$A$37,0)+1,MATCH($AD10,CFE_History_DAC!$A$2:$DX$2,0)),IF(CFE_RateCategory="Tarifa 2",INDEX(CFE_History_Tarifa2!$B$4:$DV$9,6,MATCH($AD10,CFE_History_Tarifa2!$B$2:$DV$2,0)),"NaN"))</f>
        <v>98.86</v>
      </c>
      <c r="AM10" s="536">
        <f>IF(CFE_RateCategory="DAC",INDEX(CFE_History_DAC!$A$4:$DX$37,MATCH(VLOOKUP(CFE_Region,ListData!$B$2:$C$8,2,FALSE),CFE_History_DAC!$A$4:$A$37,0)+2,MATCH($AD10,CFE_History_DAC!$A$2:$DX$2,0)),IF(CFE_RateCategory="Tarifa 2",(MIN(Inputs!$B$32,50*12)*INDEX(CFE_History_Tarifa2!$B$4:$DV$9,2,MATCH($AD10,CFE_History_Tarifa2!$B$2:$DV$2,0))+MAX(0,MIN(Inputs!$B$32-50*12,50*12))*INDEX(CFE_History_Tarifa2!$B$4:$DV$9,3,MATCH($AD10,CFE_History_Tarifa2!$B$2:$DV$2,0))+MAX(Inputs!$B$32-100*12,0)*INDEX(CFE_History_Tarifa2!$B$4:$DV$9,4,MATCH($AD10,CFE_History_Tarifa2!$B$2:$DV$2,0)))/Inputs!$B$32,"NaN"))</f>
        <v>4.3479999999999999</v>
      </c>
      <c r="AN10" s="480">
        <f t="shared" si="3"/>
        <v>7826.4</v>
      </c>
      <c r="AO10" s="421">
        <f t="shared" si="4"/>
        <v>7925.2599999999993</v>
      </c>
      <c r="AP10" s="421">
        <f t="shared" si="5"/>
        <v>792.52599999999995</v>
      </c>
      <c r="AQ10" s="421">
        <f t="shared" si="6"/>
        <v>1268.0416</v>
      </c>
      <c r="AR10" s="422">
        <f t="shared" si="7"/>
        <v>9985.8276000000005</v>
      </c>
      <c r="AS10" s="480">
        <f t="shared" si="8"/>
        <v>0</v>
      </c>
      <c r="AT10" s="421">
        <f t="shared" si="19"/>
        <v>98.86</v>
      </c>
      <c r="AU10" s="421">
        <f t="shared" si="9"/>
        <v>9.886000000000001</v>
      </c>
      <c r="AV10" s="421">
        <f t="shared" si="10"/>
        <v>15.817600000000001</v>
      </c>
      <c r="AW10" s="421">
        <f t="shared" si="20"/>
        <v>124.56359999999999</v>
      </c>
      <c r="AX10" s="421">
        <f t="shared" si="11"/>
        <v>5628.8362506008561</v>
      </c>
      <c r="AY10" s="421">
        <f t="shared" si="21"/>
        <v>5753.3998506008566</v>
      </c>
      <c r="AZ10" s="422">
        <f t="shared" si="22"/>
        <v>4232.427749399144</v>
      </c>
      <c r="BA10" s="542"/>
    </row>
    <row r="11" spans="1:53" x14ac:dyDescent="0.15">
      <c r="A11" s="541"/>
      <c r="B11" s="500">
        <v>7</v>
      </c>
      <c r="C11" s="470"/>
      <c r="D11" s="471">
        <f ca="1">IFERROR(IF(OR(B11&lt;5,B11&gt;Cust_LeaseTermYears),"N/A",IF(OR(Scenario_Variable="Final Payment",Scenario_Variable="Pago Final",B11&lt;Cust_LeaseTermYears),MAX(0,HLOOKUP(B11*12,Model!$D$50:$GA$80,31,FALSE)),Cust_TotalPymtAtTermEnd)),"N/A")</f>
        <v>160579.91087838021</v>
      </c>
      <c r="E11" s="471">
        <f ca="1">IFERROR(MAX(0,D11-SUM(F$5:F11)),"N/A")</f>
        <v>0</v>
      </c>
      <c r="F11" s="421">
        <f>Savings!AE12</f>
        <v>49674.498124225967</v>
      </c>
      <c r="G11" s="483">
        <f>IF($C$4&lt;=0,"Infinity",IFERROR(IRR(F$4:F11),"N/A"))</f>
        <v>1.5336674373574875</v>
      </c>
      <c r="H11" s="542"/>
      <c r="J11" s="541"/>
      <c r="K11" s="500">
        <v>7</v>
      </c>
      <c r="L11" s="473">
        <f t="shared" si="23"/>
        <v>0.37593703992309269</v>
      </c>
      <c r="M11" s="470">
        <v>0</v>
      </c>
      <c r="N11" s="471">
        <f>IF($M$4=0,0,(-HLOOKUP(K11,Model!$D$36:$R$37,2,FALSE)+IF(K11=$Z$6,Unit_Internal!$E$30,0))*(1+$Z$7))</f>
        <v>3540.6611841780245</v>
      </c>
      <c r="O11" s="421">
        <f>(((MAX(0,Savings!C12-(Savings!L12*(1-$Z$5)))-Savings!O12)*INDEX(Savings!$AK12:$AM12,1,MATCH(CFE_RateCategory,Savings!$AK$1:$AM$1,0)))+(IF($Z$5=0,0,(Savings!O12*(INDEX(Savings!$AK12:$AM12,1,MATCH(CFE_RateCategory,Savings!$AK$1:$AM$1,0))-Savings!R12)))))*(1+DAP+IVA)</f>
        <v>16820.362278873403</v>
      </c>
      <c r="P11" s="421">
        <f t="shared" si="12"/>
        <v>20361.023463051428</v>
      </c>
      <c r="Q11" s="472">
        <f t="shared" si="13"/>
        <v>7654.4628905041918</v>
      </c>
      <c r="R11" s="470">
        <f>IF(K11&lt;&gt;Cust_LeaseTermYears,0,IF(AND(OR(Scenario_Variable="Final Payment",Scenario_Variable="Pago Final"),K11=Cust_LeaseTermYears),MAX(0,HLOOKUP(K11*12,Model!$D$50:$GA$80,31,FALSE)),Cust_TotalPymtAtTermEnd))</f>
        <v>0</v>
      </c>
      <c r="S11" s="471">
        <f>Savings!AB12</f>
        <v>83031.323306066304</v>
      </c>
      <c r="T11" s="421">
        <f t="shared" si="14"/>
        <v>83031.323306066304</v>
      </c>
      <c r="U11" s="421">
        <f t="shared" si="0"/>
        <v>31214.549904579864</v>
      </c>
      <c r="V11" s="472">
        <f t="shared" si="15"/>
        <v>-23560.087014075674</v>
      </c>
      <c r="W11" s="542"/>
      <c r="Y11" s="202" t="s">
        <v>906</v>
      </c>
      <c r="Z11" s="215">
        <f>MATCH(Z10,Rng_IrradianceKeys,0)</f>
        <v>455</v>
      </c>
      <c r="AC11" s="541"/>
      <c r="AD11" s="505" t="s">
        <v>812</v>
      </c>
      <c r="AE11" s="506">
        <f>IFERROR(AVERAGE(Inputs!B43:B43),CustUsage_kWhPerYear/12)</f>
        <v>1774</v>
      </c>
      <c r="AF11" s="507">
        <f t="shared" si="1"/>
        <v>5.73</v>
      </c>
      <c r="AG11" s="506">
        <f t="shared" si="2"/>
        <v>1166.6339292894002</v>
      </c>
      <c r="AH11" s="506">
        <f t="shared" si="16"/>
        <v>607.36607071059984</v>
      </c>
      <c r="AI11" s="421">
        <f t="shared" si="17"/>
        <v>902.55303247500024</v>
      </c>
      <c r="AJ11" s="421">
        <f t="shared" si="18"/>
        <v>0</v>
      </c>
      <c r="AK11" s="78"/>
      <c r="AL11" s="536">
        <f>IF(CFE_RateCategory="DAC",INDEX(CFE_History_DAC!$A$4:$DX$37,MATCH(VLOOKUP(CFE_Region,ListData!$B$2:$C$8,2,FALSE),CFE_History_DAC!$A$4:$A$37,0)+1,MATCH($AD11,CFE_History_DAC!$A$2:$DX$2,0)),IF(CFE_RateCategory="Tarifa 2",INDEX(CFE_History_Tarifa2!$B$4:$DV$9,6,MATCH($AD11,CFE_History_Tarifa2!$B$2:$DV$2,0)),"NaN"))</f>
        <v>98</v>
      </c>
      <c r="AM11" s="536">
        <f>IF(CFE_RateCategory="DAC",INDEX(CFE_History_DAC!$A$4:$DX$37,MATCH(VLOOKUP(CFE_Region,ListData!$B$2:$C$8,2,FALSE),CFE_History_DAC!$A$4:$A$37,0)+2,MATCH($AD11,CFE_History_DAC!$A$2:$DX$2,0)),IF(CFE_RateCategory="Tarifa 2",(MIN(Inputs!$B$32,50*12)*INDEX(CFE_History_Tarifa2!$B$4:$DV$9,2,MATCH($AD11,CFE_History_Tarifa2!$B$2:$DV$2,0))+MAX(0,MIN(Inputs!$B$32-50*12,50*12))*INDEX(CFE_History_Tarifa2!$B$4:$DV$9,3,MATCH($AD11,CFE_History_Tarifa2!$B$2:$DV$2,0))+MAX(Inputs!$B$32-100*12,0)*INDEX(CFE_History_Tarifa2!$B$4:$DV$9,4,MATCH($AD11,CFE_History_Tarifa2!$B$2:$DV$2,0)))/Inputs!$B$32,"NaN"))</f>
        <v>4.274</v>
      </c>
      <c r="AN11" s="480">
        <f t="shared" si="3"/>
        <v>7582.076</v>
      </c>
      <c r="AO11" s="421">
        <f t="shared" si="4"/>
        <v>7680.076</v>
      </c>
      <c r="AP11" s="421">
        <f t="shared" si="5"/>
        <v>768.00760000000002</v>
      </c>
      <c r="AQ11" s="421">
        <f t="shared" si="6"/>
        <v>1228.8121599999999</v>
      </c>
      <c r="AR11" s="422">
        <f t="shared" si="7"/>
        <v>9676.8957599999994</v>
      </c>
      <c r="AS11" s="480">
        <f t="shared" si="8"/>
        <v>0</v>
      </c>
      <c r="AT11" s="421">
        <f t="shared" si="19"/>
        <v>98</v>
      </c>
      <c r="AU11" s="421">
        <f t="shared" si="9"/>
        <v>9.8000000000000007</v>
      </c>
      <c r="AV11" s="421">
        <f t="shared" si="10"/>
        <v>15.68</v>
      </c>
      <c r="AW11" s="421">
        <f t="shared" si="20"/>
        <v>123.47999999999999</v>
      </c>
      <c r="AX11" s="421">
        <f t="shared" si="11"/>
        <v>5628.8362506008561</v>
      </c>
      <c r="AY11" s="421">
        <f t="shared" si="21"/>
        <v>5752.3162506008557</v>
      </c>
      <c r="AZ11" s="422">
        <f t="shared" si="22"/>
        <v>3924.5795093991437</v>
      </c>
      <c r="BA11" s="542"/>
    </row>
    <row r="12" spans="1:53" x14ac:dyDescent="0.15">
      <c r="A12" s="541"/>
      <c r="B12" s="500">
        <v>8</v>
      </c>
      <c r="C12" s="470"/>
      <c r="D12" s="471">
        <f ca="1">IFERROR(IF(OR(B12&lt;5,B12&gt;Cust_LeaseTermYears),"N/A",IF(OR(Scenario_Variable="Final Payment",Scenario_Variable="Pago Final",B12&lt;Cust_LeaseTermYears),MAX(0,HLOOKUP(B12*12,Model!$D$50:$GA$80,31,FALSE)),Cust_TotalPymtAtTermEnd)),"N/A")</f>
        <v>120187.51569042713</v>
      </c>
      <c r="E12" s="471">
        <f ca="1">IFERROR(MAX(0,D12-SUM(F$5:F12)),"N/A")</f>
        <v>0</v>
      </c>
      <c r="F12" s="421">
        <f>Savings!AE13</f>
        <v>57331.166110509817</v>
      </c>
      <c r="G12" s="483">
        <f>IF($C$4&lt;=0,"Infinity",IFERROR(IRR(F$4:F12),"N/A"))</f>
        <v>1.5372517164246022</v>
      </c>
      <c r="H12" s="542"/>
      <c r="J12" s="541"/>
      <c r="K12" s="500">
        <v>8</v>
      </c>
      <c r="L12" s="473">
        <f t="shared" si="23"/>
        <v>0.32690177384616753</v>
      </c>
      <c r="M12" s="470">
        <v>0</v>
      </c>
      <c r="N12" s="471">
        <f>IF($M$4=0,0,(-HLOOKUP(K12,Model!$D$36:$R$37,2,FALSE)+IF(K12=$Z$6,Unit_Internal!$E$30,0))*(1+$Z$7))</f>
        <v>3646.8810197033654</v>
      </c>
      <c r="O12" s="421">
        <f>(((MAX(0,Savings!C13-(Savings!L13*(1-$Z$5)))-Savings!O13)*INDEX(Savings!$AK13:$AM13,1,MATCH(CFE_RateCategory,Savings!$AK$1:$AM$1,0)))+(IF($Z$5=0,0,(Savings!O13*(INDEX(Savings!$AK13:$AM13,1,MATCH(CFE_RateCategory,Savings!$AK$1:$AM$1,0))-Savings!R13)))))*(1+DAP+IVA)</f>
        <v>18747.475142031679</v>
      </c>
      <c r="P12" s="421">
        <f t="shared" si="12"/>
        <v>22394.356161735042</v>
      </c>
      <c r="Q12" s="472">
        <f t="shared" si="13"/>
        <v>7320.7547534140376</v>
      </c>
      <c r="R12" s="470">
        <f>IF(K12&lt;&gt;Cust_LeaseTermYears,0,IF(AND(OR(Scenario_Variable="Final Payment",Scenario_Variable="Pago Final"),K12=Cust_LeaseTermYears),MAX(0,HLOOKUP(K12*12,Model!$D$50:$GA$80,31,FALSE)),Cust_TotalPymtAtTermEnd))</f>
        <v>0</v>
      </c>
      <c r="S12" s="471">
        <f>Savings!AB13</f>
        <v>85937.419621778623</v>
      </c>
      <c r="T12" s="421">
        <f t="shared" si="14"/>
        <v>85937.419621778623</v>
      </c>
      <c r="U12" s="421">
        <f t="shared" si="0"/>
        <v>28093.094914121877</v>
      </c>
      <c r="V12" s="472">
        <f t="shared" si="15"/>
        <v>-20772.340160707841</v>
      </c>
      <c r="W12" s="542"/>
      <c r="AC12" s="541"/>
      <c r="AD12" s="505" t="s">
        <v>813</v>
      </c>
      <c r="AE12" s="506">
        <f>IFERROR(AVERAGE(Inputs!B44:B44),CustUsage_kWhPerYear/12)</f>
        <v>1544</v>
      </c>
      <c r="AF12" s="507">
        <f t="shared" si="1"/>
        <v>5.55</v>
      </c>
      <c r="AG12" s="506">
        <f t="shared" si="2"/>
        <v>1129.9857430290001</v>
      </c>
      <c r="AH12" s="506">
        <f t="shared" si="16"/>
        <v>414.0142569709999</v>
      </c>
      <c r="AI12" s="421">
        <f t="shared" si="17"/>
        <v>488.53877550400034</v>
      </c>
      <c r="AJ12" s="421">
        <f t="shared" si="18"/>
        <v>0</v>
      </c>
      <c r="AK12" s="78"/>
      <c r="AL12" s="536">
        <f>IF(CFE_RateCategory="DAC",INDEX(CFE_History_DAC!$A$4:$DX$37,MATCH(VLOOKUP(CFE_Region,ListData!$B$2:$C$8,2,FALSE),CFE_History_DAC!$A$4:$A$37,0)+1,MATCH($AD12,CFE_History_DAC!$A$2:$DX$2,0)),IF(CFE_RateCategory="Tarifa 2",INDEX(CFE_History_Tarifa2!$B$4:$DV$9,6,MATCH($AD12,CFE_History_Tarifa2!$B$2:$DV$2,0)),"NaN"))</f>
        <v>92.45</v>
      </c>
      <c r="AM12" s="536">
        <f>IF(CFE_RateCategory="DAC",INDEX(CFE_History_DAC!$A$4:$DX$37,MATCH(VLOOKUP(CFE_Region,ListData!$B$2:$C$8,2,FALSE),CFE_History_DAC!$A$4:$A$37,0)+2,MATCH($AD12,CFE_History_DAC!$A$2:$DX$2,0)),IF(CFE_RateCategory="Tarifa 2",(MIN(Inputs!$B$32,50*12)*INDEX(CFE_History_Tarifa2!$B$4:$DV$9,2,MATCH($AD12,CFE_History_Tarifa2!$B$2:$DV$2,0))+MAX(0,MIN(Inputs!$B$32-50*12,50*12))*INDEX(CFE_History_Tarifa2!$B$4:$DV$9,3,MATCH($AD12,CFE_History_Tarifa2!$B$2:$DV$2,0))+MAX(Inputs!$B$32-100*12,0)*INDEX(CFE_History_Tarifa2!$B$4:$DV$9,4,MATCH($AD12,CFE_History_Tarifa2!$B$2:$DV$2,0)))/Inputs!$B$32,"NaN"))</f>
        <v>3.8620000000000001</v>
      </c>
      <c r="AN12" s="480">
        <f t="shared" si="3"/>
        <v>5962.9279999999999</v>
      </c>
      <c r="AO12" s="421">
        <f t="shared" si="4"/>
        <v>6055.3779999999997</v>
      </c>
      <c r="AP12" s="421">
        <f t="shared" si="5"/>
        <v>605.53779999999995</v>
      </c>
      <c r="AQ12" s="421">
        <f t="shared" si="6"/>
        <v>968.86047999999994</v>
      </c>
      <c r="AR12" s="422">
        <f t="shared" si="7"/>
        <v>7629.77628</v>
      </c>
      <c r="AS12" s="480">
        <f t="shared" si="8"/>
        <v>0</v>
      </c>
      <c r="AT12" s="421">
        <f t="shared" si="19"/>
        <v>92.45</v>
      </c>
      <c r="AU12" s="421">
        <f t="shared" si="9"/>
        <v>9.245000000000001</v>
      </c>
      <c r="AV12" s="421">
        <f t="shared" si="10"/>
        <v>14.792000000000002</v>
      </c>
      <c r="AW12" s="421">
        <f t="shared" si="20"/>
        <v>116.48700000000001</v>
      </c>
      <c r="AX12" s="421">
        <f t="shared" si="11"/>
        <v>5628.8362506008561</v>
      </c>
      <c r="AY12" s="421">
        <f t="shared" si="21"/>
        <v>5745.3232506008562</v>
      </c>
      <c r="AZ12" s="422">
        <f t="shared" si="22"/>
        <v>1884.4530293991438</v>
      </c>
      <c r="BA12" s="542"/>
    </row>
    <row r="13" spans="1:53" x14ac:dyDescent="0.15">
      <c r="A13" s="541"/>
      <c r="B13" s="500">
        <v>9</v>
      </c>
      <c r="C13" s="470"/>
      <c r="D13" s="471">
        <f ca="1">IFERROR(IF(OR(B13&lt;5,B13&gt;Cust_LeaseTermYears),"N/A",IF(OR(Scenario_Variable="Final Payment",Scenario_Variable="Pago Final",B13&lt;Cust_LeaseTermYears),MAX(0,HLOOKUP(B13*12,Model!$D$50:$GA$80,31,FALSE)),Cust_TotalPymtAtTermEnd)),"N/A")</f>
        <v>71540.391113892925</v>
      </c>
      <c r="E13" s="471">
        <f ca="1">IFERROR(MAX(0,D13-SUM(F$5:F13)),"N/A")</f>
        <v>0</v>
      </c>
      <c r="F13" s="421">
        <f>Savings!AE14</f>
        <v>65733.591932513504</v>
      </c>
      <c r="G13" s="483">
        <f>IF($C$4&lt;=0,"Infinity",IFERROR(IRR(F$4:F13),"N/A"))</f>
        <v>1.5388502355606688</v>
      </c>
      <c r="H13" s="542"/>
      <c r="J13" s="541"/>
      <c r="K13" s="500">
        <v>9</v>
      </c>
      <c r="L13" s="473">
        <f t="shared" si="23"/>
        <v>0.28426241204014574</v>
      </c>
      <c r="M13" s="470">
        <v>0</v>
      </c>
      <c r="N13" s="471">
        <f>IF($M$4=0,0,(-HLOOKUP(K13,Model!$D$36:$R$37,2,FALSE)+IF(K13=$Z$6,Unit_Internal!$E$30,0))*(1+$Z$7))</f>
        <v>3756.287450294466</v>
      </c>
      <c r="O13" s="421">
        <f>(((MAX(0,Savings!C14-(Savings!L14*(1-$Z$5)))-Savings!O14)*INDEX(Savings!$AK14:$AM14,1,MATCH(CFE_RateCategory,Savings!$AK$1:$AM$1,0)))+(IF($Z$5=0,0,(Savings!O14*(INDEX(Savings!$AK14:$AM14,1,MATCH(CFE_RateCategory,Savings!$AK$1:$AM$1,0))-Savings!R14)))))*(1+DAP+IVA)</f>
        <v>20883.003182220735</v>
      </c>
      <c r="P13" s="421">
        <f t="shared" si="12"/>
        <v>24639.2906325152</v>
      </c>
      <c r="Q13" s="472">
        <f t="shared" si="13"/>
        <v>7004.0241861569393</v>
      </c>
      <c r="R13" s="470">
        <f>IF(K13&lt;&gt;Cust_LeaseTermYears,0,IF(AND(OR(Scenario_Variable="Final Payment",Scenario_Variable="Pago Final"),K13=Cust_LeaseTermYears),MAX(0,HLOOKUP(K13*12,Model!$D$50:$GA$80,31,FALSE)),Cust_TotalPymtAtTermEnd))</f>
        <v>0</v>
      </c>
      <c r="S13" s="471">
        <f>Savings!AB14</f>
        <v>88945.22930854086</v>
      </c>
      <c r="T13" s="421">
        <f t="shared" si="14"/>
        <v>88945.22930854086</v>
      </c>
      <c r="U13" s="421">
        <f t="shared" si="0"/>
        <v>25283.78542270969</v>
      </c>
      <c r="V13" s="472">
        <f t="shared" si="15"/>
        <v>-18279.761236552753</v>
      </c>
      <c r="W13" s="542"/>
      <c r="AC13" s="541"/>
      <c r="AD13" s="505" t="s">
        <v>814</v>
      </c>
      <c r="AE13" s="506">
        <f>IFERROR(AVERAGE(Inputs!B45:B45),CustUsage_kWhPerYear/12)</f>
        <v>1498</v>
      </c>
      <c r="AF13" s="507">
        <f t="shared" si="1"/>
        <v>5.84</v>
      </c>
      <c r="AG13" s="506">
        <f t="shared" si="2"/>
        <v>1189.0300431151998</v>
      </c>
      <c r="AH13" s="506">
        <f t="shared" si="16"/>
        <v>308.96995688480024</v>
      </c>
      <c r="AI13" s="421">
        <f t="shared" si="17"/>
        <v>179.5688186192001</v>
      </c>
      <c r="AJ13" s="421">
        <f t="shared" si="18"/>
        <v>0</v>
      </c>
      <c r="AK13" s="78"/>
      <c r="AL13" s="536">
        <f>IF(CFE_RateCategory="DAC",INDEX(CFE_History_DAC!$A$4:$DX$37,MATCH(VLOOKUP(CFE_Region,ListData!$B$2:$C$8,2,FALSE),CFE_History_DAC!$A$4:$A$37,0)+1,MATCH($AD13,CFE_History_DAC!$A$2:$DX$2,0)),IF(CFE_RateCategory="Tarifa 2",INDEX(CFE_History_Tarifa2!$B$4:$DV$9,6,MATCH($AD13,CFE_History_Tarifa2!$B$2:$DV$2,0)),"NaN"))</f>
        <v>92.86</v>
      </c>
      <c r="AM13" s="536">
        <f>IF(CFE_RateCategory="DAC",INDEX(CFE_History_DAC!$A$4:$DX$37,MATCH(VLOOKUP(CFE_Region,ListData!$B$2:$C$8,2,FALSE),CFE_History_DAC!$A$4:$A$37,0)+2,MATCH($AD13,CFE_History_DAC!$A$2:$DX$2,0)),IF(CFE_RateCategory="Tarifa 2",(MIN(Inputs!$B$32,50*12)*INDEX(CFE_History_Tarifa2!$B$4:$DV$9,2,MATCH($AD13,CFE_History_Tarifa2!$B$2:$DV$2,0))+MAX(0,MIN(Inputs!$B$32-50*12,50*12))*INDEX(CFE_History_Tarifa2!$B$4:$DV$9,3,MATCH($AD13,CFE_History_Tarifa2!$B$2:$DV$2,0))+MAX(Inputs!$B$32-100*12,0)*INDEX(CFE_History_Tarifa2!$B$4:$DV$9,4,MATCH($AD13,CFE_History_Tarifa2!$B$2:$DV$2,0)))/Inputs!$B$32,"NaN"))</f>
        <v>3.8660000000000001</v>
      </c>
      <c r="AN13" s="480">
        <f t="shared" si="3"/>
        <v>5791.268</v>
      </c>
      <c r="AO13" s="421">
        <f t="shared" si="4"/>
        <v>5884.1279999999997</v>
      </c>
      <c r="AP13" s="421">
        <f t="shared" si="5"/>
        <v>588.41279999999995</v>
      </c>
      <c r="AQ13" s="421">
        <f t="shared" si="6"/>
        <v>941.46047999999996</v>
      </c>
      <c r="AR13" s="422">
        <f t="shared" si="7"/>
        <v>7414.0012799999995</v>
      </c>
      <c r="AS13" s="480">
        <f t="shared" si="8"/>
        <v>0</v>
      </c>
      <c r="AT13" s="421">
        <f t="shared" si="19"/>
        <v>92.86</v>
      </c>
      <c r="AU13" s="421">
        <f t="shared" si="9"/>
        <v>9.2859999999999996</v>
      </c>
      <c r="AV13" s="421">
        <f t="shared" si="10"/>
        <v>14.8576</v>
      </c>
      <c r="AW13" s="421">
        <f t="shared" si="20"/>
        <v>117.00360000000001</v>
      </c>
      <c r="AX13" s="421">
        <f t="shared" si="11"/>
        <v>5628.8362506008561</v>
      </c>
      <c r="AY13" s="421">
        <f t="shared" si="21"/>
        <v>5745.8398506008562</v>
      </c>
      <c r="AZ13" s="422">
        <f t="shared" si="22"/>
        <v>1668.1614293991433</v>
      </c>
      <c r="BA13" s="542"/>
    </row>
    <row r="14" spans="1:53" x14ac:dyDescent="0.15">
      <c r="A14" s="541"/>
      <c r="B14" s="500">
        <v>10</v>
      </c>
      <c r="C14" s="470"/>
      <c r="D14" s="471">
        <f>IFERROR(IF(OR(B14&lt;5,B14&gt;Cust_LeaseTermYears),"N/A",IF(OR(Scenario_Variable="Final Payment",Scenario_Variable="Pago Final",B14&lt;Cust_LeaseTermYears),MAX(0,HLOOKUP(B14*12,Model!$D$50:$GA$80,31,FALSE)),Cust_TotalPymtAtTermEnd)),"N/A")</f>
        <v>13323.216877566358</v>
      </c>
      <c r="E14" s="471">
        <f>IFERROR(MAX(0,D14-SUM(F$5:F14)),"N/A")</f>
        <v>0</v>
      </c>
      <c r="F14" s="421">
        <f>Savings!AE15</f>
        <v>74437.929127061449</v>
      </c>
      <c r="G14" s="483">
        <f>IF($C$4&lt;=0,"Infinity",IFERROR(IRR(F$4:F14),"N/A"))</f>
        <v>1.5395584385045717</v>
      </c>
      <c r="H14" s="542"/>
      <c r="J14" s="541"/>
      <c r="K14" s="500">
        <v>10</v>
      </c>
      <c r="L14" s="473">
        <f t="shared" si="23"/>
        <v>0.24718470612186585</v>
      </c>
      <c r="M14" s="470">
        <v>0</v>
      </c>
      <c r="N14" s="471">
        <f>IF($M$4=0,0,(-HLOOKUP(K14,Model!$D$36:$R$37,2,FALSE)+IF(K14=$Z$6,Unit_Internal!$E$30,0))*(1+$Z$7))</f>
        <v>47233.136073803304</v>
      </c>
      <c r="O14" s="421">
        <f>(((MAX(0,Savings!C15-(Savings!L15*(1-$Z$5)))-Savings!O15)*INDEX(Savings!$AK15:$AM15,1,MATCH(CFE_RateCategory,Savings!$AK$1:$AM$1,0)))+(IF($Z$5=0,0,(Savings!O15*(INDEX(Savings!$AK15:$AM15,1,MATCH(CFE_RateCategory,Savings!$AK$1:$AM$1,0))-Savings!R15)))))*(1+DAP+IVA)</f>
        <v>23247.95853800849</v>
      </c>
      <c r="P14" s="421">
        <f t="shared" si="12"/>
        <v>70481.094611811801</v>
      </c>
      <c r="Q14" s="472">
        <f t="shared" si="13"/>
        <v>17421.848658768122</v>
      </c>
      <c r="R14" s="470">
        <f>IF(K14&lt;&gt;Cust_LeaseTermYears,0,IF(AND(OR(Scenario_Variable="Final Payment",Scenario_Variable="Pago Final"),K14=Cust_LeaseTermYears),MAX(0,HLOOKUP(K14*12,Model!$D$50:$GA$80,31,FALSE)),Cust_TotalPymtAtTermEnd))</f>
        <v>13323.216877566358</v>
      </c>
      <c r="S14" s="471">
        <f>Savings!AB15</f>
        <v>92058.312334339775</v>
      </c>
      <c r="T14" s="421">
        <f t="shared" si="14"/>
        <v>105381.52921190613</v>
      </c>
      <c r="U14" s="421">
        <f t="shared" si="0"/>
        <v>26048.70232891784</v>
      </c>
      <c r="V14" s="472">
        <f t="shared" si="15"/>
        <v>-8626.8536701497178</v>
      </c>
      <c r="W14" s="542"/>
      <c r="AC14" s="541"/>
      <c r="AD14" s="505" t="s">
        <v>815</v>
      </c>
      <c r="AE14" s="506">
        <f>IFERROR(AVERAGE(Inputs!B46:B46),CustUsage_kWhPerYear/12)</f>
        <v>1686</v>
      </c>
      <c r="AF14" s="507">
        <f t="shared" si="1"/>
        <v>6.19</v>
      </c>
      <c r="AG14" s="506">
        <f t="shared" si="2"/>
        <v>1260.2904052882</v>
      </c>
      <c r="AH14" s="506">
        <f t="shared" si="16"/>
        <v>425.70959471180004</v>
      </c>
      <c r="AI14" s="421">
        <f t="shared" si="17"/>
        <v>0</v>
      </c>
      <c r="AJ14" s="421">
        <f t="shared" si="18"/>
        <v>246.14077609259994</v>
      </c>
      <c r="AK14" s="78"/>
      <c r="AL14" s="536">
        <f>IF(CFE_RateCategory="DAC",INDEX(CFE_History_DAC!$A$4:$DX$37,MATCH(VLOOKUP(CFE_Region,ListData!$B$2:$C$8,2,FALSE),CFE_History_DAC!$A$4:$A$37,0)+1,MATCH($AD14,CFE_History_DAC!$A$2:$DX$2,0)),IF(CFE_RateCategory="Tarifa 2",INDEX(CFE_History_Tarifa2!$B$4:$DV$9,6,MATCH($AD14,CFE_History_Tarifa2!$B$2:$DV$2,0)),"NaN"))</f>
        <v>93.97</v>
      </c>
      <c r="AM14" s="536">
        <f>IF(CFE_RateCategory="DAC",INDEX(CFE_History_DAC!$A$4:$DX$37,MATCH(VLOOKUP(CFE_Region,ListData!$B$2:$C$8,2,FALSE),CFE_History_DAC!$A$4:$A$37,0)+2,MATCH($AD14,CFE_History_DAC!$A$2:$DX$2,0)),IF(CFE_RateCategory="Tarifa 2",(MIN(Inputs!$B$32,50*12)*INDEX(CFE_History_Tarifa2!$B$4:$DV$9,2,MATCH($AD14,CFE_History_Tarifa2!$B$2:$DV$2,0))+MAX(0,MIN(Inputs!$B$32-50*12,50*12))*INDEX(CFE_History_Tarifa2!$B$4:$DV$9,3,MATCH($AD14,CFE_History_Tarifa2!$B$2:$DV$2,0))+MAX(Inputs!$B$32-100*12,0)*INDEX(CFE_History_Tarifa2!$B$4:$DV$9,4,MATCH($AD14,CFE_History_Tarifa2!$B$2:$DV$2,0)))/Inputs!$B$32,"NaN"))</f>
        <v>3.9940000000000002</v>
      </c>
      <c r="AN14" s="480">
        <f t="shared" si="3"/>
        <v>6733.884</v>
      </c>
      <c r="AO14" s="421">
        <f t="shared" si="4"/>
        <v>6827.8540000000003</v>
      </c>
      <c r="AP14" s="421">
        <f t="shared" si="5"/>
        <v>682.7854000000001</v>
      </c>
      <c r="AQ14" s="421">
        <f t="shared" si="6"/>
        <v>1092.4566400000001</v>
      </c>
      <c r="AR14" s="422">
        <f t="shared" si="7"/>
        <v>8603.0960400000004</v>
      </c>
      <c r="AS14" s="480">
        <f t="shared" si="8"/>
        <v>983.08625971384424</v>
      </c>
      <c r="AT14" s="421">
        <f t="shared" si="19"/>
        <v>1077.0562597138442</v>
      </c>
      <c r="AU14" s="421">
        <f>AT14*DAP</f>
        <v>107.70562597138442</v>
      </c>
      <c r="AV14" s="421">
        <f>AT14*IVA</f>
        <v>172.32900155421507</v>
      </c>
      <c r="AW14" s="421">
        <f t="shared" si="20"/>
        <v>1357.0908872394436</v>
      </c>
      <c r="AX14" s="421">
        <f t="shared" si="11"/>
        <v>5628.8362506008561</v>
      </c>
      <c r="AY14" s="421">
        <f t="shared" si="21"/>
        <v>6985.9271378403</v>
      </c>
      <c r="AZ14" s="422">
        <f t="shared" si="22"/>
        <v>1617.1689021597003</v>
      </c>
      <c r="BA14" s="542"/>
    </row>
    <row r="15" spans="1:53" x14ac:dyDescent="0.15">
      <c r="A15" s="541"/>
      <c r="B15" s="500">
        <v>11</v>
      </c>
      <c r="C15" s="470"/>
      <c r="D15" s="471" t="str">
        <f>IFERROR(IF(OR(B15&lt;5,B15&gt;Cust_LeaseTermYears),"N/A",IF(OR(Scenario_Variable="Final Payment",Scenario_Variable="Pago Final",B15&lt;Cust_LeaseTermYears),MAX(0,HLOOKUP(B15*12,Model!$D$50:$GA$80,31,FALSE)),Cust_TotalPymtAtTermEnd)),"N/A")</f>
        <v>N/A</v>
      </c>
      <c r="E15" s="471" t="str">
        <f>IFERROR(MAX(0,D15-SUM(F$5:F15)),"N/A")</f>
        <v>N/A</v>
      </c>
      <c r="F15" s="421">
        <f>Savings!AE16</f>
        <v>179763.52969864945</v>
      </c>
      <c r="G15" s="483">
        <f>IF($C$4&lt;=0,"Infinity",IFERROR(IRR(F$4:F15),"N/A"))</f>
        <v>1.5402287564533741</v>
      </c>
      <c r="H15" s="542"/>
      <c r="J15" s="541"/>
      <c r="K15" s="500">
        <v>11</v>
      </c>
      <c r="L15" s="473">
        <f t="shared" si="23"/>
        <v>0.21494322271466598</v>
      </c>
      <c r="M15" s="470">
        <v>0</v>
      </c>
      <c r="N15" s="471">
        <f>IF($M$4=0,0,(-HLOOKUP(K15,Model!$D$36:$R$37,2,FALSE)+IF(K15=$Z$6,Unit_Internal!$E$30,0))*(1+$Z$7))</f>
        <v>3985.0453560173992</v>
      </c>
      <c r="O15" s="421">
        <f>(((MAX(0,Savings!C16-(Savings!L16*(1-$Z$5)))-Savings!O16)*INDEX(Savings!$AK16:$AM16,1,MATCH(CFE_RateCategory,Savings!$AK$1:$AM$1,0)))+(IF($Z$5=0,0,(Savings!O16*(INDEX(Savings!$AK16:$AM16,1,MATCH(CFE_RateCategory,Savings!$AK$1:$AM$1,0))-Savings!R16)))))*(1+DAP+IVA)</f>
        <v>25865.374432260982</v>
      </c>
      <c r="P15" s="421">
        <f t="shared" si="12"/>
        <v>29850.419788278381</v>
      </c>
      <c r="Q15" s="472">
        <f t="shared" si="13"/>
        <v>6416.1454286781927</v>
      </c>
      <c r="R15" s="470">
        <f>IF(K15&lt;&gt;Cust_LeaseTermYears,0,IF(AND(OR(Scenario_Variable="Final Payment",Scenario_Variable="Pago Final"),K15=Cust_LeaseTermYears),MAX(0,HLOOKUP(K15*12,Model!$D$50:$GA$80,31,FALSE)),Cust_TotalPymtAtTermEnd))</f>
        <v>0</v>
      </c>
      <c r="S15" s="471">
        <f>Savings!AB16</f>
        <v>0</v>
      </c>
      <c r="T15" s="421">
        <f t="shared" si="14"/>
        <v>0</v>
      </c>
      <c r="U15" s="421">
        <f t="shared" si="0"/>
        <v>0</v>
      </c>
      <c r="V15" s="472">
        <f t="shared" si="15"/>
        <v>6416.1454286781927</v>
      </c>
      <c r="W15" s="542"/>
      <c r="AC15" s="541"/>
      <c r="AD15" s="505" t="s">
        <v>816</v>
      </c>
      <c r="AE15" s="506">
        <f>IFERROR(AVERAGE(Inputs!B47:B47),CustUsage_kWhPerYear/12)</f>
        <v>956</v>
      </c>
      <c r="AF15" s="507">
        <f t="shared" si="1"/>
        <v>5.54</v>
      </c>
      <c r="AG15" s="506">
        <f t="shared" si="2"/>
        <v>1127.9497326811997</v>
      </c>
      <c r="AH15" s="506">
        <f t="shared" si="16"/>
        <v>-171.94973268119975</v>
      </c>
      <c r="AI15" s="421">
        <f t="shared" si="17"/>
        <v>171.94973268119975</v>
      </c>
      <c r="AJ15" s="421">
        <f t="shared" si="18"/>
        <v>0</v>
      </c>
      <c r="AK15" s="78"/>
      <c r="AL15" s="536">
        <f>IF(CFE_RateCategory="DAC",INDEX(CFE_History_DAC!$A$4:$DX$37,MATCH(VLOOKUP(CFE_Region,ListData!$B$2:$C$8,2,FALSE),CFE_History_DAC!$A$4:$A$37,0)+1,MATCH($AD15,CFE_History_DAC!$A$2:$DX$2,0)),IF(CFE_RateCategory="Tarifa 2",INDEX(CFE_History_Tarifa2!$B$4:$DV$9,6,MATCH($AD15,CFE_History_Tarifa2!$B$2:$DV$2,0)),"NaN"))</f>
        <v>94.17</v>
      </c>
      <c r="AM15" s="536">
        <f>IF(CFE_RateCategory="DAC",INDEX(CFE_History_DAC!$A$4:$DX$37,MATCH(VLOOKUP(CFE_Region,ListData!$B$2:$C$8,2,FALSE),CFE_History_DAC!$A$4:$A$37,0)+2,MATCH($AD15,CFE_History_DAC!$A$2:$DX$2,0)),IF(CFE_RateCategory="Tarifa 2",(MIN(Inputs!$B$32,50*12)*INDEX(CFE_History_Tarifa2!$B$4:$DV$9,2,MATCH($AD15,CFE_History_Tarifa2!$B$2:$DV$2,0))+MAX(0,MIN(Inputs!$B$32-50*12,50*12))*INDEX(CFE_History_Tarifa2!$B$4:$DV$9,3,MATCH($AD15,CFE_History_Tarifa2!$B$2:$DV$2,0))+MAX(Inputs!$B$32-100*12,0)*INDEX(CFE_History_Tarifa2!$B$4:$DV$9,4,MATCH($AD15,CFE_History_Tarifa2!$B$2:$DV$2,0)))/Inputs!$B$32,"NaN"))</f>
        <v>4.05</v>
      </c>
      <c r="AN15" s="538">
        <f t="shared" si="3"/>
        <v>3871.7999999999997</v>
      </c>
      <c r="AO15" s="539">
        <f t="shared" si="4"/>
        <v>3965.97</v>
      </c>
      <c r="AP15" s="539">
        <f t="shared" si="5"/>
        <v>396.59699999999998</v>
      </c>
      <c r="AQ15" s="539">
        <f t="shared" si="6"/>
        <v>634.55520000000001</v>
      </c>
      <c r="AR15" s="537">
        <f t="shared" si="7"/>
        <v>4997.1221999999998</v>
      </c>
      <c r="AS15" s="538">
        <f t="shared" si="8"/>
        <v>0</v>
      </c>
      <c r="AT15" s="539">
        <f t="shared" si="19"/>
        <v>94.17</v>
      </c>
      <c r="AU15" s="539">
        <f>AT15*DAP</f>
        <v>9.4169999999999998</v>
      </c>
      <c r="AV15" s="539">
        <f>AT15*IVA</f>
        <v>15.0672</v>
      </c>
      <c r="AW15" s="539">
        <f t="shared" si="20"/>
        <v>118.6542</v>
      </c>
      <c r="AX15" s="539">
        <f t="shared" si="11"/>
        <v>5628.8362506008561</v>
      </c>
      <c r="AY15" s="539">
        <f t="shared" si="21"/>
        <v>5747.4904506008561</v>
      </c>
      <c r="AZ15" s="537">
        <f t="shared" si="22"/>
        <v>-750.3682506008563</v>
      </c>
      <c r="BA15" s="542"/>
    </row>
    <row r="16" spans="1:53" x14ac:dyDescent="0.15">
      <c r="A16" s="541"/>
      <c r="B16" s="500">
        <v>12</v>
      </c>
      <c r="C16" s="470"/>
      <c r="D16" s="471" t="str">
        <f>IFERROR(IF(OR(B16&lt;5,B16&gt;Cust_LeaseTermYears),"N/A",IF(OR(Scenario_Variable="Final Payment",Scenario_Variable="Pago Final",B16&lt;Cust_LeaseTermYears),MAX(0,HLOOKUP(B16*12,Model!$D$50:$GA$80,31,FALSE)),Cust_TotalPymtAtTermEnd)),"N/A")</f>
        <v>N/A</v>
      </c>
      <c r="E16" s="471" t="str">
        <f>IFERROR(MAX(0,D16-SUM(F$5:F16)),"N/A")</f>
        <v>N/A</v>
      </c>
      <c r="F16" s="421">
        <f>Savings!AE17</f>
        <v>194105.38042412183</v>
      </c>
      <c r="G16" s="483">
        <f>IF($C$4&lt;=0,"Infinity",IFERROR(IRR(F$4:F16),"N/A"))</f>
        <v>1.5405126865098082</v>
      </c>
      <c r="H16" s="542"/>
      <c r="J16" s="541"/>
      <c r="K16" s="500">
        <v>12</v>
      </c>
      <c r="L16" s="473">
        <f t="shared" si="23"/>
        <v>0.18690715018666609</v>
      </c>
      <c r="M16" s="470">
        <v>0</v>
      </c>
      <c r="N16" s="471">
        <f>IF($M$4=0,0,(-HLOOKUP(K16,Model!$D$36:$R$37,2,FALSE)+IF(K16=$Z$6,Unit_Internal!$E$30,0))*(1+$Z$7))</f>
        <v>4104.5967166979217</v>
      </c>
      <c r="O16" s="421">
        <f>(((MAX(0,Savings!C17-(Savings!L17*(1-$Z$5)))-Savings!O17)*INDEX(Savings!$AK17:$AM17,1,MATCH(CFE_RateCategory,Savings!$AK$1:$AM$1,0)))+(IF($Z$5=0,0,(Savings!O17*(INDEX(Savings!$AK17:$AM17,1,MATCH(CFE_RateCategory,Savings!$AK$1:$AM$1,0))-Savings!R17)))))*(1+DAP+IVA)</f>
        <v>28770.162250568101</v>
      </c>
      <c r="P16" s="421">
        <f t="shared" si="12"/>
        <v>32874.758967266025</v>
      </c>
      <c r="Q16" s="472">
        <f t="shared" si="13"/>
        <v>6144.5275116452385</v>
      </c>
      <c r="R16" s="470">
        <f>IF(K16&lt;&gt;Cust_LeaseTermYears,0,IF(AND(OR(Scenario_Variable="Final Payment",Scenario_Variable="Pago Final"),K16=Cust_LeaseTermYears),MAX(0,HLOOKUP(K16*12,Model!$D$50:$GA$80,31,FALSE)),Cust_TotalPymtAtTermEnd))</f>
        <v>0</v>
      </c>
      <c r="S16" s="471">
        <f>Savings!AB17</f>
        <v>0</v>
      </c>
      <c r="T16" s="421">
        <f t="shared" si="14"/>
        <v>0</v>
      </c>
      <c r="U16" s="421">
        <f t="shared" si="0"/>
        <v>0</v>
      </c>
      <c r="V16" s="472">
        <f t="shared" si="15"/>
        <v>6144.5275116452385</v>
      </c>
      <c r="W16" s="542"/>
      <c r="AC16" s="541"/>
      <c r="AD16" s="505"/>
      <c r="AE16" s="506"/>
      <c r="AF16" s="507"/>
      <c r="AG16" s="506"/>
      <c r="AH16" s="506"/>
      <c r="AI16" s="421"/>
      <c r="AJ16" s="421"/>
      <c r="AK16" s="78"/>
      <c r="AL16" s="536"/>
      <c r="AM16" s="536"/>
      <c r="AN16" s="421"/>
      <c r="AO16" s="421"/>
      <c r="AP16" s="421"/>
      <c r="AQ16" s="421"/>
      <c r="AR16" s="421"/>
      <c r="AS16" s="421"/>
      <c r="AT16" s="421"/>
      <c r="AU16" s="421"/>
      <c r="AV16" s="421"/>
      <c r="AW16" s="421"/>
      <c r="AX16" s="421"/>
      <c r="AY16" s="421"/>
      <c r="AZ16" s="421"/>
      <c r="BA16" s="542"/>
    </row>
    <row r="17" spans="1:53" x14ac:dyDescent="0.15">
      <c r="A17" s="541"/>
      <c r="B17" s="500">
        <v>13</v>
      </c>
      <c r="C17" s="470"/>
      <c r="D17" s="471" t="str">
        <f>IFERROR(IF(OR(B17&lt;5,B17&gt;Cust_LeaseTermYears),"N/A",IF(OR(Scenario_Variable="Final Payment",Scenario_Variable="Pago Final",B17&lt;Cust_LeaseTermYears),MAX(0,HLOOKUP(B17*12,Model!$D$50:$GA$80,31,FALSE)),Cust_TotalPymtAtTermEnd)),"N/A")</f>
        <v>N/A</v>
      </c>
      <c r="E17" s="471" t="str">
        <f>IFERROR(MAX(0,D17-SUM(F$5:F17)),"N/A")</f>
        <v>N/A</v>
      </c>
      <c r="F17" s="421">
        <f>Savings!AE18</f>
        <v>209696.05030400437</v>
      </c>
      <c r="G17" s="483">
        <f>IF($C$4&lt;=0,"Infinity",IFERROR(IRR(F$4:F17),"N/A"))</f>
        <v>1.5406332246262386</v>
      </c>
      <c r="H17" s="542"/>
      <c r="J17" s="541"/>
      <c r="K17" s="500">
        <v>13</v>
      </c>
      <c r="L17" s="473">
        <f t="shared" si="23"/>
        <v>0.16252795668405748</v>
      </c>
      <c r="M17" s="470">
        <v>0</v>
      </c>
      <c r="N17" s="471">
        <f>IF($M$4=0,0,(-HLOOKUP(K17,Model!$D$36:$R$37,2,FALSE)+IF(K17=$Z$6,Unit_Internal!$E$30,0))*(1+$Z$7))</f>
        <v>4227.7346181988596</v>
      </c>
      <c r="O17" s="421">
        <f>(((MAX(0,Savings!C18-(Savings!L18*(1-$Z$5)))-Savings!O18)*INDEX(Savings!$AK18:$AM18,1,MATCH(CFE_RateCategory,Savings!$AK$1:$AM$1,0)))+(IF($Z$5=0,0,(Savings!O18*(INDEX(Savings!$AK18:$AM18,1,MATCH(CFE_RateCategory,Savings!$AK$1:$AM$1,0))-Savings!R18)))))*(1+DAP+IVA)</f>
        <v>32078.78735184377</v>
      </c>
      <c r="P17" s="421">
        <f t="shared" si="12"/>
        <v>36306.521970042631</v>
      </c>
      <c r="Q17" s="472">
        <f t="shared" si="13"/>
        <v>5900.8248300958703</v>
      </c>
      <c r="R17" s="470">
        <f>IF(K17&lt;&gt;Cust_LeaseTermYears,0,IF(AND(OR(Scenario_Variable="Final Payment",Scenario_Variable="Pago Final"),K17=Cust_LeaseTermYears),MAX(0,HLOOKUP(K17*12,Model!$D$50:$GA$80,31,FALSE)),Cust_TotalPymtAtTermEnd))</f>
        <v>0</v>
      </c>
      <c r="S17" s="471">
        <f>Savings!AB18</f>
        <v>0</v>
      </c>
      <c r="T17" s="421">
        <f t="shared" si="14"/>
        <v>0</v>
      </c>
      <c r="U17" s="421">
        <f t="shared" si="0"/>
        <v>0</v>
      </c>
      <c r="V17" s="472">
        <f t="shared" si="15"/>
        <v>5900.8248300958703</v>
      </c>
      <c r="W17" s="542"/>
      <c r="AC17" s="541"/>
      <c r="AD17" s="505"/>
      <c r="AE17" s="506"/>
      <c r="AF17" s="507"/>
      <c r="AG17" s="506"/>
      <c r="AH17" s="506"/>
      <c r="AI17" s="421"/>
      <c r="AJ17" s="421"/>
      <c r="AK17" s="78"/>
      <c r="AL17" s="579" t="s">
        <v>1024</v>
      </c>
      <c r="AM17" s="592">
        <f>AVERAGE(AM4:AM15)</f>
        <v>4.2359999999999998</v>
      </c>
      <c r="AN17" s="421"/>
      <c r="AO17" s="421"/>
      <c r="AP17" s="421"/>
      <c r="AQ17" s="421"/>
      <c r="AR17" s="421"/>
      <c r="AS17" s="421"/>
      <c r="AT17" s="421"/>
      <c r="AU17" s="421"/>
      <c r="AV17" s="421"/>
      <c r="AW17" s="421"/>
      <c r="AX17" s="421"/>
      <c r="AY17" s="471" t="s">
        <v>1025</v>
      </c>
      <c r="AZ17" s="591">
        <f>AI19*AM18*(1+CFE_YrIncreasePct)*(1+DAP+IVA)</f>
        <v>985.36384360910142</v>
      </c>
      <c r="BA17" s="542"/>
    </row>
    <row r="18" spans="1:53" x14ac:dyDescent="0.15">
      <c r="A18" s="541"/>
      <c r="B18" s="500">
        <v>14</v>
      </c>
      <c r="C18" s="470"/>
      <c r="D18" s="471" t="str">
        <f>IFERROR(IF(OR(B18&lt;5,B18&gt;Cust_LeaseTermYears),"N/A",IF(OR(Scenario_Variable="Final Payment",Scenario_Variable="Pago Final",B18&lt;Cust_LeaseTermYears),MAX(0,HLOOKUP(B18*12,Model!$D$50:$GA$80,31,FALSE)),Cust_TotalPymtAtTermEnd)),"N/A")</f>
        <v>N/A</v>
      </c>
      <c r="E18" s="471" t="str">
        <f>IFERROR(MAX(0,D18-SUM(F$5:F18)),"N/A")</f>
        <v>N/A</v>
      </c>
      <c r="F18" s="421">
        <f>Savings!AE19</f>
        <v>226535.84095765607</v>
      </c>
      <c r="G18" s="483">
        <f>IF($C$4&lt;=0,"Infinity",IFERROR(IRR(F$4:F18),"N/A"))</f>
        <v>1.5406844393480172</v>
      </c>
      <c r="H18" s="542"/>
      <c r="J18" s="541"/>
      <c r="K18" s="500">
        <v>14</v>
      </c>
      <c r="L18" s="473">
        <f t="shared" si="23"/>
        <v>0.14132865798613695</v>
      </c>
      <c r="M18" s="470">
        <v>0</v>
      </c>
      <c r="N18" s="471">
        <f>IF($M$4=0,0,(-HLOOKUP(K18,Model!$D$36:$R$37,2,FALSE)+IF(K18=$Z$6,Unit_Internal!$E$30,0))*(1+$Z$7))</f>
        <v>4354.5666567448252</v>
      </c>
      <c r="O18" s="421">
        <f>(((MAX(0,Savings!C19-(Savings!L19*(1-$Z$5)))-Savings!O19)*INDEX(Savings!$AK19:$AM19,1,MATCH(CFE_RateCategory,Savings!$AK$1:$AM$1,0)))+(IF($Z$5=0,0,(Savings!O19*(INDEX(Savings!$AK19:$AM19,1,MATCH(CFE_RateCategory,Savings!$AK$1:$AM$1,0))-Savings!R19)))))*(1+DAP+IVA)</f>
        <v>35729.551458622278</v>
      </c>
      <c r="P18" s="421">
        <f t="shared" si="12"/>
        <v>40084.118115367106</v>
      </c>
      <c r="Q18" s="472">
        <f t="shared" si="13"/>
        <v>5665.0346198026336</v>
      </c>
      <c r="R18" s="470">
        <f>IF(K18&lt;&gt;Cust_LeaseTermYears,0,IF(AND(OR(Scenario_Variable="Final Payment",Scenario_Variable="Pago Final"),K18=Cust_LeaseTermYears),MAX(0,HLOOKUP(K18*12,Model!$D$50:$GA$80,31,FALSE)),Cust_TotalPymtAtTermEnd))</f>
        <v>0</v>
      </c>
      <c r="S18" s="471">
        <f>Savings!AB19</f>
        <v>0</v>
      </c>
      <c r="T18" s="421">
        <f t="shared" si="14"/>
        <v>0</v>
      </c>
      <c r="U18" s="421">
        <f t="shared" si="0"/>
        <v>0</v>
      </c>
      <c r="V18" s="472">
        <f t="shared" si="15"/>
        <v>5665.0346198026336</v>
      </c>
      <c r="W18" s="542"/>
      <c r="AC18" s="541"/>
      <c r="AD18" s="78"/>
      <c r="AE18" s="78"/>
      <c r="AF18" s="78"/>
      <c r="AG18" s="78"/>
      <c r="AH18" s="78"/>
      <c r="AI18" s="78"/>
      <c r="AJ18" s="78"/>
      <c r="AK18" s="78"/>
      <c r="AL18" s="579" t="s">
        <v>1012</v>
      </c>
      <c r="AM18" s="593">
        <f>IFERROR(SUMPRODUCT(AE4:AE15,AM4:AM15)/AE19,AM17)</f>
        <v>4.2111510252365933</v>
      </c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78"/>
      <c r="BA18" s="542"/>
    </row>
    <row r="19" spans="1:53" x14ac:dyDescent="0.15">
      <c r="A19" s="541"/>
      <c r="B19" s="571">
        <v>15</v>
      </c>
      <c r="C19" s="546"/>
      <c r="D19" s="547" t="str">
        <f>IFERROR(IF(OR(B19&lt;5,B19&gt;Cust_LeaseTermYears),"N/A",IF(OR(Scenario_Variable="Final Payment",Scenario_Variable="Pago Final",B19&lt;Cust_LeaseTermYears),MAX(0,HLOOKUP(B19*12,Model!$D$50:$GA$80,31,FALSE)),Cust_TotalPymtAtTermEnd)),"N/A")</f>
        <v>N/A</v>
      </c>
      <c r="E19" s="547" t="str">
        <f>IFERROR(MAX(0,D19-SUM(F$5:F19)),"N/A")</f>
        <v>N/A</v>
      </c>
      <c r="F19" s="539">
        <f>Savings!AE20</f>
        <v>244724.73806247988</v>
      </c>
      <c r="G19" s="548">
        <f>IF($C$4&lt;=0,"Infinity",IFERROR(IRR(F$4:F19),"N/A"))</f>
        <v>1.540706207950107</v>
      </c>
      <c r="H19" s="542"/>
      <c r="J19" s="541"/>
      <c r="K19" s="571">
        <v>15</v>
      </c>
      <c r="L19" s="557">
        <f t="shared" si="23"/>
        <v>0.1228944852053365</v>
      </c>
      <c r="M19" s="546">
        <v>0</v>
      </c>
      <c r="N19" s="547">
        <f>IF($M$4=0,0,(-HLOOKUP(K19,Model!$D$36:$R$37,2,FALSE)+IF(K19=$Z$6,Unit_Internal!$E$30,0))*(1+$Z$7))</f>
        <v>4485.20365644717</v>
      </c>
      <c r="O19" s="539">
        <f>(((MAX(0,Savings!C20-(Savings!L20*(1-$Z$5)))-Savings!O20)*INDEX(Savings!$AK20:$AM20,1,MATCH(CFE_RateCategory,Savings!$AK$1:$AM$1,0)))+(IF($Z$5=0,0,(Savings!O20*(INDEX(Savings!$AK20:$AM20,1,MATCH(CFE_RateCategory,Savings!$AK$1:$AM$1,0))-Savings!R20)))))*(1+DAP+IVA)</f>
        <v>39755.928251966972</v>
      </c>
      <c r="P19" s="539">
        <f t="shared" si="12"/>
        <v>44241.131908414143</v>
      </c>
      <c r="Q19" s="558">
        <f t="shared" si="13"/>
        <v>5436.991130785942</v>
      </c>
      <c r="R19" s="546">
        <f>IF(K19&lt;&gt;Cust_LeaseTermYears,0,IF(AND(OR(Scenario_Variable="Final Payment",Scenario_Variable="Pago Final"),K19=Cust_LeaseTermYears),MAX(0,HLOOKUP(K19*12,Model!$D$50:$GA$80,31,FALSE)),Cust_TotalPymtAtTermEnd))</f>
        <v>0</v>
      </c>
      <c r="S19" s="547">
        <f>Savings!AB20</f>
        <v>0</v>
      </c>
      <c r="T19" s="539">
        <f t="shared" si="14"/>
        <v>0</v>
      </c>
      <c r="U19" s="539">
        <f t="shared" si="0"/>
        <v>0</v>
      </c>
      <c r="V19" s="558">
        <f t="shared" si="15"/>
        <v>5436.991130785942</v>
      </c>
      <c r="W19" s="542"/>
      <c r="AC19" s="541"/>
      <c r="AD19" s="549" t="s">
        <v>26</v>
      </c>
      <c r="AE19" s="506">
        <f>SUM(AE4:AE15)</f>
        <v>15216</v>
      </c>
      <c r="AF19" s="507">
        <f>AVERAGE(AF4:AF15)</f>
        <v>6.1975000000000007</v>
      </c>
      <c r="AG19" s="506">
        <f>SUM(AG4:AG15)</f>
        <v>15141.808956588598</v>
      </c>
      <c r="AH19" s="507"/>
      <c r="AI19" s="421">
        <f>AI15</f>
        <v>171.94973268119975</v>
      </c>
      <c r="AJ19" s="421">
        <f>SUM(AJ4:AJ15)</f>
        <v>246.14077609259994</v>
      </c>
      <c r="AK19" s="78"/>
      <c r="AL19" s="594" t="s">
        <v>26</v>
      </c>
      <c r="AN19" s="181"/>
      <c r="AO19" s="181"/>
      <c r="AP19" s="181"/>
      <c r="AQ19" s="181"/>
      <c r="AR19" s="590">
        <f>SUM(AR4:AR15)</f>
        <v>82201.031640000001</v>
      </c>
      <c r="AS19" s="181"/>
      <c r="AT19" s="181"/>
      <c r="AU19" s="181"/>
      <c r="AV19" s="181"/>
      <c r="AW19" s="590">
        <f>SUM(AW4:AW15)</f>
        <v>2702.8590872394434</v>
      </c>
      <c r="AX19" s="590">
        <f>SUM(AX4:AX15)</f>
        <v>67546.035007210274</v>
      </c>
      <c r="AY19" s="181"/>
      <c r="AZ19" s="595">
        <f>SUM(AZ4:AZ17)</f>
        <v>12937.501389159388</v>
      </c>
      <c r="BA19" s="542"/>
    </row>
    <row r="20" spans="1:53" x14ac:dyDescent="0.15">
      <c r="A20" s="541"/>
      <c r="B20" s="78"/>
      <c r="C20" s="78"/>
      <c r="D20" s="78"/>
      <c r="E20" s="78"/>
      <c r="F20" s="78"/>
      <c r="G20" s="471"/>
      <c r="H20" s="542"/>
      <c r="J20" s="541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542"/>
      <c r="AC20" s="541"/>
      <c r="AD20" s="78"/>
      <c r="AE20" s="78"/>
      <c r="AG20" s="507"/>
      <c r="AH20" s="507"/>
      <c r="AI20" s="78"/>
      <c r="AJ20" s="78"/>
      <c r="AK20" s="78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78"/>
      <c r="BA20" s="542"/>
    </row>
    <row r="21" spans="1:53" x14ac:dyDescent="0.15">
      <c r="A21" s="541"/>
      <c r="B21" s="549" t="s">
        <v>33</v>
      </c>
      <c r="C21" s="550">
        <f>SUM(C4:C19)</f>
        <v>12446.491187147098</v>
      </c>
      <c r="D21" s="78"/>
      <c r="E21" s="78"/>
      <c r="F21" s="550">
        <f>SUM(F4:F19)</f>
        <v>1461331.6707326267</v>
      </c>
      <c r="G21" s="78"/>
      <c r="H21" s="542"/>
      <c r="J21" s="541"/>
      <c r="K21" s="549" t="s">
        <v>1000</v>
      </c>
      <c r="L21" s="78"/>
      <c r="M21" s="559">
        <f t="shared" ref="M21:V21" si="24">SUM(M4:M19)</f>
        <v>271984.16492307693</v>
      </c>
      <c r="N21" s="559">
        <f t="shared" si="24"/>
        <v>98514.552204686115</v>
      </c>
      <c r="O21" s="559">
        <f t="shared" si="24"/>
        <v>311474.86135756352</v>
      </c>
      <c r="P21" s="559">
        <f t="shared" si="24"/>
        <v>681973.57848532673</v>
      </c>
      <c r="Q21" s="559">
        <f t="shared" si="24"/>
        <v>394773.03998211911</v>
      </c>
      <c r="R21" s="559">
        <f t="shared" si="24"/>
        <v>25769.708064713457</v>
      </c>
      <c r="S21" s="559">
        <f t="shared" si="24"/>
        <v>792409.09310947033</v>
      </c>
      <c r="T21" s="559">
        <f t="shared" si="24"/>
        <v>818178.80117418373</v>
      </c>
      <c r="U21" s="559">
        <f t="shared" si="24"/>
        <v>398297.95086133247</v>
      </c>
      <c r="V21" s="560">
        <f t="shared" si="24"/>
        <v>-3524.9108792131792</v>
      </c>
      <c r="W21" s="542"/>
      <c r="AC21" s="541"/>
      <c r="AD21" s="78"/>
      <c r="AE21" s="78"/>
      <c r="AF21" s="507"/>
      <c r="AG21" s="507"/>
      <c r="AH21" s="507"/>
      <c r="AI21" s="78"/>
      <c r="AJ21" s="78"/>
      <c r="AK21" s="78"/>
      <c r="AL21" s="181"/>
      <c r="AM21" s="433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78"/>
      <c r="BA21" s="542"/>
    </row>
    <row r="22" spans="1:53" ht="11.25" thickBot="1" x14ac:dyDescent="0.2">
      <c r="A22" s="551"/>
      <c r="B22" s="552"/>
      <c r="C22" s="552"/>
      <c r="D22" s="552"/>
      <c r="E22" s="552"/>
      <c r="F22" s="552"/>
      <c r="G22" s="552"/>
      <c r="H22" s="553"/>
      <c r="J22" s="551"/>
      <c r="K22" s="552"/>
      <c r="L22" s="552"/>
      <c r="M22" s="552"/>
      <c r="N22" s="552"/>
      <c r="O22" s="552"/>
      <c r="P22" s="552"/>
      <c r="Q22" s="552"/>
      <c r="R22" s="552"/>
      <c r="S22" s="552"/>
      <c r="T22" s="552"/>
      <c r="U22" s="552"/>
      <c r="V22" s="552"/>
      <c r="W22" s="553"/>
      <c r="AC22" s="541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542"/>
    </row>
    <row r="23" spans="1:53" ht="11.25" thickTop="1" x14ac:dyDescent="0.15">
      <c r="AC23" s="541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542"/>
    </row>
    <row r="24" spans="1:53" x14ac:dyDescent="0.15">
      <c r="Y24" s="708" t="s">
        <v>834</v>
      </c>
      <c r="Z24" s="709"/>
      <c r="AA24" s="710"/>
      <c r="AB24" s="540"/>
      <c r="AC24" s="541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542"/>
    </row>
    <row r="25" spans="1:53" x14ac:dyDescent="0.15">
      <c r="Y25" s="83" t="s">
        <v>833</v>
      </c>
      <c r="Z25" s="78" t="s">
        <v>832</v>
      </c>
      <c r="AA25" s="79" t="s">
        <v>831</v>
      </c>
      <c r="AB25" s="78"/>
      <c r="AC25" s="541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542"/>
    </row>
    <row r="26" spans="1:53" x14ac:dyDescent="0.15">
      <c r="Y26" s="480">
        <f>((MAX(0,Savings!C6-(Savings!L6*(1-$Z$5)))-Savings!O6)*INDEX(Savings!$AK6:$AM6,1,MATCH(CFE_RateCategory,Savings!$AK$1:$AM$1,0)))</f>
        <v>6616.9705140292153</v>
      </c>
      <c r="Z26" s="421">
        <f>IF($Z$5=0,0,(Savings!O6*(INDEX(Savings!$AK6:$AM6,1,MATCH(CFE_RateCategory,Savings!$AK$1:$AM$1,0))-Savings!R6)))</f>
        <v>0</v>
      </c>
      <c r="AA26" s="422">
        <f t="shared" ref="AA26:AA40" si="25">SUM(Y26:Z26)*(1+DAP+IVA)</f>
        <v>8337.3828476768122</v>
      </c>
      <c r="AB26" s="421"/>
      <c r="AC26" s="563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542"/>
    </row>
    <row r="27" spans="1:53" x14ac:dyDescent="0.15">
      <c r="Y27" s="480">
        <f>((MAX(0,Savings!C7-(Savings!L7*(1-$Z$5)))-Savings!O7)*INDEX(Savings!$AK7:$AM7,1,MATCH(CFE_RateCategory,Savings!$AK$1:$AM$1,0)))</f>
        <v>7110.5965143757958</v>
      </c>
      <c r="Z27" s="421">
        <f>IF($Z$5=0,0,(Savings!O7*(INDEX(Savings!$AK7:$AM7,1,MATCH(CFE_RateCategory,Savings!$AK$1:$AM$1,0))-Savings!R7)))</f>
        <v>585.03156320576375</v>
      </c>
      <c r="AA27" s="422">
        <f t="shared" si="25"/>
        <v>9696.4913777527654</v>
      </c>
      <c r="AB27" s="421"/>
      <c r="AC27" s="541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542"/>
    </row>
    <row r="28" spans="1:53" x14ac:dyDescent="0.15">
      <c r="Y28" s="480">
        <f>((MAX(0,Savings!C8-(Savings!L8*(1-$Z$5)))-Savings!O8)*INDEX(Savings!$AK8:$AM8,1,MATCH(CFE_RateCategory,Savings!$AK$1:$AM$1,0)))</f>
        <v>7640.854063488041</v>
      </c>
      <c r="Z28" s="421">
        <f>IF($Z$5=0,0,(Savings!O8*(INDEX(Savings!$AK8:$AM8,1,MATCH(CFE_RateCategory,Savings!$AK$1:$AM$1,0))-Savings!R8)))</f>
        <v>960.16411088331495</v>
      </c>
      <c r="AA28" s="422">
        <f t="shared" si="25"/>
        <v>10837.282899707909</v>
      </c>
      <c r="AB28" s="421"/>
      <c r="AC28" s="564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542"/>
    </row>
    <row r="29" spans="1:53" x14ac:dyDescent="0.15">
      <c r="Y29" s="480">
        <f>((MAX(0,Savings!C9-(Savings!L9*(1-$Z$5)))-Savings!O9)*INDEX(Savings!$AK9:$AM9,1,MATCH(CFE_RateCategory,Savings!$AK$1:$AM$1,0)))</f>
        <v>8210.4450027662406</v>
      </c>
      <c r="Z29" s="421">
        <f>IF($Z$5=0,0,(Savings!O9*(INDEX(Savings!$AK9:$AM9,1,MATCH(CFE_RateCategory,Savings!$AK$1:$AM$1,0))-Savings!R9)))</f>
        <v>1397.6369261930579</v>
      </c>
      <c r="AA29" s="422">
        <f t="shared" si="25"/>
        <v>12106.183230488716</v>
      </c>
      <c r="AB29" s="421"/>
      <c r="AC29" s="564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542"/>
    </row>
    <row r="30" spans="1:53" x14ac:dyDescent="0.15">
      <c r="Y30" s="480">
        <f>((MAX(0,Savings!C10-(Savings!L10*(1-$Z$5)))-Savings!O10)*INDEX(Savings!$AK10:$AM10,1,MATCH(CFE_RateCategory,Savings!$AK$1:$AM$1,0)))</f>
        <v>8822.2690263226305</v>
      </c>
      <c r="Z30" s="421">
        <f>IF($Z$5=0,0,(Savings!O10*(INDEX(Savings!$AK10:$AM10,1,MATCH(CFE_RateCategory,Savings!$AK$1:$AM$1,0))-Savings!R10)))</f>
        <v>1905.0462676552336</v>
      </c>
      <c r="AA30" s="422">
        <f t="shared" si="25"/>
        <v>13516.41727041211</v>
      </c>
      <c r="AB30" s="421"/>
      <c r="AC30" s="564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542"/>
    </row>
    <row r="31" spans="1:53" x14ac:dyDescent="0.15">
      <c r="Y31" s="480">
        <f>((MAX(0,Savings!C11-(Savings!L11*(1-$Z$5)))-Savings!O11)*INDEX(Savings!$AK11:$AM11,1,MATCH(CFE_RateCategory,Savings!$AK$1:$AM$1,0)))</f>
        <v>9479.4380456303352</v>
      </c>
      <c r="Z31" s="421">
        <f>IF($Z$5=0,0,(Savings!O11*(INDEX(Savings!$AK11:$AM11,1,MATCH(CFE_RateCategory,Savings!$AK$1:$AM$1,0))-Savings!R11)))</f>
        <v>2490.800720344921</v>
      </c>
      <c r="AA31" s="422">
        <f t="shared" si="25"/>
        <v>15082.500845128823</v>
      </c>
      <c r="AB31" s="421"/>
      <c r="AC31" s="564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542"/>
    </row>
    <row r="32" spans="1:53" x14ac:dyDescent="0.15">
      <c r="Y32" s="480">
        <f>((MAX(0,Savings!C12-(Savings!L12*(1-$Z$5)))-Savings!O12)*INDEX(Savings!$AK12:$AM12,1,MATCH(CFE_RateCategory,Savings!$AK$1:$AM$1,0)))</f>
        <v>10185.291586258811</v>
      </c>
      <c r="Z32" s="421">
        <f>IF($Z$5=0,0,(Savings!O12*(INDEX(Savings!$AK12:$AM12,1,MATCH(CFE_RateCategory,Savings!$AK$1:$AM$1,0))-Savings!R12)))</f>
        <v>3164.2022858629366</v>
      </c>
      <c r="AA32" s="422">
        <f t="shared" si="25"/>
        <v>16820.362278873403</v>
      </c>
      <c r="AB32" s="421"/>
      <c r="AC32" s="564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542"/>
    </row>
    <row r="33" spans="25:53" x14ac:dyDescent="0.15">
      <c r="Y33" s="480">
        <f>((MAX(0,Savings!C13-(Savings!L13*(1-$Z$5)))-Savings!O13)*INDEX(Savings!$AK13:$AM13,1,MATCH(CFE_RateCategory,Savings!$AK$1:$AM$1,0)))</f>
        <v>10943.413289895807</v>
      </c>
      <c r="Z33" s="421">
        <f>IF($Z$5=0,0,(Savings!O13*(INDEX(Savings!$AK13:$AM13,1,MATCH(CFE_RateCategory,Savings!$AK$1:$AM$1,0))-Savings!R13)))</f>
        <v>3935.5352355261598</v>
      </c>
      <c r="AA33" s="422">
        <f t="shared" si="25"/>
        <v>18747.475142031679</v>
      </c>
      <c r="AB33" s="421"/>
      <c r="AC33" s="564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542"/>
    </row>
    <row r="34" spans="25:53" x14ac:dyDescent="0.15">
      <c r="Y34" s="480">
        <f>((MAX(0,Savings!C14-(Savings!L14*(1-$Z$5)))-Savings!O14)*INDEX(Savings!$AK14:$AM14,1,MATCH(CFE_RateCategory,Savings!$AK$1:$AM$1,0)))</f>
        <v>11757.648599962668</v>
      </c>
      <c r="Z34" s="421">
        <f>IF($Z$5=0,0,(Savings!O14*(INDEX(Savings!$AK14:$AM14,1,MATCH(CFE_RateCategory,Savings!$AK$1:$AM$1,0))-Savings!R14)))</f>
        <v>4816.1634494188702</v>
      </c>
      <c r="AA34" s="422">
        <f t="shared" si="25"/>
        <v>20883.003182220735</v>
      </c>
      <c r="AB34" s="421"/>
      <c r="AC34" s="564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542"/>
    </row>
    <row r="35" spans="25:53" x14ac:dyDescent="0.15">
      <c r="Y35" s="480">
        <f>((MAX(0,Savings!C15-(Savings!L15*(1-$Z$5)))-Savings!O15)*INDEX(Savings!$AK15:$AM15,1,MATCH(CFE_RateCategory,Savings!$AK$1:$AM$1,0)))</f>
        <v>12632.12371458489</v>
      </c>
      <c r="Z35" s="421">
        <f>IF($Z$5=0,0,(Savings!O15*(INDEX(Savings!$AK15:$AM15,1,MATCH(CFE_RateCategory,Savings!$AK$1:$AM$1,0))-Savings!R15)))</f>
        <v>5818.6370298662896</v>
      </c>
      <c r="AA35" s="422">
        <f t="shared" si="25"/>
        <v>23247.95853800849</v>
      </c>
      <c r="AB35" s="421"/>
      <c r="AC35" s="564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542"/>
    </row>
    <row r="36" spans="25:53" x14ac:dyDescent="0.15">
      <c r="Y36" s="480">
        <f>((MAX(0,Savings!C16-(Savings!L16*(1-$Z$5)))-Savings!O16)*INDEX(Savings!$AK16:$AM16,1,MATCH(CFE_RateCategory,Savings!$AK$1:$AM$1,0)))</f>
        <v>13571.265896506908</v>
      </c>
      <c r="Z36" s="421">
        <f>IF($Z$5=0,0,(Savings!O16*(INDEX(Savings!$AK16:$AM16,1,MATCH(CFE_RateCategory,Savings!$AK$1:$AM$1,0))-Savings!R16)))</f>
        <v>6956.8090497319672</v>
      </c>
      <c r="AA36" s="422">
        <f t="shared" si="25"/>
        <v>25865.374432260982</v>
      </c>
      <c r="AB36" s="421"/>
      <c r="AC36" s="564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542"/>
    </row>
    <row r="37" spans="25:53" x14ac:dyDescent="0.15">
      <c r="Y37" s="480">
        <f>((MAX(0,Savings!C17-(Savings!L17*(1-$Z$5)))-Savings!O17)*INDEX(Savings!$AK17:$AM17,1,MATCH(CFE_RateCategory,Savings!$AK$1:$AM$1,0)))</f>
        <v>14579.825235763106</v>
      </c>
      <c r="Z37" s="421">
        <f>IF($Z$5=0,0,(Savings!O17*(INDEX(Savings!$AK17:$AM17,1,MATCH(CFE_RateCategory,Savings!$AK$1:$AM$1,0))-Savings!R17)))</f>
        <v>8253.6368678623694</v>
      </c>
      <c r="AA37" s="422">
        <f t="shared" si="25"/>
        <v>28770.162250568101</v>
      </c>
      <c r="AB37" s="421"/>
      <c r="AC37" s="564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542"/>
    </row>
    <row r="38" spans="25:53" x14ac:dyDescent="0.15">
      <c r="Y38" s="480">
        <f>((MAX(0,Savings!C18-(Savings!L18*(1-$Z$5)))-Savings!O18)*INDEX(Savings!$AK18:$AM18,1,MATCH(CFE_RateCategory,Savings!$AK$1:$AM$1,0)))</f>
        <v>15662.897967562651</v>
      </c>
      <c r="Z38" s="421">
        <f>IF($Z$5=0,0,(Savings!O18*(INDEX(Savings!$AK18:$AM18,1,MATCH(CFE_RateCategory,Savings!$AK$1:$AM$1,0))-Savings!R18)))</f>
        <v>9796.4570735831967</v>
      </c>
      <c r="AA38" s="422">
        <f t="shared" si="25"/>
        <v>32078.78735184377</v>
      </c>
      <c r="AB38" s="421"/>
      <c r="AC38" s="564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542"/>
    </row>
    <row r="39" spans="25:53" x14ac:dyDescent="0.15">
      <c r="Y39" s="480">
        <f>((MAX(0,Savings!C19-(Savings!L19*(1-$Z$5)))-Savings!O19)*INDEX(Savings!$AK19:$AM19,1,MATCH(CFE_RateCategory,Savings!$AK$1:$AM$1,0)))</f>
        <v>16825.951454941238</v>
      </c>
      <c r="Z39" s="421">
        <f>IF($Z$5=0,0,(Savings!O19*(INDEX(Savings!$AK19:$AM19,1,MATCH(CFE_RateCategory,Savings!$AK$1:$AM$1,0))-Savings!R19)))</f>
        <v>11530.835416981203</v>
      </c>
      <c r="AA39" s="422">
        <f t="shared" si="25"/>
        <v>35729.551458622278</v>
      </c>
      <c r="AB39" s="421"/>
      <c r="AC39" s="564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542"/>
    </row>
    <row r="40" spans="25:53" x14ac:dyDescent="0.15">
      <c r="Y40" s="481">
        <f>((MAX(0,Savings!C20-(Savings!L20*(1-$Z$5)))-Savings!O20)*INDEX(Savings!$AK20:$AM20,1,MATCH(CFE_RateCategory,Savings!$AK$1:$AM$1,0)))</f>
        <v>18074.850953308</v>
      </c>
      <c r="Z40" s="423">
        <f>IF($Z$5=0,0,(Savings!O20*(INDEX(Savings!$AK20:$AM20,1,MATCH(CFE_RateCategory,Savings!$AK$1:$AM$1,0))-Savings!R20)))</f>
        <v>13477.473056189596</v>
      </c>
      <c r="AA40" s="424">
        <f t="shared" si="25"/>
        <v>39755.928251966972</v>
      </c>
      <c r="AB40" s="421"/>
      <c r="AC40" s="564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542"/>
    </row>
    <row r="41" spans="25:53" x14ac:dyDescent="0.15">
      <c r="AC41" s="564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542"/>
    </row>
    <row r="42" spans="25:53" x14ac:dyDescent="0.15">
      <c r="AC42" s="564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542"/>
    </row>
    <row r="43" spans="25:53" x14ac:dyDescent="0.15">
      <c r="AC43" s="541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542"/>
    </row>
    <row r="44" spans="25:53" x14ac:dyDescent="0.15">
      <c r="Z44" s="573"/>
      <c r="AC44" s="541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542"/>
    </row>
    <row r="45" spans="25:53" x14ac:dyDescent="0.15">
      <c r="AC45" s="541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542"/>
    </row>
    <row r="46" spans="25:53" ht="11.25" thickBot="1" x14ac:dyDescent="0.2">
      <c r="AC46" s="551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552"/>
      <c r="BA46" s="553"/>
    </row>
    <row r="47" spans="25:53" ht="11.25" thickTop="1" x14ac:dyDescent="0.15"/>
  </sheetData>
  <mergeCells count="9">
    <mergeCell ref="Y24:AA24"/>
    <mergeCell ref="AN2:AR2"/>
    <mergeCell ref="AS2:AZ2"/>
    <mergeCell ref="R2:V2"/>
    <mergeCell ref="A1:H1"/>
    <mergeCell ref="AC1:BA1"/>
    <mergeCell ref="J1:W1"/>
    <mergeCell ref="M2:Q2"/>
    <mergeCell ref="C2:G2"/>
  </mergeCells>
  <pageMargins left="0.7" right="0.7" top="0.75" bottom="0.75" header="0.3" footer="0.3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A83"/>
  <sheetViews>
    <sheetView zoomScaleNormal="100" zoomScalePageLayoutView="150" workbookViewId="0">
      <pane xSplit="1" topLeftCell="B1" activePane="topRight" state="frozen"/>
      <selection sqref="A1:H8"/>
      <selection pane="topRight" activeCell="B1" sqref="B1"/>
    </sheetView>
  </sheetViews>
  <sheetFormatPr defaultColWidth="12.42578125" defaultRowHeight="10.5" x14ac:dyDescent="0.15"/>
  <cols>
    <col min="1" max="1" width="43" style="70" bestFit="1" customWidth="1"/>
    <col min="2" max="2" width="4.7109375" style="70" customWidth="1"/>
    <col min="3" max="3" width="12.28515625" style="70" bestFit="1" customWidth="1"/>
    <col min="4" max="183" width="10.7109375" style="70" customWidth="1"/>
    <col min="184" max="16384" width="12.42578125" style="70"/>
  </cols>
  <sheetData>
    <row r="1" spans="1:29" x14ac:dyDescent="0.15">
      <c r="A1" s="276" t="s">
        <v>298</v>
      </c>
      <c r="C1" s="231" t="s">
        <v>299</v>
      </c>
      <c r="D1" s="231" t="s">
        <v>300</v>
      </c>
      <c r="F1" s="4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</row>
    <row r="2" spans="1:29" x14ac:dyDescent="0.15">
      <c r="A2" s="70" t="s">
        <v>489</v>
      </c>
      <c r="C2" s="277">
        <f>Unit_Internal!E52</f>
        <v>298774.60516800004</v>
      </c>
      <c r="D2" s="277">
        <f>Unit_Internal!E49</f>
        <v>257564.31480000002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29" x14ac:dyDescent="0.15">
      <c r="A3" s="70" t="s">
        <v>301</v>
      </c>
      <c r="C3" s="277">
        <f>-SUM(Unit_Internal!E44:E45)</f>
        <v>-229826.61936000001</v>
      </c>
      <c r="D3" s="277">
        <f>-Unit_Internal!E44</f>
        <v>-198126.39600000001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</row>
    <row r="4" spans="1:29" x14ac:dyDescent="0.15">
      <c r="A4" s="70" t="s">
        <v>302</v>
      </c>
      <c r="C4" s="277">
        <f>SUM(C2:C3)</f>
        <v>68947.985808000027</v>
      </c>
      <c r="D4" s="277">
        <f>SUM(D2:D3)</f>
        <v>59437.918800000014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</row>
    <row r="5" spans="1:29" x14ac:dyDescent="0.15">
      <c r="A5" s="70" t="s">
        <v>303</v>
      </c>
      <c r="C5" s="278">
        <f>IFERROR(C4/C2,"NaN")</f>
        <v>0.23076923076923084</v>
      </c>
      <c r="D5" s="278">
        <f>IFERROR(D4/D2,"NaN")</f>
        <v>0.23076923076923081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</row>
    <row r="6" spans="1:29" x14ac:dyDescent="0.15">
      <c r="A6" s="70" t="s">
        <v>490</v>
      </c>
      <c r="C6" s="277">
        <f>-$C$13</f>
        <v>-29877.460516799998</v>
      </c>
      <c r="D6" s="277">
        <f>-$C$13/(1+IVA)</f>
        <v>-25756.431479999999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</row>
    <row r="7" spans="1:29" x14ac:dyDescent="0.15">
      <c r="A7" s="70" t="s">
        <v>491</v>
      </c>
      <c r="C7" s="277">
        <f>$C$26</f>
        <v>1244.6491187147094</v>
      </c>
      <c r="D7" s="277">
        <f>$C$26</f>
        <v>1244.6491187147094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</row>
    <row r="8" spans="1:29" x14ac:dyDescent="0.15">
      <c r="A8" s="70" t="s">
        <v>492</v>
      </c>
      <c r="C8" s="277">
        <f>C4+C6+C7</f>
        <v>40315.17440991474</v>
      </c>
      <c r="D8" s="277">
        <f>D4+D6+D7</f>
        <v>34926.136438714726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</row>
    <row r="9" spans="1:29" x14ac:dyDescent="0.15">
      <c r="A9" s="70" t="s">
        <v>303</v>
      </c>
      <c r="C9" s="278">
        <f>IFERROR(C8/C2,"NaN")</f>
        <v>0.13493507718718478</v>
      </c>
      <c r="D9" s="278">
        <f>IFERROR(D8/D2,"NaN")</f>
        <v>0.13560161261405737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</row>
    <row r="10" spans="1:29" x14ac:dyDescent="0.15">
      <c r="C10" s="277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</row>
    <row r="11" spans="1:29" x14ac:dyDescent="0.15">
      <c r="A11" s="70" t="s">
        <v>839</v>
      </c>
      <c r="C11" s="277">
        <f>C$2*EqInv_Pct</f>
        <v>268897.14465120004</v>
      </c>
      <c r="D11" s="278">
        <f>(C11-C24)/$C$2</f>
        <v>0.86250738223841472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</row>
    <row r="12" spans="1:29" x14ac:dyDescent="0.15">
      <c r="A12" s="70" t="s">
        <v>838</v>
      </c>
      <c r="C12" s="277">
        <f>C$2*DebtInv_Pct</f>
        <v>0</v>
      </c>
      <c r="D12" s="278">
        <f>(C12-C25)/$C$2</f>
        <v>0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</row>
    <row r="13" spans="1:29" x14ac:dyDescent="0.15">
      <c r="A13" s="70" t="s">
        <v>840</v>
      </c>
      <c r="C13" s="277">
        <f>C$2*MySOL_Pct</f>
        <v>29877.460516799998</v>
      </c>
      <c r="D13" s="278">
        <f>(C13-C26)/$C$2</f>
        <v>9.5834153582046055E-2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</row>
    <row r="14" spans="1:29" x14ac:dyDescent="0.15">
      <c r="C14" s="277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</row>
    <row r="15" spans="1:29" x14ac:dyDescent="0.15">
      <c r="A15" s="70" t="s">
        <v>630</v>
      </c>
      <c r="C15" s="277">
        <f>Cust_InitialPymt</f>
        <v>12446.491187147098</v>
      </c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</row>
    <row r="16" spans="1:29" x14ac:dyDescent="0.15">
      <c r="A16" s="440" t="s">
        <v>618</v>
      </c>
      <c r="C16" s="277">
        <f>IF(LOWER(InclUpfront_EGauge)="true",MIN(C15, priceEGaugeUSD*MXNperUSD*(1+IVA)),0)</f>
        <v>0</v>
      </c>
      <c r="D16" s="42" t="s">
        <v>843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</row>
    <row r="17" spans="1:29" x14ac:dyDescent="0.15">
      <c r="A17" s="440" t="s">
        <v>625</v>
      </c>
      <c r="C17" s="277">
        <f>priceEGaugeUSD*MXNperUSD*(1+IVA)-C16</f>
        <v>6347.5199999999995</v>
      </c>
      <c r="D17" s="42" t="s">
        <v>624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</row>
    <row r="18" spans="1:29" x14ac:dyDescent="0.15">
      <c r="A18" s="440" t="s">
        <v>616</v>
      </c>
      <c r="C18" s="277">
        <f>C15-C16</f>
        <v>12446.491187147098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</row>
    <row r="19" spans="1:29" x14ac:dyDescent="0.15">
      <c r="A19" s="440" t="s">
        <v>619</v>
      </c>
      <c r="C19" s="277">
        <f>IF(LOWER(InclUpfront_OM)="true",MIN(C18,-SUMIF(D40:R40,"&gt;"&amp;Cust_LeaseTermYears,D37:R37)),0)</f>
        <v>0</v>
      </c>
      <c r="D19" s="42" t="s">
        <v>629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</row>
    <row r="20" spans="1:29" x14ac:dyDescent="0.15">
      <c r="A20" s="440" t="s">
        <v>620</v>
      </c>
      <c r="C20" s="277">
        <f>(-SUMIF(D40:R40,"&gt;"&amp;Cust_LeaseTermYears,D37:R37))-C19</f>
        <v>13223.216877566358</v>
      </c>
      <c r="D20" s="42" t="s">
        <v>628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</row>
    <row r="21" spans="1:29" x14ac:dyDescent="0.15">
      <c r="A21" s="70" t="s">
        <v>631</v>
      </c>
      <c r="C21" s="277">
        <f>C15-C16-C19</f>
        <v>12446.491187147098</v>
      </c>
      <c r="D21" s="42" t="s">
        <v>627</v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</row>
    <row r="22" spans="1:29" x14ac:dyDescent="0.15">
      <c r="C22" s="277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</row>
    <row r="23" spans="1:29" x14ac:dyDescent="0.15">
      <c r="C23" s="517" t="s">
        <v>993</v>
      </c>
      <c r="D23" s="381" t="s">
        <v>992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</row>
    <row r="24" spans="1:29" x14ac:dyDescent="0.15">
      <c r="A24" s="70" t="s">
        <v>845</v>
      </c>
      <c r="C24" s="277">
        <f>EqInv_Equity*$C$21</f>
        <v>11201.842068432388</v>
      </c>
      <c r="D24" s="277">
        <f>MIN($C$21,$C$11)</f>
        <v>12446.491187147098</v>
      </c>
      <c r="E24" s="357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</row>
    <row r="25" spans="1:29" x14ac:dyDescent="0.15">
      <c r="A25" s="70" t="s">
        <v>844</v>
      </c>
      <c r="C25" s="277">
        <v>0</v>
      </c>
      <c r="D25" s="277">
        <f>MIN(($C$21-D24),$C$12)</f>
        <v>0</v>
      </c>
      <c r="E25" s="357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</row>
    <row r="26" spans="1:29" x14ac:dyDescent="0.15">
      <c r="A26" s="70" t="s">
        <v>846</v>
      </c>
      <c r="C26" s="277">
        <f>MySOL_Equity*$C$21</f>
        <v>1244.6491187147094</v>
      </c>
      <c r="D26" s="277">
        <f>MIN(($C$21-D24-D25),$C$13)</f>
        <v>0</v>
      </c>
      <c r="E26" s="357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</row>
    <row r="27" spans="1:29" x14ac:dyDescent="0.15">
      <c r="C27" s="277"/>
      <c r="D27" s="277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</row>
    <row r="28" spans="1:29" x14ac:dyDescent="0.15">
      <c r="A28" s="70" t="s">
        <v>851</v>
      </c>
      <c r="C28" s="277">
        <f>$C$2-$C$21</f>
        <v>286328.11398085294</v>
      </c>
      <c r="D28" s="277">
        <f>$C$2-$C$21</f>
        <v>286328.11398085294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</row>
    <row r="29" spans="1:29" x14ac:dyDescent="0.15">
      <c r="A29" s="70" t="s">
        <v>848</v>
      </c>
      <c r="C29" s="278">
        <f>($C$11-C24)/C$28</f>
        <v>0.9</v>
      </c>
      <c r="D29" s="278">
        <f>($C$11-D24)/D$28</f>
        <v>0.89565306703065162</v>
      </c>
      <c r="E29" s="484"/>
      <c r="F29" s="484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</row>
    <row r="30" spans="1:29" x14ac:dyDescent="0.15">
      <c r="A30" s="70" t="s">
        <v>849</v>
      </c>
      <c r="C30" s="278">
        <f>($C$12-C25)/C$28</f>
        <v>0</v>
      </c>
      <c r="D30" s="278">
        <f>($C$12-D25)/D$28</f>
        <v>0</v>
      </c>
      <c r="E30" s="42"/>
      <c r="F30" s="484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</row>
    <row r="31" spans="1:29" x14ac:dyDescent="0.15">
      <c r="A31" s="70" t="s">
        <v>850</v>
      </c>
      <c r="C31" s="278">
        <f>($C$13-C26)/C$28</f>
        <v>9.9999999999999978E-2</v>
      </c>
      <c r="D31" s="278">
        <f>($C$13-D26)/D$28</f>
        <v>0.10434693296934835</v>
      </c>
      <c r="E31" s="42"/>
      <c r="F31" s="484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</row>
    <row r="32" spans="1:29" x14ac:dyDescent="0.15">
      <c r="C32" s="277"/>
      <c r="D32" s="277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</row>
    <row r="33" spans="1:69" x14ac:dyDescent="0.15">
      <c r="A33" s="279" t="s">
        <v>304</v>
      </c>
      <c r="C33" s="277">
        <f>(C29/(EqInv_PctCashFlow+MySOL_PctCashFlow))*$C$2*-1</f>
        <v>-268897.14465120004</v>
      </c>
      <c r="D33" s="277">
        <f>(D29/(EqInv_PctCashFlow+MySOL_PctCashFlow))*$C$2*-1</f>
        <v>-267598.39146959118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</row>
    <row r="34" spans="1:69" x14ac:dyDescent="0.15">
      <c r="A34" s="279" t="s">
        <v>493</v>
      </c>
      <c r="C34" s="277">
        <f>(C31/(EqInv_PctCashFlow+MySOL_PctCashFlow))*$C$2*-1</f>
        <v>-29877.460516799998</v>
      </c>
      <c r="D34" s="277">
        <f>(D31/(EqInv_PctCashFlow+MySOL_PctCashFlow))*$C$2*-1</f>
        <v>-31176.213698408821</v>
      </c>
      <c r="E34" s="277"/>
      <c r="F34" s="277"/>
      <c r="G34" s="277"/>
      <c r="H34" s="277"/>
      <c r="I34" s="277"/>
      <c r="J34" s="277"/>
      <c r="K34" s="277"/>
      <c r="L34" s="277"/>
      <c r="M34" s="277"/>
      <c r="N34" s="277"/>
      <c r="O34" s="277"/>
      <c r="P34" s="277"/>
      <c r="Q34" s="277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H34" s="280"/>
      <c r="AI34" s="280"/>
      <c r="AJ34" s="280"/>
      <c r="AK34" s="280"/>
      <c r="AL34" s="280"/>
      <c r="AM34" s="280"/>
      <c r="AN34" s="280"/>
      <c r="AO34" s="280"/>
      <c r="AP34" s="280"/>
      <c r="AQ34" s="280"/>
      <c r="AR34" s="280"/>
      <c r="AS34" s="280"/>
      <c r="AT34" s="280"/>
      <c r="AU34" s="280"/>
      <c r="AV34" s="280"/>
      <c r="AW34" s="280"/>
      <c r="AX34" s="280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</row>
    <row r="35" spans="1:69" x14ac:dyDescent="0.15">
      <c r="A35" s="42"/>
      <c r="C35" s="281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  <c r="O35" s="277"/>
      <c r="P35" s="277"/>
      <c r="Q35" s="277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H35" s="280"/>
      <c r="AI35" s="280"/>
      <c r="AJ35" s="280"/>
      <c r="AK35" s="280"/>
      <c r="AL35" s="280"/>
      <c r="AM35" s="280"/>
      <c r="AN35" s="280"/>
      <c r="AO35" s="280"/>
      <c r="AP35" s="280"/>
      <c r="AQ35" s="280"/>
      <c r="AR35" s="280"/>
      <c r="AS35" s="280"/>
      <c r="AT35" s="280"/>
      <c r="AU35" s="280"/>
      <c r="AV35" s="280"/>
      <c r="AW35" s="280"/>
      <c r="AX35" s="280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</row>
    <row r="36" spans="1:69" x14ac:dyDescent="0.15">
      <c r="A36" s="282" t="s">
        <v>18</v>
      </c>
      <c r="C36" s="283">
        <v>0</v>
      </c>
      <c r="D36" s="284">
        <v>1</v>
      </c>
      <c r="E36" s="284">
        <v>2</v>
      </c>
      <c r="F36" s="284">
        <v>3</v>
      </c>
      <c r="G36" s="284">
        <v>4</v>
      </c>
      <c r="H36" s="284">
        <v>5</v>
      </c>
      <c r="I36" s="284">
        <v>6</v>
      </c>
      <c r="J36" s="284">
        <v>7</v>
      </c>
      <c r="K36" s="284">
        <v>8</v>
      </c>
      <c r="L36" s="284">
        <v>9</v>
      </c>
      <c r="M36" s="284">
        <v>10</v>
      </c>
      <c r="N36" s="284">
        <v>11</v>
      </c>
      <c r="O36" s="284">
        <v>12</v>
      </c>
      <c r="P36" s="284">
        <v>13</v>
      </c>
      <c r="Q36" s="284">
        <v>14</v>
      </c>
      <c r="R36" s="285">
        <v>15</v>
      </c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H36" s="280"/>
      <c r="AI36" s="280"/>
      <c r="AJ36" s="280"/>
      <c r="AK36" s="280"/>
      <c r="AL36" s="280"/>
      <c r="AM36" s="280"/>
      <c r="AN36" s="280"/>
      <c r="AO36" s="280"/>
      <c r="AP36" s="280"/>
      <c r="AQ36" s="280"/>
      <c r="AR36" s="280"/>
      <c r="AS36" s="280"/>
      <c r="AT36" s="280"/>
      <c r="AU36" s="280"/>
      <c r="AV36" s="280"/>
      <c r="AW36" s="280"/>
      <c r="AX36" s="280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</row>
    <row r="37" spans="1:69" x14ac:dyDescent="0.15">
      <c r="A37" s="501" t="s">
        <v>898</v>
      </c>
      <c r="C37" s="502"/>
      <c r="D37" s="503">
        <f>-OpExpensePerKwMXN</f>
        <v>-1853.2800000000002</v>
      </c>
      <c r="E37" s="503">
        <f t="shared" ref="E37:R37" si="0">D37*(1+InflationRate)</f>
        <v>-1908.8784000000003</v>
      </c>
      <c r="F37" s="503">
        <f t="shared" si="0"/>
        <v>-1966.1447520000004</v>
      </c>
      <c r="G37" s="503">
        <f t="shared" si="0"/>
        <v>-2025.1290945600003</v>
      </c>
      <c r="H37" s="503">
        <f t="shared" si="0"/>
        <v>-2085.8829673968003</v>
      </c>
      <c r="I37" s="503">
        <f t="shared" si="0"/>
        <v>-2148.4594564187041</v>
      </c>
      <c r="J37" s="503">
        <f t="shared" si="0"/>
        <v>-2212.9132401112652</v>
      </c>
      <c r="K37" s="503">
        <f t="shared" si="0"/>
        <v>-2279.3006373146031</v>
      </c>
      <c r="L37" s="503">
        <f t="shared" si="0"/>
        <v>-2347.6796564340411</v>
      </c>
      <c r="M37" s="503">
        <f t="shared" si="0"/>
        <v>-2418.1100461270626</v>
      </c>
      <c r="N37" s="503">
        <f t="shared" si="0"/>
        <v>-2490.6533475108745</v>
      </c>
      <c r="O37" s="503">
        <f t="shared" si="0"/>
        <v>-2565.3729479362009</v>
      </c>
      <c r="P37" s="503">
        <f t="shared" si="0"/>
        <v>-2642.334136374287</v>
      </c>
      <c r="Q37" s="503">
        <f t="shared" si="0"/>
        <v>-2721.6041604655156</v>
      </c>
      <c r="R37" s="504">
        <f t="shared" si="0"/>
        <v>-2803.2522852794814</v>
      </c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H37" s="280"/>
      <c r="AI37" s="280"/>
      <c r="AJ37" s="280"/>
      <c r="AK37" s="280"/>
      <c r="AL37" s="280"/>
      <c r="AM37" s="280"/>
      <c r="AN37" s="280"/>
      <c r="AO37" s="280"/>
      <c r="AP37" s="280"/>
      <c r="AQ37" s="280"/>
      <c r="AR37" s="280"/>
      <c r="AS37" s="280"/>
      <c r="AT37" s="280"/>
      <c r="AU37" s="280"/>
      <c r="AV37" s="280"/>
      <c r="AW37" s="280"/>
      <c r="AX37" s="280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</row>
    <row r="38" spans="1:69" x14ac:dyDescent="0.15">
      <c r="A38" s="42"/>
      <c r="C38" s="281"/>
      <c r="D38" s="277"/>
      <c r="E38" s="277"/>
      <c r="F38" s="277"/>
      <c r="G38" s="277"/>
      <c r="H38" s="277"/>
      <c r="I38" s="277"/>
      <c r="J38" s="277"/>
      <c r="K38" s="277"/>
      <c r="L38" s="277"/>
      <c r="M38" s="277"/>
      <c r="N38" s="277"/>
      <c r="O38" s="277"/>
      <c r="P38" s="277"/>
      <c r="Q38" s="277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H38" s="280"/>
      <c r="AI38" s="280"/>
      <c r="AJ38" s="280"/>
      <c r="AK38" s="280"/>
      <c r="AL38" s="280"/>
      <c r="AM38" s="280"/>
      <c r="AN38" s="280"/>
      <c r="AO38" s="280"/>
      <c r="AP38" s="280"/>
      <c r="AQ38" s="280"/>
      <c r="AR38" s="280"/>
      <c r="AS38" s="280"/>
      <c r="AT38" s="280"/>
      <c r="AU38" s="280"/>
      <c r="AV38" s="280"/>
      <c r="AW38" s="280"/>
      <c r="AX38" s="280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</row>
    <row r="39" spans="1:69" x14ac:dyDescent="0.15">
      <c r="A39" s="276" t="s">
        <v>305</v>
      </c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</row>
    <row r="40" spans="1:69" x14ac:dyDescent="0.15">
      <c r="A40" s="282" t="s">
        <v>18</v>
      </c>
      <c r="C40" s="283">
        <v>0</v>
      </c>
      <c r="D40" s="284">
        <v>1</v>
      </c>
      <c r="E40" s="284">
        <v>2</v>
      </c>
      <c r="F40" s="284">
        <v>3</v>
      </c>
      <c r="G40" s="284">
        <v>4</v>
      </c>
      <c r="H40" s="284">
        <v>5</v>
      </c>
      <c r="I40" s="284">
        <v>6</v>
      </c>
      <c r="J40" s="284">
        <v>7</v>
      </c>
      <c r="K40" s="284">
        <v>8</v>
      </c>
      <c r="L40" s="284">
        <v>9</v>
      </c>
      <c r="M40" s="284">
        <v>10</v>
      </c>
      <c r="N40" s="284">
        <v>11</v>
      </c>
      <c r="O40" s="284">
        <v>12</v>
      </c>
      <c r="P40" s="284">
        <v>13</v>
      </c>
      <c r="Q40" s="284">
        <v>14</v>
      </c>
      <c r="R40" s="285">
        <v>15</v>
      </c>
      <c r="S40" s="72"/>
      <c r="T40" s="72"/>
      <c r="U40" s="72"/>
      <c r="V40" s="72"/>
      <c r="W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</row>
    <row r="41" spans="1:69" ht="10.5" customHeight="1" x14ac:dyDescent="0.15">
      <c r="A41" s="286" t="s">
        <v>306</v>
      </c>
      <c r="B41" s="287"/>
      <c r="C41" s="288"/>
      <c r="D41" s="289">
        <f>Sys_kWhPerYear*MySol_TotalRate*(1+IVA)</f>
        <v>67546.035007210274</v>
      </c>
      <c r="E41" s="289">
        <f t="shared" ref="E41:R41" si="1">IF(E$40&gt;Cust_LeaseTermYears,0,D41*(1+FinYrIncr))</f>
        <v>69910.146232462634</v>
      </c>
      <c r="F41" s="289">
        <f t="shared" si="1"/>
        <v>72357.001350598817</v>
      </c>
      <c r="G41" s="289">
        <f t="shared" si="1"/>
        <v>74889.496397869763</v>
      </c>
      <c r="H41" s="289">
        <f t="shared" si="1"/>
        <v>77510.628771795193</v>
      </c>
      <c r="I41" s="289">
        <f t="shared" si="1"/>
        <v>80223.500778808011</v>
      </c>
      <c r="J41" s="289">
        <f t="shared" si="1"/>
        <v>83031.32330606629</v>
      </c>
      <c r="K41" s="289">
        <f t="shared" si="1"/>
        <v>85937.419621778608</v>
      </c>
      <c r="L41" s="289">
        <f t="shared" si="1"/>
        <v>88945.22930854086</v>
      </c>
      <c r="M41" s="289">
        <f t="shared" si="1"/>
        <v>92058.312334339789</v>
      </c>
      <c r="N41" s="289">
        <f t="shared" si="1"/>
        <v>0</v>
      </c>
      <c r="O41" s="289">
        <f t="shared" si="1"/>
        <v>0</v>
      </c>
      <c r="P41" s="289">
        <f t="shared" si="1"/>
        <v>0</v>
      </c>
      <c r="Q41" s="289">
        <f t="shared" si="1"/>
        <v>0</v>
      </c>
      <c r="R41" s="290">
        <f t="shared" si="1"/>
        <v>0</v>
      </c>
      <c r="S41" s="72"/>
      <c r="T41" s="72"/>
      <c r="U41" s="72"/>
      <c r="V41" s="72"/>
      <c r="W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N41" s="280"/>
      <c r="AO41" s="280"/>
      <c r="AP41" s="280"/>
      <c r="AQ41" s="280"/>
      <c r="AR41" s="280"/>
      <c r="AS41" s="280"/>
      <c r="AT41" s="280"/>
      <c r="AU41" s="280"/>
      <c r="AV41" s="280"/>
      <c r="AW41" s="280"/>
      <c r="AX41" s="280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</row>
    <row r="42" spans="1:69" ht="10.5" customHeight="1" x14ac:dyDescent="0.15">
      <c r="A42" s="291" t="s">
        <v>898</v>
      </c>
      <c r="B42" s="287"/>
      <c r="C42" s="292"/>
      <c r="D42" s="281">
        <f>D37</f>
        <v>-1853.2800000000002</v>
      </c>
      <c r="E42" s="277">
        <f t="shared" ref="E42:R42" si="2">IF(E$40&gt;Cust_LeaseTermYears,0,E37)</f>
        <v>-1908.8784000000003</v>
      </c>
      <c r="F42" s="277">
        <f t="shared" si="2"/>
        <v>-1966.1447520000004</v>
      </c>
      <c r="G42" s="277">
        <f t="shared" si="2"/>
        <v>-2025.1290945600003</v>
      </c>
      <c r="H42" s="277">
        <f t="shared" si="2"/>
        <v>-2085.8829673968003</v>
      </c>
      <c r="I42" s="277">
        <f t="shared" si="2"/>
        <v>-2148.4594564187041</v>
      </c>
      <c r="J42" s="277">
        <f t="shared" si="2"/>
        <v>-2212.9132401112652</v>
      </c>
      <c r="K42" s="277">
        <f t="shared" si="2"/>
        <v>-2279.3006373146031</v>
      </c>
      <c r="L42" s="277">
        <f t="shared" si="2"/>
        <v>-2347.6796564340411</v>
      </c>
      <c r="M42" s="277">
        <f t="shared" si="2"/>
        <v>-2418.1100461270626</v>
      </c>
      <c r="N42" s="277">
        <f t="shared" si="2"/>
        <v>0</v>
      </c>
      <c r="O42" s="277">
        <f t="shared" si="2"/>
        <v>0</v>
      </c>
      <c r="P42" s="277">
        <f t="shared" si="2"/>
        <v>0</v>
      </c>
      <c r="Q42" s="277">
        <f t="shared" si="2"/>
        <v>0</v>
      </c>
      <c r="R42" s="293">
        <f t="shared" si="2"/>
        <v>0</v>
      </c>
      <c r="S42" s="72"/>
      <c r="T42" s="72"/>
      <c r="U42" s="72"/>
      <c r="V42" s="72"/>
      <c r="W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N42" s="280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AY42" s="280"/>
      <c r="AZ42" s="280"/>
      <c r="BA42" s="280"/>
      <c r="BB42" s="280"/>
      <c r="BC42" s="280"/>
      <c r="BD42" s="280"/>
      <c r="BE42" s="280"/>
      <c r="BF42" s="280"/>
      <c r="BG42" s="280"/>
      <c r="BH42" s="280"/>
      <c r="BI42" s="280"/>
      <c r="BJ42" s="280"/>
      <c r="BK42" s="280"/>
      <c r="BL42" s="280"/>
      <c r="BM42" s="280"/>
      <c r="BN42" s="280"/>
      <c r="BO42" s="280"/>
      <c r="BP42" s="280"/>
    </row>
    <row r="43" spans="1:69" x14ac:dyDescent="0.15">
      <c r="A43" s="294" t="s">
        <v>307</v>
      </c>
      <c r="B43" s="295"/>
      <c r="C43" s="296">
        <f>C34</f>
        <v>-29877.460516799998</v>
      </c>
      <c r="D43" s="297">
        <f>MIN(0,C44)</f>
        <v>-29877.460516799998</v>
      </c>
      <c r="E43" s="297">
        <f t="shared" ref="E43:R43" si="3">MIN(0,D44*(1+InflationRate))</f>
        <v>0</v>
      </c>
      <c r="F43" s="297">
        <f t="shared" si="3"/>
        <v>0</v>
      </c>
      <c r="G43" s="298">
        <f t="shared" si="3"/>
        <v>0</v>
      </c>
      <c r="H43" s="298">
        <f t="shared" si="3"/>
        <v>0</v>
      </c>
      <c r="I43" s="297">
        <f t="shared" si="3"/>
        <v>0</v>
      </c>
      <c r="J43" s="297">
        <f t="shared" si="3"/>
        <v>0</v>
      </c>
      <c r="K43" s="297">
        <f t="shared" si="3"/>
        <v>0</v>
      </c>
      <c r="L43" s="297">
        <f t="shared" si="3"/>
        <v>0</v>
      </c>
      <c r="M43" s="297">
        <f t="shared" si="3"/>
        <v>0</v>
      </c>
      <c r="N43" s="297">
        <f t="shared" si="3"/>
        <v>0</v>
      </c>
      <c r="O43" s="297">
        <f t="shared" si="3"/>
        <v>0</v>
      </c>
      <c r="P43" s="297">
        <f t="shared" si="3"/>
        <v>0</v>
      </c>
      <c r="Q43" s="297">
        <f t="shared" si="3"/>
        <v>0</v>
      </c>
      <c r="R43" s="299">
        <f t="shared" si="3"/>
        <v>0</v>
      </c>
      <c r="S43" s="72"/>
      <c r="T43" s="72"/>
      <c r="U43" s="72"/>
      <c r="V43" s="72"/>
      <c r="W43" s="72"/>
      <c r="X43" s="280"/>
      <c r="Y43" s="280"/>
      <c r="Z43" s="280"/>
      <c r="AA43" s="280"/>
      <c r="AB43" s="280"/>
      <c r="AC43" s="280"/>
      <c r="AO43" s="280"/>
      <c r="AP43" s="280"/>
      <c r="AQ43" s="280"/>
      <c r="AR43" s="280"/>
      <c r="AS43" s="280"/>
      <c r="AT43" s="280"/>
      <c r="AU43" s="280"/>
      <c r="AV43" s="280"/>
      <c r="AW43" s="280"/>
      <c r="AX43" s="280"/>
      <c r="AY43" s="280"/>
      <c r="AZ43" s="280"/>
      <c r="BA43" s="280"/>
      <c r="BB43" s="280"/>
      <c r="BC43" s="280"/>
      <c r="BD43" s="280"/>
      <c r="BE43" s="280"/>
      <c r="BF43" s="280"/>
      <c r="BG43" s="280"/>
      <c r="BH43" s="280"/>
      <c r="BI43" s="280"/>
      <c r="BJ43" s="280"/>
      <c r="BK43" s="280"/>
      <c r="BL43" s="280"/>
      <c r="BM43" s="280"/>
      <c r="BN43" s="280"/>
      <c r="BO43" s="280"/>
      <c r="BP43" s="280"/>
      <c r="BQ43" s="280"/>
    </row>
    <row r="44" spans="1:69" x14ac:dyDescent="0.15">
      <c r="A44" s="279" t="s">
        <v>308</v>
      </c>
      <c r="B44" s="42"/>
      <c r="C44" s="300">
        <f t="shared" ref="C44:R44" si="4">SUM(C41:C43)</f>
        <v>-29877.460516799998</v>
      </c>
      <c r="D44" s="277">
        <f t="shared" si="4"/>
        <v>35815.294490410277</v>
      </c>
      <c r="E44" s="277">
        <f t="shared" si="4"/>
        <v>68001.267832462632</v>
      </c>
      <c r="F44" s="277">
        <f t="shared" si="4"/>
        <v>70390.85659859881</v>
      </c>
      <c r="G44" s="277">
        <f t="shared" si="4"/>
        <v>72864.367303309758</v>
      </c>
      <c r="H44" s="277">
        <f t="shared" si="4"/>
        <v>75424.745804398393</v>
      </c>
      <c r="I44" s="277">
        <f t="shared" si="4"/>
        <v>78075.041322389312</v>
      </c>
      <c r="J44" s="277">
        <f t="shared" si="4"/>
        <v>80818.410065955031</v>
      </c>
      <c r="K44" s="277">
        <f t="shared" si="4"/>
        <v>83658.118984464003</v>
      </c>
      <c r="L44" s="277">
        <f t="shared" si="4"/>
        <v>86597.549652106813</v>
      </c>
      <c r="M44" s="277">
        <f t="shared" si="4"/>
        <v>89640.20228821272</v>
      </c>
      <c r="N44" s="277">
        <f t="shared" si="4"/>
        <v>0</v>
      </c>
      <c r="O44" s="277">
        <f t="shared" si="4"/>
        <v>0</v>
      </c>
      <c r="P44" s="277">
        <f t="shared" si="4"/>
        <v>0</v>
      </c>
      <c r="Q44" s="277">
        <f t="shared" si="4"/>
        <v>0</v>
      </c>
      <c r="R44" s="293">
        <f t="shared" si="4"/>
        <v>0</v>
      </c>
      <c r="S44" s="72"/>
      <c r="T44" s="72"/>
      <c r="U44" s="72"/>
      <c r="V44" s="72"/>
      <c r="W44" s="72"/>
      <c r="X44" s="280"/>
      <c r="Y44" s="280"/>
      <c r="Z44" s="280"/>
      <c r="AA44" s="280"/>
      <c r="AB44" s="280"/>
      <c r="AC44" s="280"/>
      <c r="AD44" s="280"/>
      <c r="AE44" s="280"/>
      <c r="AF44" s="280"/>
      <c r="AG44" s="280"/>
      <c r="AH44" s="280"/>
      <c r="AI44" s="280"/>
      <c r="AJ44" s="280"/>
      <c r="AK44" s="280"/>
      <c r="AL44" s="280"/>
      <c r="AM44" s="280"/>
      <c r="AN44" s="280"/>
      <c r="AO44" s="280"/>
      <c r="AP44" s="280"/>
      <c r="AQ44" s="280"/>
      <c r="AR44" s="280"/>
      <c r="AS44" s="280"/>
      <c r="AT44" s="280"/>
      <c r="AU44" s="280"/>
      <c r="AV44" s="280"/>
      <c r="AW44" s="280"/>
      <c r="AX44" s="280"/>
      <c r="AY44" s="280"/>
      <c r="AZ44" s="280"/>
      <c r="BA44" s="280"/>
      <c r="BB44" s="280"/>
      <c r="BC44" s="280"/>
      <c r="BD44" s="280"/>
      <c r="BE44" s="280"/>
      <c r="BF44" s="280"/>
      <c r="BG44" s="280"/>
      <c r="BH44" s="280"/>
      <c r="BI44" s="280"/>
      <c r="BJ44" s="280"/>
      <c r="BK44" s="280"/>
      <c r="BL44" s="280"/>
      <c r="BM44" s="280"/>
      <c r="BN44" s="280"/>
      <c r="BO44" s="280"/>
      <c r="BP44" s="280"/>
    </row>
    <row r="45" spans="1:69" x14ac:dyDescent="0.15">
      <c r="A45" s="279" t="s">
        <v>309</v>
      </c>
      <c r="B45" s="42"/>
      <c r="C45" s="300">
        <f t="shared" ref="C45:R45" si="5">IF(C44&lt;0,0,-C44*CorpTaxRate)</f>
        <v>0</v>
      </c>
      <c r="D45" s="277">
        <f t="shared" si="5"/>
        <v>-10744.588347123083</v>
      </c>
      <c r="E45" s="277">
        <f t="shared" si="5"/>
        <v>-20400.380349738789</v>
      </c>
      <c r="F45" s="277">
        <f t="shared" si="5"/>
        <v>-21117.256979579641</v>
      </c>
      <c r="G45" s="277">
        <f t="shared" si="5"/>
        <v>-21859.310190992928</v>
      </c>
      <c r="H45" s="277">
        <f t="shared" si="5"/>
        <v>-22627.423741319519</v>
      </c>
      <c r="I45" s="277">
        <f t="shared" si="5"/>
        <v>-23422.512396716793</v>
      </c>
      <c r="J45" s="277">
        <f t="shared" si="5"/>
        <v>-24245.523019786509</v>
      </c>
      <c r="K45" s="277">
        <f t="shared" si="5"/>
        <v>-25097.435695339202</v>
      </c>
      <c r="L45" s="277">
        <f t="shared" si="5"/>
        <v>-25979.264895632044</v>
      </c>
      <c r="M45" s="277">
        <f t="shared" si="5"/>
        <v>-26892.060686463814</v>
      </c>
      <c r="N45" s="277">
        <f t="shared" si="5"/>
        <v>0</v>
      </c>
      <c r="O45" s="277">
        <f t="shared" si="5"/>
        <v>0</v>
      </c>
      <c r="P45" s="277">
        <f t="shared" si="5"/>
        <v>0</v>
      </c>
      <c r="Q45" s="277">
        <f t="shared" si="5"/>
        <v>0</v>
      </c>
      <c r="R45" s="293">
        <f t="shared" si="5"/>
        <v>0</v>
      </c>
      <c r="S45" s="72"/>
      <c r="T45" s="72"/>
      <c r="U45" s="72"/>
      <c r="V45" s="72"/>
      <c r="W45" s="72"/>
      <c r="X45" s="280"/>
      <c r="Y45" s="280"/>
      <c r="Z45" s="280"/>
      <c r="AA45" s="280"/>
      <c r="AB45" s="280"/>
      <c r="AC45" s="280"/>
      <c r="AD45" s="280"/>
      <c r="AE45" s="280"/>
      <c r="AF45" s="280"/>
      <c r="AG45" s="280"/>
      <c r="AH45" s="280"/>
      <c r="AI45" s="280"/>
      <c r="AJ45" s="280"/>
      <c r="AK45" s="280"/>
      <c r="AL45" s="280"/>
      <c r="AM45" s="280"/>
      <c r="AN45" s="280"/>
      <c r="AO45" s="280"/>
      <c r="AP45" s="280"/>
      <c r="AQ45" s="280"/>
      <c r="AR45" s="280"/>
      <c r="AS45" s="280"/>
      <c r="AT45" s="280"/>
      <c r="AU45" s="280"/>
      <c r="AV45" s="280"/>
      <c r="AW45" s="280"/>
      <c r="AX45" s="280"/>
      <c r="AY45" s="280"/>
      <c r="AZ45" s="280"/>
      <c r="BA45" s="280"/>
      <c r="BB45" s="280"/>
      <c r="BC45" s="280"/>
      <c r="BD45" s="280"/>
      <c r="BE45" s="280"/>
      <c r="BF45" s="280"/>
      <c r="BG45" s="280"/>
      <c r="BH45" s="280"/>
      <c r="BI45" s="280"/>
      <c r="BJ45" s="280"/>
      <c r="BK45" s="280"/>
      <c r="BL45" s="280"/>
      <c r="BM45" s="280"/>
      <c r="BN45" s="280"/>
      <c r="BO45" s="280"/>
      <c r="BP45" s="280"/>
    </row>
    <row r="46" spans="1:69" x14ac:dyDescent="0.15">
      <c r="A46" s="282" t="s">
        <v>310</v>
      </c>
      <c r="C46" s="301">
        <f>C41-C45</f>
        <v>0</v>
      </c>
      <c r="D46" s="302">
        <f>SUM(D41:D42)+D45</f>
        <v>54948.16666008719</v>
      </c>
      <c r="E46" s="302">
        <f t="shared" ref="E46:R46" si="6">SUM(E41:E42)+E45</f>
        <v>47600.887482723847</v>
      </c>
      <c r="F46" s="302">
        <f t="shared" si="6"/>
        <v>49273.599619019165</v>
      </c>
      <c r="G46" s="302">
        <f t="shared" si="6"/>
        <v>51005.057112316834</v>
      </c>
      <c r="H46" s="302">
        <f t="shared" si="6"/>
        <v>52797.322063078871</v>
      </c>
      <c r="I46" s="302">
        <f t="shared" si="6"/>
        <v>54652.528925672523</v>
      </c>
      <c r="J46" s="302">
        <f t="shared" si="6"/>
        <v>56572.887046168522</v>
      </c>
      <c r="K46" s="302">
        <f t="shared" si="6"/>
        <v>58560.683289124805</v>
      </c>
      <c r="L46" s="302">
        <f t="shared" si="6"/>
        <v>60618.284756474764</v>
      </c>
      <c r="M46" s="302">
        <f t="shared" si="6"/>
        <v>62748.14160174891</v>
      </c>
      <c r="N46" s="302">
        <f t="shared" si="6"/>
        <v>0</v>
      </c>
      <c r="O46" s="302">
        <f t="shared" si="6"/>
        <v>0</v>
      </c>
      <c r="P46" s="302">
        <f t="shared" si="6"/>
        <v>0</v>
      </c>
      <c r="Q46" s="302">
        <f t="shared" si="6"/>
        <v>0</v>
      </c>
      <c r="R46" s="303">
        <f t="shared" si="6"/>
        <v>0</v>
      </c>
      <c r="S46" s="72"/>
      <c r="T46" s="72"/>
      <c r="U46" s="72"/>
      <c r="V46" s="72"/>
      <c r="W46" s="72"/>
      <c r="AD46" s="280"/>
      <c r="AE46" s="280"/>
      <c r="AF46" s="280"/>
      <c r="AG46" s="280"/>
      <c r="AH46" s="280"/>
      <c r="AI46" s="280"/>
      <c r="AJ46" s="280"/>
      <c r="AK46" s="280"/>
      <c r="AL46" s="280"/>
      <c r="AM46" s="280"/>
      <c r="AN46" s="280"/>
      <c r="AO46" s="280"/>
      <c r="AP46" s="280"/>
      <c r="AQ46" s="280"/>
      <c r="AR46" s="280"/>
      <c r="AS46" s="280"/>
      <c r="AT46" s="280"/>
      <c r="AU46" s="280"/>
      <c r="AV46" s="280"/>
      <c r="AW46" s="280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</row>
    <row r="47" spans="1:69" x14ac:dyDescent="0.15">
      <c r="A47" s="42"/>
      <c r="C47" s="304"/>
      <c r="D47" s="304"/>
      <c r="E47" s="304"/>
      <c r="F47" s="304"/>
      <c r="G47" s="304"/>
      <c r="H47" s="304"/>
      <c r="I47" s="304"/>
      <c r="J47" s="304"/>
      <c r="K47" s="304"/>
      <c r="L47" s="304"/>
      <c r="M47" s="304"/>
      <c r="N47" s="304"/>
      <c r="O47" s="304"/>
      <c r="P47" s="304"/>
      <c r="Q47" s="304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</row>
    <row r="48" spans="1:69" x14ac:dyDescent="0.15">
      <c r="A48" s="42"/>
      <c r="B48" s="42"/>
      <c r="C48" s="277"/>
      <c r="D48" s="277"/>
      <c r="E48" s="277"/>
      <c r="F48" s="277"/>
      <c r="G48" s="277"/>
      <c r="H48" s="277"/>
      <c r="I48" s="277"/>
      <c r="J48" s="277"/>
      <c r="K48" s="277"/>
      <c r="L48" s="277"/>
      <c r="M48" s="277"/>
      <c r="N48" s="277"/>
      <c r="O48" s="277"/>
      <c r="P48" s="277"/>
      <c r="Q48" s="277"/>
      <c r="R48" s="280"/>
      <c r="S48" s="280"/>
      <c r="T48" s="280"/>
      <c r="U48" s="280"/>
      <c r="V48" s="280"/>
      <c r="W48" s="280"/>
      <c r="X48" s="280"/>
      <c r="Y48" s="305"/>
      <c r="Z48" s="305"/>
      <c r="AA48" s="280"/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280"/>
      <c r="AM48" s="280"/>
      <c r="AN48" s="280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</row>
    <row r="49" spans="1:183" x14ac:dyDescent="0.15">
      <c r="A49" s="276" t="s">
        <v>311</v>
      </c>
    </row>
    <row r="50" spans="1:183" x14ac:dyDescent="0.15">
      <c r="A50" s="306" t="s">
        <v>312</v>
      </c>
      <c r="C50" s="307">
        <v>0</v>
      </c>
      <c r="D50" s="308">
        <v>1</v>
      </c>
      <c r="E50" s="308">
        <v>2</v>
      </c>
      <c r="F50" s="308">
        <v>3</v>
      </c>
      <c r="G50" s="308">
        <v>4</v>
      </c>
      <c r="H50" s="308">
        <v>5</v>
      </c>
      <c r="I50" s="308">
        <v>6</v>
      </c>
      <c r="J50" s="308">
        <v>7</v>
      </c>
      <c r="K50" s="308">
        <v>8</v>
      </c>
      <c r="L50" s="308">
        <v>9</v>
      </c>
      <c r="M50" s="308">
        <v>10</v>
      </c>
      <c r="N50" s="308">
        <v>11</v>
      </c>
      <c r="O50" s="308">
        <v>12</v>
      </c>
      <c r="P50" s="308">
        <v>13</v>
      </c>
      <c r="Q50" s="308">
        <v>14</v>
      </c>
      <c r="R50" s="308">
        <v>15</v>
      </c>
      <c r="S50" s="308">
        <v>16</v>
      </c>
      <c r="T50" s="308">
        <v>17</v>
      </c>
      <c r="U50" s="308">
        <v>18</v>
      </c>
      <c r="V50" s="308">
        <v>19</v>
      </c>
      <c r="W50" s="308">
        <v>20</v>
      </c>
      <c r="X50" s="308">
        <v>21</v>
      </c>
      <c r="Y50" s="308">
        <v>22</v>
      </c>
      <c r="Z50" s="308">
        <v>23</v>
      </c>
      <c r="AA50" s="308">
        <v>24</v>
      </c>
      <c r="AB50" s="308">
        <v>25</v>
      </c>
      <c r="AC50" s="308">
        <v>26</v>
      </c>
      <c r="AD50" s="308">
        <v>27</v>
      </c>
      <c r="AE50" s="308">
        <v>28</v>
      </c>
      <c r="AF50" s="308">
        <v>29</v>
      </c>
      <c r="AG50" s="308">
        <v>30</v>
      </c>
      <c r="AH50" s="308">
        <v>31</v>
      </c>
      <c r="AI50" s="308">
        <v>32</v>
      </c>
      <c r="AJ50" s="308">
        <v>33</v>
      </c>
      <c r="AK50" s="308">
        <v>34</v>
      </c>
      <c r="AL50" s="308">
        <v>35</v>
      </c>
      <c r="AM50" s="308">
        <v>36</v>
      </c>
      <c r="AN50" s="308">
        <v>37</v>
      </c>
      <c r="AO50" s="308">
        <v>38</v>
      </c>
      <c r="AP50" s="308">
        <v>39</v>
      </c>
      <c r="AQ50" s="308">
        <v>40</v>
      </c>
      <c r="AR50" s="308">
        <v>41</v>
      </c>
      <c r="AS50" s="308">
        <v>42</v>
      </c>
      <c r="AT50" s="308">
        <v>43</v>
      </c>
      <c r="AU50" s="308">
        <v>44</v>
      </c>
      <c r="AV50" s="308">
        <v>45</v>
      </c>
      <c r="AW50" s="308">
        <v>46</v>
      </c>
      <c r="AX50" s="308">
        <v>47</v>
      </c>
      <c r="AY50" s="308">
        <v>48</v>
      </c>
      <c r="AZ50" s="308">
        <v>49</v>
      </c>
      <c r="BA50" s="308">
        <v>50</v>
      </c>
      <c r="BB50" s="308">
        <v>51</v>
      </c>
      <c r="BC50" s="308">
        <v>52</v>
      </c>
      <c r="BD50" s="308">
        <v>53</v>
      </c>
      <c r="BE50" s="308">
        <v>54</v>
      </c>
      <c r="BF50" s="308">
        <v>55</v>
      </c>
      <c r="BG50" s="308">
        <v>56</v>
      </c>
      <c r="BH50" s="308">
        <v>57</v>
      </c>
      <c r="BI50" s="308">
        <v>58</v>
      </c>
      <c r="BJ50" s="308">
        <v>59</v>
      </c>
      <c r="BK50" s="308">
        <v>60</v>
      </c>
      <c r="BL50" s="308">
        <v>61</v>
      </c>
      <c r="BM50" s="308">
        <v>62</v>
      </c>
      <c r="BN50" s="308">
        <v>63</v>
      </c>
      <c r="BO50" s="308">
        <v>64</v>
      </c>
      <c r="BP50" s="308">
        <v>65</v>
      </c>
      <c r="BQ50" s="308">
        <v>66</v>
      </c>
      <c r="BR50" s="308">
        <v>67</v>
      </c>
      <c r="BS50" s="308">
        <v>68</v>
      </c>
      <c r="BT50" s="308">
        <v>69</v>
      </c>
      <c r="BU50" s="308">
        <v>70</v>
      </c>
      <c r="BV50" s="308">
        <v>71</v>
      </c>
      <c r="BW50" s="308">
        <v>72</v>
      </c>
      <c r="BX50" s="308">
        <v>73</v>
      </c>
      <c r="BY50" s="308">
        <v>74</v>
      </c>
      <c r="BZ50" s="308">
        <v>75</v>
      </c>
      <c r="CA50" s="308">
        <v>76</v>
      </c>
      <c r="CB50" s="308">
        <v>77</v>
      </c>
      <c r="CC50" s="308">
        <v>78</v>
      </c>
      <c r="CD50" s="308">
        <v>79</v>
      </c>
      <c r="CE50" s="308">
        <v>80</v>
      </c>
      <c r="CF50" s="308">
        <v>81</v>
      </c>
      <c r="CG50" s="308">
        <v>82</v>
      </c>
      <c r="CH50" s="308">
        <v>83</v>
      </c>
      <c r="CI50" s="308">
        <v>84</v>
      </c>
      <c r="CJ50" s="308">
        <v>85</v>
      </c>
      <c r="CK50" s="308">
        <v>86</v>
      </c>
      <c r="CL50" s="308">
        <v>87</v>
      </c>
      <c r="CM50" s="308">
        <v>88</v>
      </c>
      <c r="CN50" s="308">
        <v>89</v>
      </c>
      <c r="CO50" s="308">
        <v>90</v>
      </c>
      <c r="CP50" s="308">
        <v>91</v>
      </c>
      <c r="CQ50" s="308">
        <v>92</v>
      </c>
      <c r="CR50" s="308">
        <v>93</v>
      </c>
      <c r="CS50" s="308">
        <v>94</v>
      </c>
      <c r="CT50" s="308">
        <v>95</v>
      </c>
      <c r="CU50" s="308">
        <v>96</v>
      </c>
      <c r="CV50" s="308">
        <v>97</v>
      </c>
      <c r="CW50" s="308">
        <v>98</v>
      </c>
      <c r="CX50" s="308">
        <v>99</v>
      </c>
      <c r="CY50" s="308">
        <v>100</v>
      </c>
      <c r="CZ50" s="308">
        <v>101</v>
      </c>
      <c r="DA50" s="308">
        <v>102</v>
      </c>
      <c r="DB50" s="308">
        <v>103</v>
      </c>
      <c r="DC50" s="308">
        <v>104</v>
      </c>
      <c r="DD50" s="308">
        <v>105</v>
      </c>
      <c r="DE50" s="308">
        <v>106</v>
      </c>
      <c r="DF50" s="308">
        <v>107</v>
      </c>
      <c r="DG50" s="308">
        <v>108</v>
      </c>
      <c r="DH50" s="308">
        <v>109</v>
      </c>
      <c r="DI50" s="308">
        <v>110</v>
      </c>
      <c r="DJ50" s="308">
        <v>111</v>
      </c>
      <c r="DK50" s="308">
        <v>112</v>
      </c>
      <c r="DL50" s="308">
        <v>113</v>
      </c>
      <c r="DM50" s="308">
        <v>114</v>
      </c>
      <c r="DN50" s="308">
        <v>115</v>
      </c>
      <c r="DO50" s="308">
        <v>116</v>
      </c>
      <c r="DP50" s="308">
        <v>117</v>
      </c>
      <c r="DQ50" s="308">
        <v>118</v>
      </c>
      <c r="DR50" s="308">
        <v>119</v>
      </c>
      <c r="DS50" s="308">
        <v>120</v>
      </c>
      <c r="DT50" s="308">
        <v>121</v>
      </c>
      <c r="DU50" s="308">
        <v>122</v>
      </c>
      <c r="DV50" s="308">
        <v>123</v>
      </c>
      <c r="DW50" s="308">
        <v>124</v>
      </c>
      <c r="DX50" s="308">
        <v>125</v>
      </c>
      <c r="DY50" s="308">
        <v>126</v>
      </c>
      <c r="DZ50" s="308">
        <v>127</v>
      </c>
      <c r="EA50" s="308">
        <v>128</v>
      </c>
      <c r="EB50" s="308">
        <v>129</v>
      </c>
      <c r="EC50" s="308">
        <v>130</v>
      </c>
      <c r="ED50" s="308">
        <v>131</v>
      </c>
      <c r="EE50" s="308">
        <v>132</v>
      </c>
      <c r="EF50" s="308">
        <v>133</v>
      </c>
      <c r="EG50" s="308">
        <v>134</v>
      </c>
      <c r="EH50" s="308">
        <v>135</v>
      </c>
      <c r="EI50" s="308">
        <v>136</v>
      </c>
      <c r="EJ50" s="308">
        <v>137</v>
      </c>
      <c r="EK50" s="308">
        <v>138</v>
      </c>
      <c r="EL50" s="308">
        <v>139</v>
      </c>
      <c r="EM50" s="308">
        <v>140</v>
      </c>
      <c r="EN50" s="308">
        <v>141</v>
      </c>
      <c r="EO50" s="308">
        <v>142</v>
      </c>
      <c r="EP50" s="308">
        <v>143</v>
      </c>
      <c r="EQ50" s="308">
        <v>144</v>
      </c>
      <c r="ER50" s="308">
        <v>145</v>
      </c>
      <c r="ES50" s="308">
        <v>146</v>
      </c>
      <c r="ET50" s="308">
        <v>147</v>
      </c>
      <c r="EU50" s="308">
        <v>148</v>
      </c>
      <c r="EV50" s="308">
        <v>149</v>
      </c>
      <c r="EW50" s="308">
        <v>150</v>
      </c>
      <c r="EX50" s="308">
        <v>151</v>
      </c>
      <c r="EY50" s="308">
        <v>152</v>
      </c>
      <c r="EZ50" s="308">
        <v>153</v>
      </c>
      <c r="FA50" s="308">
        <v>154</v>
      </c>
      <c r="FB50" s="308">
        <v>155</v>
      </c>
      <c r="FC50" s="308">
        <v>156</v>
      </c>
      <c r="FD50" s="308">
        <v>157</v>
      </c>
      <c r="FE50" s="308">
        <v>158</v>
      </c>
      <c r="FF50" s="308">
        <v>159</v>
      </c>
      <c r="FG50" s="308">
        <v>160</v>
      </c>
      <c r="FH50" s="308">
        <v>161</v>
      </c>
      <c r="FI50" s="308">
        <v>162</v>
      </c>
      <c r="FJ50" s="308">
        <v>163</v>
      </c>
      <c r="FK50" s="308">
        <v>164</v>
      </c>
      <c r="FL50" s="308">
        <v>165</v>
      </c>
      <c r="FM50" s="308">
        <v>166</v>
      </c>
      <c r="FN50" s="308">
        <v>167</v>
      </c>
      <c r="FO50" s="308">
        <v>168</v>
      </c>
      <c r="FP50" s="308">
        <v>169</v>
      </c>
      <c r="FQ50" s="308">
        <v>170</v>
      </c>
      <c r="FR50" s="308">
        <v>171</v>
      </c>
      <c r="FS50" s="308">
        <v>172</v>
      </c>
      <c r="FT50" s="308">
        <v>173</v>
      </c>
      <c r="FU50" s="308">
        <v>174</v>
      </c>
      <c r="FV50" s="308">
        <v>175</v>
      </c>
      <c r="FW50" s="308">
        <v>176</v>
      </c>
      <c r="FX50" s="308">
        <v>177</v>
      </c>
      <c r="FY50" s="308">
        <v>178</v>
      </c>
      <c r="FZ50" s="308">
        <v>179</v>
      </c>
      <c r="GA50" s="309">
        <v>180</v>
      </c>
    </row>
    <row r="51" spans="1:183" x14ac:dyDescent="0.15">
      <c r="A51" s="310" t="s">
        <v>18</v>
      </c>
      <c r="C51" s="311">
        <f>ROUNDUP(C50/12,0)</f>
        <v>0</v>
      </c>
      <c r="D51" s="42">
        <f>ROUNDUP(D50/12,0)</f>
        <v>1</v>
      </c>
      <c r="E51" s="42">
        <f t="shared" ref="E51:BP51" si="7">ROUNDUP(E50/12,0)</f>
        <v>1</v>
      </c>
      <c r="F51" s="42">
        <f t="shared" si="7"/>
        <v>1</v>
      </c>
      <c r="G51" s="42">
        <f t="shared" si="7"/>
        <v>1</v>
      </c>
      <c r="H51" s="42">
        <f t="shared" si="7"/>
        <v>1</v>
      </c>
      <c r="I51" s="42">
        <f t="shared" si="7"/>
        <v>1</v>
      </c>
      <c r="J51" s="42">
        <f t="shared" si="7"/>
        <v>1</v>
      </c>
      <c r="K51" s="42">
        <f t="shared" si="7"/>
        <v>1</v>
      </c>
      <c r="L51" s="42">
        <f t="shared" si="7"/>
        <v>1</v>
      </c>
      <c r="M51" s="42">
        <f t="shared" si="7"/>
        <v>1</v>
      </c>
      <c r="N51" s="42">
        <f t="shared" si="7"/>
        <v>1</v>
      </c>
      <c r="O51" s="42">
        <f t="shared" si="7"/>
        <v>1</v>
      </c>
      <c r="P51" s="42">
        <f t="shared" si="7"/>
        <v>2</v>
      </c>
      <c r="Q51" s="42">
        <f t="shared" si="7"/>
        <v>2</v>
      </c>
      <c r="R51" s="42">
        <f t="shared" si="7"/>
        <v>2</v>
      </c>
      <c r="S51" s="42">
        <f t="shared" si="7"/>
        <v>2</v>
      </c>
      <c r="T51" s="42">
        <f t="shared" si="7"/>
        <v>2</v>
      </c>
      <c r="U51" s="42">
        <f t="shared" si="7"/>
        <v>2</v>
      </c>
      <c r="V51" s="42">
        <f t="shared" si="7"/>
        <v>2</v>
      </c>
      <c r="W51" s="42">
        <f t="shared" si="7"/>
        <v>2</v>
      </c>
      <c r="X51" s="42">
        <f t="shared" si="7"/>
        <v>2</v>
      </c>
      <c r="Y51" s="42">
        <f t="shared" si="7"/>
        <v>2</v>
      </c>
      <c r="Z51" s="42">
        <f t="shared" si="7"/>
        <v>2</v>
      </c>
      <c r="AA51" s="42">
        <f t="shared" si="7"/>
        <v>2</v>
      </c>
      <c r="AB51" s="42">
        <f t="shared" si="7"/>
        <v>3</v>
      </c>
      <c r="AC51" s="42">
        <f t="shared" si="7"/>
        <v>3</v>
      </c>
      <c r="AD51" s="42">
        <f t="shared" si="7"/>
        <v>3</v>
      </c>
      <c r="AE51" s="42">
        <f t="shared" si="7"/>
        <v>3</v>
      </c>
      <c r="AF51" s="42">
        <f t="shared" si="7"/>
        <v>3</v>
      </c>
      <c r="AG51" s="42">
        <f t="shared" si="7"/>
        <v>3</v>
      </c>
      <c r="AH51" s="42">
        <f t="shared" si="7"/>
        <v>3</v>
      </c>
      <c r="AI51" s="42">
        <f t="shared" si="7"/>
        <v>3</v>
      </c>
      <c r="AJ51" s="42">
        <f t="shared" si="7"/>
        <v>3</v>
      </c>
      <c r="AK51" s="42">
        <f t="shared" si="7"/>
        <v>3</v>
      </c>
      <c r="AL51" s="42">
        <f t="shared" si="7"/>
        <v>3</v>
      </c>
      <c r="AM51" s="42">
        <f t="shared" si="7"/>
        <v>3</v>
      </c>
      <c r="AN51" s="42">
        <f t="shared" si="7"/>
        <v>4</v>
      </c>
      <c r="AO51" s="42">
        <f t="shared" si="7"/>
        <v>4</v>
      </c>
      <c r="AP51" s="42">
        <f t="shared" si="7"/>
        <v>4</v>
      </c>
      <c r="AQ51" s="42">
        <f t="shared" si="7"/>
        <v>4</v>
      </c>
      <c r="AR51" s="42">
        <f t="shared" si="7"/>
        <v>4</v>
      </c>
      <c r="AS51" s="42">
        <f t="shared" si="7"/>
        <v>4</v>
      </c>
      <c r="AT51" s="42">
        <f t="shared" si="7"/>
        <v>4</v>
      </c>
      <c r="AU51" s="42">
        <f t="shared" si="7"/>
        <v>4</v>
      </c>
      <c r="AV51" s="42">
        <f t="shared" si="7"/>
        <v>4</v>
      </c>
      <c r="AW51" s="42">
        <f t="shared" si="7"/>
        <v>4</v>
      </c>
      <c r="AX51" s="42">
        <f t="shared" si="7"/>
        <v>4</v>
      </c>
      <c r="AY51" s="42">
        <f t="shared" si="7"/>
        <v>4</v>
      </c>
      <c r="AZ51" s="42">
        <f t="shared" si="7"/>
        <v>5</v>
      </c>
      <c r="BA51" s="42">
        <f t="shared" si="7"/>
        <v>5</v>
      </c>
      <c r="BB51" s="42">
        <f t="shared" si="7"/>
        <v>5</v>
      </c>
      <c r="BC51" s="42">
        <f t="shared" si="7"/>
        <v>5</v>
      </c>
      <c r="BD51" s="42">
        <f t="shared" si="7"/>
        <v>5</v>
      </c>
      <c r="BE51" s="42">
        <f t="shared" si="7"/>
        <v>5</v>
      </c>
      <c r="BF51" s="42">
        <f t="shared" si="7"/>
        <v>5</v>
      </c>
      <c r="BG51" s="42">
        <f t="shared" si="7"/>
        <v>5</v>
      </c>
      <c r="BH51" s="42">
        <f t="shared" si="7"/>
        <v>5</v>
      </c>
      <c r="BI51" s="42">
        <f t="shared" si="7"/>
        <v>5</v>
      </c>
      <c r="BJ51" s="42">
        <f t="shared" si="7"/>
        <v>5</v>
      </c>
      <c r="BK51" s="42">
        <f t="shared" si="7"/>
        <v>5</v>
      </c>
      <c r="BL51" s="42">
        <f t="shared" si="7"/>
        <v>6</v>
      </c>
      <c r="BM51" s="42">
        <f t="shared" si="7"/>
        <v>6</v>
      </c>
      <c r="BN51" s="42">
        <f t="shared" si="7"/>
        <v>6</v>
      </c>
      <c r="BO51" s="42">
        <f t="shared" si="7"/>
        <v>6</v>
      </c>
      <c r="BP51" s="42">
        <f t="shared" si="7"/>
        <v>6</v>
      </c>
      <c r="BQ51" s="42">
        <f t="shared" ref="BQ51:EB51" si="8">ROUNDUP(BQ50/12,0)</f>
        <v>6</v>
      </c>
      <c r="BR51" s="42">
        <f t="shared" si="8"/>
        <v>6</v>
      </c>
      <c r="BS51" s="42">
        <f t="shared" si="8"/>
        <v>6</v>
      </c>
      <c r="BT51" s="42">
        <f t="shared" si="8"/>
        <v>6</v>
      </c>
      <c r="BU51" s="42">
        <f t="shared" si="8"/>
        <v>6</v>
      </c>
      <c r="BV51" s="42">
        <f t="shared" si="8"/>
        <v>6</v>
      </c>
      <c r="BW51" s="42">
        <f t="shared" si="8"/>
        <v>6</v>
      </c>
      <c r="BX51" s="42">
        <f t="shared" si="8"/>
        <v>7</v>
      </c>
      <c r="BY51" s="42">
        <f t="shared" si="8"/>
        <v>7</v>
      </c>
      <c r="BZ51" s="42">
        <f t="shared" si="8"/>
        <v>7</v>
      </c>
      <c r="CA51" s="42">
        <f t="shared" si="8"/>
        <v>7</v>
      </c>
      <c r="CB51" s="42">
        <f t="shared" si="8"/>
        <v>7</v>
      </c>
      <c r="CC51" s="42">
        <f t="shared" si="8"/>
        <v>7</v>
      </c>
      <c r="CD51" s="42">
        <f t="shared" si="8"/>
        <v>7</v>
      </c>
      <c r="CE51" s="42">
        <f t="shared" si="8"/>
        <v>7</v>
      </c>
      <c r="CF51" s="42">
        <f t="shared" si="8"/>
        <v>7</v>
      </c>
      <c r="CG51" s="42">
        <f t="shared" si="8"/>
        <v>7</v>
      </c>
      <c r="CH51" s="42">
        <f t="shared" si="8"/>
        <v>7</v>
      </c>
      <c r="CI51" s="42">
        <f t="shared" si="8"/>
        <v>7</v>
      </c>
      <c r="CJ51" s="42">
        <f t="shared" si="8"/>
        <v>8</v>
      </c>
      <c r="CK51" s="42">
        <f t="shared" si="8"/>
        <v>8</v>
      </c>
      <c r="CL51" s="42">
        <f t="shared" si="8"/>
        <v>8</v>
      </c>
      <c r="CM51" s="42">
        <f t="shared" si="8"/>
        <v>8</v>
      </c>
      <c r="CN51" s="42">
        <f t="shared" si="8"/>
        <v>8</v>
      </c>
      <c r="CO51" s="42">
        <f t="shared" si="8"/>
        <v>8</v>
      </c>
      <c r="CP51" s="42">
        <f t="shared" si="8"/>
        <v>8</v>
      </c>
      <c r="CQ51" s="42">
        <f t="shared" si="8"/>
        <v>8</v>
      </c>
      <c r="CR51" s="42">
        <f t="shared" si="8"/>
        <v>8</v>
      </c>
      <c r="CS51" s="42">
        <f t="shared" si="8"/>
        <v>8</v>
      </c>
      <c r="CT51" s="42">
        <f t="shared" si="8"/>
        <v>8</v>
      </c>
      <c r="CU51" s="42">
        <f t="shared" si="8"/>
        <v>8</v>
      </c>
      <c r="CV51" s="42">
        <f t="shared" si="8"/>
        <v>9</v>
      </c>
      <c r="CW51" s="42">
        <f t="shared" si="8"/>
        <v>9</v>
      </c>
      <c r="CX51" s="42">
        <f t="shared" si="8"/>
        <v>9</v>
      </c>
      <c r="CY51" s="42">
        <f t="shared" si="8"/>
        <v>9</v>
      </c>
      <c r="CZ51" s="42">
        <f t="shared" si="8"/>
        <v>9</v>
      </c>
      <c r="DA51" s="42">
        <f t="shared" si="8"/>
        <v>9</v>
      </c>
      <c r="DB51" s="42">
        <f t="shared" si="8"/>
        <v>9</v>
      </c>
      <c r="DC51" s="42">
        <f t="shared" si="8"/>
        <v>9</v>
      </c>
      <c r="DD51" s="42">
        <f t="shared" si="8"/>
        <v>9</v>
      </c>
      <c r="DE51" s="42">
        <f t="shared" si="8"/>
        <v>9</v>
      </c>
      <c r="DF51" s="42">
        <f t="shared" si="8"/>
        <v>9</v>
      </c>
      <c r="DG51" s="42">
        <f t="shared" si="8"/>
        <v>9</v>
      </c>
      <c r="DH51" s="42">
        <f t="shared" si="8"/>
        <v>10</v>
      </c>
      <c r="DI51" s="42">
        <f t="shared" si="8"/>
        <v>10</v>
      </c>
      <c r="DJ51" s="42">
        <f t="shared" si="8"/>
        <v>10</v>
      </c>
      <c r="DK51" s="42">
        <f t="shared" si="8"/>
        <v>10</v>
      </c>
      <c r="DL51" s="42">
        <f t="shared" si="8"/>
        <v>10</v>
      </c>
      <c r="DM51" s="42">
        <f t="shared" si="8"/>
        <v>10</v>
      </c>
      <c r="DN51" s="42">
        <f t="shared" si="8"/>
        <v>10</v>
      </c>
      <c r="DO51" s="42">
        <f t="shared" si="8"/>
        <v>10</v>
      </c>
      <c r="DP51" s="42">
        <f t="shared" si="8"/>
        <v>10</v>
      </c>
      <c r="DQ51" s="42">
        <f t="shared" si="8"/>
        <v>10</v>
      </c>
      <c r="DR51" s="42">
        <f t="shared" si="8"/>
        <v>10</v>
      </c>
      <c r="DS51" s="42">
        <f t="shared" si="8"/>
        <v>10</v>
      </c>
      <c r="DT51" s="42">
        <f t="shared" si="8"/>
        <v>11</v>
      </c>
      <c r="DU51" s="42">
        <f t="shared" si="8"/>
        <v>11</v>
      </c>
      <c r="DV51" s="42">
        <f t="shared" si="8"/>
        <v>11</v>
      </c>
      <c r="DW51" s="42">
        <f t="shared" si="8"/>
        <v>11</v>
      </c>
      <c r="DX51" s="42">
        <f t="shared" si="8"/>
        <v>11</v>
      </c>
      <c r="DY51" s="42">
        <f t="shared" si="8"/>
        <v>11</v>
      </c>
      <c r="DZ51" s="42">
        <f t="shared" si="8"/>
        <v>11</v>
      </c>
      <c r="EA51" s="42">
        <f t="shared" si="8"/>
        <v>11</v>
      </c>
      <c r="EB51" s="42">
        <f t="shared" si="8"/>
        <v>11</v>
      </c>
      <c r="EC51" s="42">
        <f t="shared" ref="EC51:GA51" si="9">ROUNDUP(EC50/12,0)</f>
        <v>11</v>
      </c>
      <c r="ED51" s="42">
        <f t="shared" si="9"/>
        <v>11</v>
      </c>
      <c r="EE51" s="42">
        <f t="shared" si="9"/>
        <v>11</v>
      </c>
      <c r="EF51" s="42">
        <f t="shared" si="9"/>
        <v>12</v>
      </c>
      <c r="EG51" s="42">
        <f t="shared" si="9"/>
        <v>12</v>
      </c>
      <c r="EH51" s="42">
        <f t="shared" si="9"/>
        <v>12</v>
      </c>
      <c r="EI51" s="42">
        <f t="shared" si="9"/>
        <v>12</v>
      </c>
      <c r="EJ51" s="42">
        <f t="shared" si="9"/>
        <v>12</v>
      </c>
      <c r="EK51" s="42">
        <f t="shared" si="9"/>
        <v>12</v>
      </c>
      <c r="EL51" s="42">
        <f t="shared" si="9"/>
        <v>12</v>
      </c>
      <c r="EM51" s="42">
        <f t="shared" si="9"/>
        <v>12</v>
      </c>
      <c r="EN51" s="42">
        <f t="shared" si="9"/>
        <v>12</v>
      </c>
      <c r="EO51" s="42">
        <f t="shared" si="9"/>
        <v>12</v>
      </c>
      <c r="EP51" s="42">
        <f t="shared" si="9"/>
        <v>12</v>
      </c>
      <c r="EQ51" s="42">
        <f t="shared" si="9"/>
        <v>12</v>
      </c>
      <c r="ER51" s="42">
        <f t="shared" si="9"/>
        <v>13</v>
      </c>
      <c r="ES51" s="42">
        <f t="shared" si="9"/>
        <v>13</v>
      </c>
      <c r="ET51" s="42">
        <f t="shared" si="9"/>
        <v>13</v>
      </c>
      <c r="EU51" s="42">
        <f t="shared" si="9"/>
        <v>13</v>
      </c>
      <c r="EV51" s="42">
        <f t="shared" si="9"/>
        <v>13</v>
      </c>
      <c r="EW51" s="42">
        <f t="shared" si="9"/>
        <v>13</v>
      </c>
      <c r="EX51" s="42">
        <f t="shared" si="9"/>
        <v>13</v>
      </c>
      <c r="EY51" s="42">
        <f t="shared" si="9"/>
        <v>13</v>
      </c>
      <c r="EZ51" s="42">
        <f t="shared" si="9"/>
        <v>13</v>
      </c>
      <c r="FA51" s="42">
        <f t="shared" si="9"/>
        <v>13</v>
      </c>
      <c r="FB51" s="42">
        <f t="shared" si="9"/>
        <v>13</v>
      </c>
      <c r="FC51" s="42">
        <f t="shared" si="9"/>
        <v>13</v>
      </c>
      <c r="FD51" s="42">
        <f t="shared" si="9"/>
        <v>14</v>
      </c>
      <c r="FE51" s="42">
        <f t="shared" si="9"/>
        <v>14</v>
      </c>
      <c r="FF51" s="42">
        <f t="shared" si="9"/>
        <v>14</v>
      </c>
      <c r="FG51" s="42">
        <f t="shared" si="9"/>
        <v>14</v>
      </c>
      <c r="FH51" s="42">
        <f t="shared" si="9"/>
        <v>14</v>
      </c>
      <c r="FI51" s="42">
        <f t="shared" si="9"/>
        <v>14</v>
      </c>
      <c r="FJ51" s="42">
        <f t="shared" si="9"/>
        <v>14</v>
      </c>
      <c r="FK51" s="42">
        <f t="shared" si="9"/>
        <v>14</v>
      </c>
      <c r="FL51" s="42">
        <f t="shared" si="9"/>
        <v>14</v>
      </c>
      <c r="FM51" s="42">
        <f t="shared" si="9"/>
        <v>14</v>
      </c>
      <c r="FN51" s="42">
        <f t="shared" si="9"/>
        <v>14</v>
      </c>
      <c r="FO51" s="42">
        <f t="shared" si="9"/>
        <v>14</v>
      </c>
      <c r="FP51" s="42">
        <f t="shared" si="9"/>
        <v>15</v>
      </c>
      <c r="FQ51" s="42">
        <f t="shared" si="9"/>
        <v>15</v>
      </c>
      <c r="FR51" s="42">
        <f t="shared" si="9"/>
        <v>15</v>
      </c>
      <c r="FS51" s="42">
        <f t="shared" si="9"/>
        <v>15</v>
      </c>
      <c r="FT51" s="42">
        <f t="shared" si="9"/>
        <v>15</v>
      </c>
      <c r="FU51" s="42">
        <f t="shared" si="9"/>
        <v>15</v>
      </c>
      <c r="FV51" s="42">
        <f t="shared" si="9"/>
        <v>15</v>
      </c>
      <c r="FW51" s="42">
        <f t="shared" si="9"/>
        <v>15</v>
      </c>
      <c r="FX51" s="42">
        <f t="shared" si="9"/>
        <v>15</v>
      </c>
      <c r="FY51" s="42">
        <f t="shared" si="9"/>
        <v>15</v>
      </c>
      <c r="FZ51" s="42">
        <f t="shared" si="9"/>
        <v>15</v>
      </c>
      <c r="GA51" s="279">
        <f t="shared" si="9"/>
        <v>15</v>
      </c>
    </row>
    <row r="52" spans="1:183" x14ac:dyDescent="0.15">
      <c r="A52" s="312" t="s">
        <v>313</v>
      </c>
      <c r="C52" s="313">
        <f ca="1">DATE(YEAR(NOW()), MONTH(NOW()) + 1, 1)</f>
        <v>42979</v>
      </c>
      <c r="D52" s="314">
        <f ca="1">EOMONTH(C52,0)+1</f>
        <v>43009</v>
      </c>
      <c r="E52" s="314">
        <f t="shared" ref="E52:BP52" ca="1" si="10">EOMONTH(D52,0)+1</f>
        <v>43040</v>
      </c>
      <c r="F52" s="314">
        <f t="shared" ca="1" si="10"/>
        <v>43070</v>
      </c>
      <c r="G52" s="314">
        <f t="shared" ca="1" si="10"/>
        <v>43101</v>
      </c>
      <c r="H52" s="314">
        <f t="shared" ca="1" si="10"/>
        <v>43132</v>
      </c>
      <c r="I52" s="314">
        <f t="shared" ca="1" si="10"/>
        <v>43160</v>
      </c>
      <c r="J52" s="314">
        <f t="shared" ca="1" si="10"/>
        <v>43191</v>
      </c>
      <c r="K52" s="314">
        <f t="shared" ca="1" si="10"/>
        <v>43221</v>
      </c>
      <c r="L52" s="314">
        <f t="shared" ca="1" si="10"/>
        <v>43252</v>
      </c>
      <c r="M52" s="314">
        <f t="shared" ca="1" si="10"/>
        <v>43282</v>
      </c>
      <c r="N52" s="314">
        <f t="shared" ca="1" si="10"/>
        <v>43313</v>
      </c>
      <c r="O52" s="314">
        <f t="shared" ca="1" si="10"/>
        <v>43344</v>
      </c>
      <c r="P52" s="314">
        <f t="shared" ca="1" si="10"/>
        <v>43374</v>
      </c>
      <c r="Q52" s="314">
        <f t="shared" ca="1" si="10"/>
        <v>43405</v>
      </c>
      <c r="R52" s="314">
        <f t="shared" ca="1" si="10"/>
        <v>43435</v>
      </c>
      <c r="S52" s="314">
        <f t="shared" ca="1" si="10"/>
        <v>43466</v>
      </c>
      <c r="T52" s="314">
        <f t="shared" ca="1" si="10"/>
        <v>43497</v>
      </c>
      <c r="U52" s="314">
        <f t="shared" ca="1" si="10"/>
        <v>43525</v>
      </c>
      <c r="V52" s="314">
        <f t="shared" ca="1" si="10"/>
        <v>43556</v>
      </c>
      <c r="W52" s="314">
        <f t="shared" ca="1" si="10"/>
        <v>43586</v>
      </c>
      <c r="X52" s="314">
        <f t="shared" ca="1" si="10"/>
        <v>43617</v>
      </c>
      <c r="Y52" s="314">
        <f t="shared" ca="1" si="10"/>
        <v>43647</v>
      </c>
      <c r="Z52" s="314">
        <f t="shared" ca="1" si="10"/>
        <v>43678</v>
      </c>
      <c r="AA52" s="314">
        <f t="shared" ca="1" si="10"/>
        <v>43709</v>
      </c>
      <c r="AB52" s="314">
        <f t="shared" ca="1" si="10"/>
        <v>43739</v>
      </c>
      <c r="AC52" s="314">
        <f t="shared" ca="1" si="10"/>
        <v>43770</v>
      </c>
      <c r="AD52" s="314">
        <f t="shared" ca="1" si="10"/>
        <v>43800</v>
      </c>
      <c r="AE52" s="314">
        <f t="shared" ca="1" si="10"/>
        <v>43831</v>
      </c>
      <c r="AF52" s="314">
        <f t="shared" ca="1" si="10"/>
        <v>43862</v>
      </c>
      <c r="AG52" s="314">
        <f t="shared" ca="1" si="10"/>
        <v>43891</v>
      </c>
      <c r="AH52" s="314">
        <f t="shared" ca="1" si="10"/>
        <v>43922</v>
      </c>
      <c r="AI52" s="314">
        <f t="shared" ca="1" si="10"/>
        <v>43952</v>
      </c>
      <c r="AJ52" s="314">
        <f t="shared" ca="1" si="10"/>
        <v>43983</v>
      </c>
      <c r="AK52" s="314">
        <f t="shared" ca="1" si="10"/>
        <v>44013</v>
      </c>
      <c r="AL52" s="314">
        <f t="shared" ca="1" si="10"/>
        <v>44044</v>
      </c>
      <c r="AM52" s="314">
        <f t="shared" ca="1" si="10"/>
        <v>44075</v>
      </c>
      <c r="AN52" s="314">
        <f t="shared" ca="1" si="10"/>
        <v>44105</v>
      </c>
      <c r="AO52" s="314">
        <f t="shared" ca="1" si="10"/>
        <v>44136</v>
      </c>
      <c r="AP52" s="314">
        <f t="shared" ca="1" si="10"/>
        <v>44166</v>
      </c>
      <c r="AQ52" s="314">
        <f t="shared" ca="1" si="10"/>
        <v>44197</v>
      </c>
      <c r="AR52" s="314">
        <f t="shared" ca="1" si="10"/>
        <v>44228</v>
      </c>
      <c r="AS52" s="314">
        <f t="shared" ca="1" si="10"/>
        <v>44256</v>
      </c>
      <c r="AT52" s="314">
        <f t="shared" ca="1" si="10"/>
        <v>44287</v>
      </c>
      <c r="AU52" s="314">
        <f t="shared" ca="1" si="10"/>
        <v>44317</v>
      </c>
      <c r="AV52" s="314">
        <f t="shared" ca="1" si="10"/>
        <v>44348</v>
      </c>
      <c r="AW52" s="314">
        <f t="shared" ca="1" si="10"/>
        <v>44378</v>
      </c>
      <c r="AX52" s="314">
        <f t="shared" ca="1" si="10"/>
        <v>44409</v>
      </c>
      <c r="AY52" s="314">
        <f t="shared" ca="1" si="10"/>
        <v>44440</v>
      </c>
      <c r="AZ52" s="314">
        <f t="shared" ca="1" si="10"/>
        <v>44470</v>
      </c>
      <c r="BA52" s="314">
        <f t="shared" ca="1" si="10"/>
        <v>44501</v>
      </c>
      <c r="BB52" s="314">
        <f t="shared" ca="1" si="10"/>
        <v>44531</v>
      </c>
      <c r="BC52" s="314">
        <f t="shared" ca="1" si="10"/>
        <v>44562</v>
      </c>
      <c r="BD52" s="314">
        <f t="shared" ca="1" si="10"/>
        <v>44593</v>
      </c>
      <c r="BE52" s="314">
        <f t="shared" ca="1" si="10"/>
        <v>44621</v>
      </c>
      <c r="BF52" s="314">
        <f t="shared" ca="1" si="10"/>
        <v>44652</v>
      </c>
      <c r="BG52" s="314">
        <f t="shared" ca="1" si="10"/>
        <v>44682</v>
      </c>
      <c r="BH52" s="314">
        <f t="shared" ca="1" si="10"/>
        <v>44713</v>
      </c>
      <c r="BI52" s="314">
        <f t="shared" ca="1" si="10"/>
        <v>44743</v>
      </c>
      <c r="BJ52" s="314">
        <f t="shared" ca="1" si="10"/>
        <v>44774</v>
      </c>
      <c r="BK52" s="314">
        <f t="shared" ca="1" si="10"/>
        <v>44805</v>
      </c>
      <c r="BL52" s="314">
        <f t="shared" ca="1" si="10"/>
        <v>44835</v>
      </c>
      <c r="BM52" s="314">
        <f t="shared" ca="1" si="10"/>
        <v>44866</v>
      </c>
      <c r="BN52" s="314">
        <f t="shared" ca="1" si="10"/>
        <v>44896</v>
      </c>
      <c r="BO52" s="314">
        <f t="shared" ca="1" si="10"/>
        <v>44927</v>
      </c>
      <c r="BP52" s="314">
        <f t="shared" ca="1" si="10"/>
        <v>44958</v>
      </c>
      <c r="BQ52" s="314">
        <f t="shared" ref="BQ52:EB52" ca="1" si="11">EOMONTH(BP52,0)+1</f>
        <v>44986</v>
      </c>
      <c r="BR52" s="314">
        <f t="shared" ca="1" si="11"/>
        <v>45017</v>
      </c>
      <c r="BS52" s="314">
        <f t="shared" ca="1" si="11"/>
        <v>45047</v>
      </c>
      <c r="BT52" s="314">
        <f t="shared" ca="1" si="11"/>
        <v>45078</v>
      </c>
      <c r="BU52" s="314">
        <f t="shared" ca="1" si="11"/>
        <v>45108</v>
      </c>
      <c r="BV52" s="314">
        <f t="shared" ca="1" si="11"/>
        <v>45139</v>
      </c>
      <c r="BW52" s="314">
        <f t="shared" ca="1" si="11"/>
        <v>45170</v>
      </c>
      <c r="BX52" s="314">
        <f t="shared" ca="1" si="11"/>
        <v>45200</v>
      </c>
      <c r="BY52" s="314">
        <f t="shared" ca="1" si="11"/>
        <v>45231</v>
      </c>
      <c r="BZ52" s="314">
        <f t="shared" ca="1" si="11"/>
        <v>45261</v>
      </c>
      <c r="CA52" s="314">
        <f t="shared" ca="1" si="11"/>
        <v>45292</v>
      </c>
      <c r="CB52" s="314">
        <f t="shared" ca="1" si="11"/>
        <v>45323</v>
      </c>
      <c r="CC52" s="314">
        <f t="shared" ca="1" si="11"/>
        <v>45352</v>
      </c>
      <c r="CD52" s="314">
        <f t="shared" ca="1" si="11"/>
        <v>45383</v>
      </c>
      <c r="CE52" s="314">
        <f t="shared" ca="1" si="11"/>
        <v>45413</v>
      </c>
      <c r="CF52" s="314">
        <f t="shared" ca="1" si="11"/>
        <v>45444</v>
      </c>
      <c r="CG52" s="314">
        <f t="shared" ca="1" si="11"/>
        <v>45474</v>
      </c>
      <c r="CH52" s="314">
        <f t="shared" ca="1" si="11"/>
        <v>45505</v>
      </c>
      <c r="CI52" s="314">
        <f t="shared" ca="1" si="11"/>
        <v>45536</v>
      </c>
      <c r="CJ52" s="314">
        <f t="shared" ca="1" si="11"/>
        <v>45566</v>
      </c>
      <c r="CK52" s="314">
        <f t="shared" ca="1" si="11"/>
        <v>45597</v>
      </c>
      <c r="CL52" s="314">
        <f t="shared" ca="1" si="11"/>
        <v>45627</v>
      </c>
      <c r="CM52" s="314">
        <f t="shared" ca="1" si="11"/>
        <v>45658</v>
      </c>
      <c r="CN52" s="314">
        <f t="shared" ca="1" si="11"/>
        <v>45689</v>
      </c>
      <c r="CO52" s="314">
        <f t="shared" ca="1" si="11"/>
        <v>45717</v>
      </c>
      <c r="CP52" s="314">
        <f t="shared" ca="1" si="11"/>
        <v>45748</v>
      </c>
      <c r="CQ52" s="314">
        <f t="shared" ca="1" si="11"/>
        <v>45778</v>
      </c>
      <c r="CR52" s="314">
        <f t="shared" ca="1" si="11"/>
        <v>45809</v>
      </c>
      <c r="CS52" s="314">
        <f t="shared" ca="1" si="11"/>
        <v>45839</v>
      </c>
      <c r="CT52" s="314">
        <f t="shared" ca="1" si="11"/>
        <v>45870</v>
      </c>
      <c r="CU52" s="314">
        <f t="shared" ca="1" si="11"/>
        <v>45901</v>
      </c>
      <c r="CV52" s="314">
        <f t="shared" ca="1" si="11"/>
        <v>45931</v>
      </c>
      <c r="CW52" s="314">
        <f t="shared" ca="1" si="11"/>
        <v>45962</v>
      </c>
      <c r="CX52" s="314">
        <f t="shared" ca="1" si="11"/>
        <v>45992</v>
      </c>
      <c r="CY52" s="314">
        <f t="shared" ca="1" si="11"/>
        <v>46023</v>
      </c>
      <c r="CZ52" s="314">
        <f t="shared" ca="1" si="11"/>
        <v>46054</v>
      </c>
      <c r="DA52" s="314">
        <f t="shared" ca="1" si="11"/>
        <v>46082</v>
      </c>
      <c r="DB52" s="314">
        <f t="shared" ca="1" si="11"/>
        <v>46113</v>
      </c>
      <c r="DC52" s="314">
        <f t="shared" ca="1" si="11"/>
        <v>46143</v>
      </c>
      <c r="DD52" s="314">
        <f t="shared" ca="1" si="11"/>
        <v>46174</v>
      </c>
      <c r="DE52" s="314">
        <f t="shared" ca="1" si="11"/>
        <v>46204</v>
      </c>
      <c r="DF52" s="314">
        <f t="shared" ca="1" si="11"/>
        <v>46235</v>
      </c>
      <c r="DG52" s="314">
        <f t="shared" ca="1" si="11"/>
        <v>46266</v>
      </c>
      <c r="DH52" s="314">
        <f t="shared" ca="1" si="11"/>
        <v>46296</v>
      </c>
      <c r="DI52" s="314">
        <f t="shared" ca="1" si="11"/>
        <v>46327</v>
      </c>
      <c r="DJ52" s="314">
        <f t="shared" ca="1" si="11"/>
        <v>46357</v>
      </c>
      <c r="DK52" s="314">
        <f t="shared" ca="1" si="11"/>
        <v>46388</v>
      </c>
      <c r="DL52" s="314">
        <f t="shared" ca="1" si="11"/>
        <v>46419</v>
      </c>
      <c r="DM52" s="314">
        <f t="shared" ca="1" si="11"/>
        <v>46447</v>
      </c>
      <c r="DN52" s="314">
        <f t="shared" ca="1" si="11"/>
        <v>46478</v>
      </c>
      <c r="DO52" s="314">
        <f t="shared" ca="1" si="11"/>
        <v>46508</v>
      </c>
      <c r="DP52" s="314">
        <f t="shared" ca="1" si="11"/>
        <v>46539</v>
      </c>
      <c r="DQ52" s="314">
        <f t="shared" ca="1" si="11"/>
        <v>46569</v>
      </c>
      <c r="DR52" s="314">
        <f t="shared" ca="1" si="11"/>
        <v>46600</v>
      </c>
      <c r="DS52" s="314">
        <f t="shared" ca="1" si="11"/>
        <v>46631</v>
      </c>
      <c r="DT52" s="314">
        <f t="shared" ca="1" si="11"/>
        <v>46661</v>
      </c>
      <c r="DU52" s="314">
        <f t="shared" ca="1" si="11"/>
        <v>46692</v>
      </c>
      <c r="DV52" s="314">
        <f t="shared" ca="1" si="11"/>
        <v>46722</v>
      </c>
      <c r="DW52" s="314">
        <f t="shared" ca="1" si="11"/>
        <v>46753</v>
      </c>
      <c r="DX52" s="314">
        <f t="shared" ca="1" si="11"/>
        <v>46784</v>
      </c>
      <c r="DY52" s="314">
        <f t="shared" ca="1" si="11"/>
        <v>46813</v>
      </c>
      <c r="DZ52" s="314">
        <f t="shared" ca="1" si="11"/>
        <v>46844</v>
      </c>
      <c r="EA52" s="314">
        <f t="shared" ca="1" si="11"/>
        <v>46874</v>
      </c>
      <c r="EB52" s="314">
        <f t="shared" ca="1" si="11"/>
        <v>46905</v>
      </c>
      <c r="EC52" s="314">
        <f t="shared" ref="EC52:GA52" ca="1" si="12">EOMONTH(EB52,0)+1</f>
        <v>46935</v>
      </c>
      <c r="ED52" s="314">
        <f t="shared" ca="1" si="12"/>
        <v>46966</v>
      </c>
      <c r="EE52" s="314">
        <f t="shared" ca="1" si="12"/>
        <v>46997</v>
      </c>
      <c r="EF52" s="314">
        <f t="shared" ca="1" si="12"/>
        <v>47027</v>
      </c>
      <c r="EG52" s="314">
        <f t="shared" ca="1" si="12"/>
        <v>47058</v>
      </c>
      <c r="EH52" s="314">
        <f t="shared" ca="1" si="12"/>
        <v>47088</v>
      </c>
      <c r="EI52" s="314">
        <f t="shared" ca="1" si="12"/>
        <v>47119</v>
      </c>
      <c r="EJ52" s="314">
        <f t="shared" ca="1" si="12"/>
        <v>47150</v>
      </c>
      <c r="EK52" s="314">
        <f t="shared" ca="1" si="12"/>
        <v>47178</v>
      </c>
      <c r="EL52" s="314">
        <f t="shared" ca="1" si="12"/>
        <v>47209</v>
      </c>
      <c r="EM52" s="314">
        <f t="shared" ca="1" si="12"/>
        <v>47239</v>
      </c>
      <c r="EN52" s="314">
        <f t="shared" ca="1" si="12"/>
        <v>47270</v>
      </c>
      <c r="EO52" s="314">
        <f t="shared" ca="1" si="12"/>
        <v>47300</v>
      </c>
      <c r="EP52" s="314">
        <f t="shared" ca="1" si="12"/>
        <v>47331</v>
      </c>
      <c r="EQ52" s="314">
        <f t="shared" ca="1" si="12"/>
        <v>47362</v>
      </c>
      <c r="ER52" s="314">
        <f t="shared" ca="1" si="12"/>
        <v>47392</v>
      </c>
      <c r="ES52" s="314">
        <f t="shared" ca="1" si="12"/>
        <v>47423</v>
      </c>
      <c r="ET52" s="314">
        <f t="shared" ca="1" si="12"/>
        <v>47453</v>
      </c>
      <c r="EU52" s="314">
        <f t="shared" ca="1" si="12"/>
        <v>47484</v>
      </c>
      <c r="EV52" s="314">
        <f t="shared" ca="1" si="12"/>
        <v>47515</v>
      </c>
      <c r="EW52" s="314">
        <f t="shared" ca="1" si="12"/>
        <v>47543</v>
      </c>
      <c r="EX52" s="314">
        <f t="shared" ca="1" si="12"/>
        <v>47574</v>
      </c>
      <c r="EY52" s="314">
        <f t="shared" ca="1" si="12"/>
        <v>47604</v>
      </c>
      <c r="EZ52" s="314">
        <f t="shared" ca="1" si="12"/>
        <v>47635</v>
      </c>
      <c r="FA52" s="314">
        <f t="shared" ca="1" si="12"/>
        <v>47665</v>
      </c>
      <c r="FB52" s="314">
        <f t="shared" ca="1" si="12"/>
        <v>47696</v>
      </c>
      <c r="FC52" s="314">
        <f t="shared" ca="1" si="12"/>
        <v>47727</v>
      </c>
      <c r="FD52" s="314">
        <f t="shared" ca="1" si="12"/>
        <v>47757</v>
      </c>
      <c r="FE52" s="314">
        <f t="shared" ca="1" si="12"/>
        <v>47788</v>
      </c>
      <c r="FF52" s="314">
        <f t="shared" ca="1" si="12"/>
        <v>47818</v>
      </c>
      <c r="FG52" s="314">
        <f t="shared" ca="1" si="12"/>
        <v>47849</v>
      </c>
      <c r="FH52" s="314">
        <f t="shared" ca="1" si="12"/>
        <v>47880</v>
      </c>
      <c r="FI52" s="314">
        <f t="shared" ca="1" si="12"/>
        <v>47908</v>
      </c>
      <c r="FJ52" s="314">
        <f t="shared" ca="1" si="12"/>
        <v>47939</v>
      </c>
      <c r="FK52" s="314">
        <f t="shared" ca="1" si="12"/>
        <v>47969</v>
      </c>
      <c r="FL52" s="314">
        <f t="shared" ca="1" si="12"/>
        <v>48000</v>
      </c>
      <c r="FM52" s="314">
        <f t="shared" ca="1" si="12"/>
        <v>48030</v>
      </c>
      <c r="FN52" s="314">
        <f t="shared" ca="1" si="12"/>
        <v>48061</v>
      </c>
      <c r="FO52" s="314">
        <f t="shared" ca="1" si="12"/>
        <v>48092</v>
      </c>
      <c r="FP52" s="314">
        <f t="shared" ca="1" si="12"/>
        <v>48122</v>
      </c>
      <c r="FQ52" s="314">
        <f t="shared" ca="1" si="12"/>
        <v>48153</v>
      </c>
      <c r="FR52" s="314">
        <f t="shared" ca="1" si="12"/>
        <v>48183</v>
      </c>
      <c r="FS52" s="314">
        <f t="shared" ca="1" si="12"/>
        <v>48214</v>
      </c>
      <c r="FT52" s="314">
        <f t="shared" ca="1" si="12"/>
        <v>48245</v>
      </c>
      <c r="FU52" s="314">
        <f t="shared" ca="1" si="12"/>
        <v>48274</v>
      </c>
      <c r="FV52" s="314">
        <f t="shared" ca="1" si="12"/>
        <v>48305</v>
      </c>
      <c r="FW52" s="314">
        <f t="shared" ca="1" si="12"/>
        <v>48335</v>
      </c>
      <c r="FX52" s="314">
        <f t="shared" ca="1" si="12"/>
        <v>48366</v>
      </c>
      <c r="FY52" s="314">
        <f t="shared" ca="1" si="12"/>
        <v>48396</v>
      </c>
      <c r="FZ52" s="314">
        <f t="shared" ca="1" si="12"/>
        <v>48427</v>
      </c>
      <c r="GA52" s="315">
        <f t="shared" ca="1" si="12"/>
        <v>48458</v>
      </c>
    </row>
    <row r="53" spans="1:183" x14ac:dyDescent="0.15">
      <c r="A53" s="377"/>
      <c r="B53" s="42"/>
      <c r="C53" s="378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  <c r="AA53" s="316"/>
      <c r="AB53" s="316"/>
      <c r="AC53" s="316"/>
      <c r="AD53" s="316"/>
      <c r="AE53" s="316"/>
      <c r="AF53" s="316"/>
      <c r="AG53" s="316"/>
      <c r="AH53" s="316"/>
      <c r="AI53" s="316"/>
      <c r="AJ53" s="316"/>
      <c r="AK53" s="316"/>
      <c r="AL53" s="316"/>
      <c r="AM53" s="316"/>
      <c r="AN53" s="316"/>
      <c r="AO53" s="316"/>
      <c r="AP53" s="316"/>
      <c r="AQ53" s="316"/>
      <c r="AR53" s="316"/>
      <c r="AS53" s="316"/>
      <c r="AT53" s="316"/>
      <c r="AU53" s="316"/>
      <c r="AV53" s="316"/>
      <c r="AW53" s="316"/>
      <c r="AX53" s="316"/>
      <c r="AY53" s="316"/>
      <c r="AZ53" s="316"/>
      <c r="BA53" s="316"/>
      <c r="BB53" s="316"/>
      <c r="BC53" s="316"/>
      <c r="BD53" s="316"/>
      <c r="BE53" s="316"/>
      <c r="BF53" s="316"/>
      <c r="BG53" s="316"/>
      <c r="BH53" s="316"/>
      <c r="BI53" s="316"/>
      <c r="BJ53" s="316"/>
      <c r="BK53" s="316"/>
      <c r="BL53" s="316"/>
      <c r="BM53" s="316"/>
      <c r="BN53" s="316"/>
      <c r="BO53" s="316"/>
      <c r="BP53" s="316"/>
      <c r="BQ53" s="316"/>
      <c r="BR53" s="316"/>
      <c r="BS53" s="316"/>
      <c r="BT53" s="316"/>
      <c r="BU53" s="316"/>
      <c r="BV53" s="316"/>
      <c r="BW53" s="316"/>
      <c r="BX53" s="316"/>
      <c r="BY53" s="316"/>
      <c r="BZ53" s="316"/>
      <c r="CA53" s="316"/>
      <c r="CB53" s="316"/>
      <c r="CC53" s="316"/>
      <c r="CD53" s="316"/>
      <c r="CE53" s="316"/>
      <c r="CF53" s="316"/>
      <c r="CG53" s="316"/>
      <c r="CH53" s="316"/>
      <c r="CI53" s="316"/>
      <c r="CJ53" s="316"/>
      <c r="CK53" s="316"/>
      <c r="CL53" s="316"/>
      <c r="CM53" s="316"/>
      <c r="CN53" s="316"/>
      <c r="CO53" s="316"/>
      <c r="CP53" s="316"/>
      <c r="CQ53" s="316"/>
      <c r="CR53" s="316"/>
      <c r="CS53" s="316"/>
      <c r="CT53" s="316"/>
      <c r="CU53" s="316"/>
      <c r="CV53" s="316"/>
      <c r="CW53" s="316"/>
      <c r="CX53" s="316"/>
      <c r="CY53" s="316"/>
      <c r="CZ53" s="316"/>
      <c r="DA53" s="316"/>
      <c r="DB53" s="316"/>
      <c r="DC53" s="316"/>
      <c r="DD53" s="316"/>
      <c r="DE53" s="316"/>
      <c r="DF53" s="316"/>
      <c r="DG53" s="316"/>
      <c r="DH53" s="316"/>
      <c r="DI53" s="316"/>
      <c r="DJ53" s="316"/>
      <c r="DK53" s="316"/>
      <c r="DL53" s="316"/>
      <c r="DM53" s="316"/>
      <c r="DN53" s="316"/>
      <c r="DO53" s="316"/>
      <c r="DP53" s="316"/>
      <c r="DQ53" s="316"/>
      <c r="DR53" s="316"/>
      <c r="DS53" s="316"/>
      <c r="DT53" s="316"/>
      <c r="DU53" s="316"/>
      <c r="DV53" s="316"/>
      <c r="DW53" s="316"/>
      <c r="DX53" s="316"/>
      <c r="DY53" s="316"/>
      <c r="DZ53" s="316"/>
      <c r="EA53" s="316"/>
      <c r="EB53" s="316"/>
      <c r="EC53" s="316"/>
      <c r="ED53" s="316"/>
      <c r="EE53" s="316"/>
      <c r="EF53" s="316"/>
      <c r="EG53" s="316"/>
      <c r="EH53" s="316"/>
      <c r="EI53" s="316"/>
      <c r="EJ53" s="316"/>
      <c r="EK53" s="316"/>
      <c r="EL53" s="316"/>
      <c r="EM53" s="316"/>
      <c r="EN53" s="316"/>
      <c r="EO53" s="316"/>
      <c r="EP53" s="316"/>
      <c r="EQ53" s="316"/>
      <c r="ER53" s="316"/>
      <c r="ES53" s="316"/>
      <c r="ET53" s="316"/>
      <c r="EU53" s="316"/>
      <c r="EV53" s="316"/>
      <c r="EW53" s="316"/>
      <c r="EX53" s="316"/>
      <c r="EY53" s="316"/>
      <c r="EZ53" s="316"/>
      <c r="FA53" s="316"/>
      <c r="FB53" s="316"/>
      <c r="FC53" s="316"/>
      <c r="FD53" s="316"/>
      <c r="FE53" s="316"/>
      <c r="FF53" s="316"/>
      <c r="FG53" s="316"/>
      <c r="FH53" s="316"/>
      <c r="FI53" s="316"/>
      <c r="FJ53" s="316"/>
      <c r="FK53" s="316"/>
      <c r="FL53" s="316"/>
      <c r="FM53" s="316"/>
      <c r="FN53" s="316"/>
      <c r="FO53" s="316"/>
      <c r="FP53" s="316"/>
      <c r="FQ53" s="316"/>
      <c r="FR53" s="316"/>
      <c r="FS53" s="316"/>
      <c r="FT53" s="316"/>
      <c r="FU53" s="316"/>
      <c r="FV53" s="316"/>
      <c r="FW53" s="316"/>
      <c r="FX53" s="316"/>
      <c r="FY53" s="316"/>
      <c r="FZ53" s="316"/>
      <c r="GA53" s="316"/>
    </row>
    <row r="54" spans="1:183" x14ac:dyDescent="0.15">
      <c r="A54" s="306" t="s">
        <v>306</v>
      </c>
      <c r="C54" s="317">
        <f>HLOOKUP(C$51,$C$40:$W$46,2,FALSE)</f>
        <v>0</v>
      </c>
      <c r="D54" s="318">
        <f t="shared" ref="D54:BO54" si="13">HLOOKUP(D$51,$C$40:$W$46,2,FALSE)/12</f>
        <v>5628.8362506008561</v>
      </c>
      <c r="E54" s="318">
        <f t="shared" si="13"/>
        <v>5628.8362506008561</v>
      </c>
      <c r="F54" s="318">
        <f t="shared" si="13"/>
        <v>5628.8362506008561</v>
      </c>
      <c r="G54" s="318">
        <f t="shared" si="13"/>
        <v>5628.8362506008561</v>
      </c>
      <c r="H54" s="318">
        <f t="shared" si="13"/>
        <v>5628.8362506008561</v>
      </c>
      <c r="I54" s="318">
        <f t="shared" si="13"/>
        <v>5628.8362506008561</v>
      </c>
      <c r="J54" s="318">
        <f t="shared" si="13"/>
        <v>5628.8362506008561</v>
      </c>
      <c r="K54" s="318">
        <f t="shared" si="13"/>
        <v>5628.8362506008561</v>
      </c>
      <c r="L54" s="318">
        <f t="shared" si="13"/>
        <v>5628.8362506008561</v>
      </c>
      <c r="M54" s="318">
        <f t="shared" si="13"/>
        <v>5628.8362506008561</v>
      </c>
      <c r="N54" s="318">
        <f t="shared" si="13"/>
        <v>5628.8362506008561</v>
      </c>
      <c r="O54" s="318">
        <f t="shared" si="13"/>
        <v>5628.8362506008561</v>
      </c>
      <c r="P54" s="318">
        <f t="shared" si="13"/>
        <v>5825.8455193718864</v>
      </c>
      <c r="Q54" s="318">
        <f t="shared" si="13"/>
        <v>5825.8455193718864</v>
      </c>
      <c r="R54" s="318">
        <f t="shared" si="13"/>
        <v>5825.8455193718864</v>
      </c>
      <c r="S54" s="318">
        <f t="shared" si="13"/>
        <v>5825.8455193718864</v>
      </c>
      <c r="T54" s="318">
        <f t="shared" si="13"/>
        <v>5825.8455193718864</v>
      </c>
      <c r="U54" s="318">
        <f t="shared" si="13"/>
        <v>5825.8455193718864</v>
      </c>
      <c r="V54" s="318">
        <f t="shared" si="13"/>
        <v>5825.8455193718864</v>
      </c>
      <c r="W54" s="318">
        <f t="shared" si="13"/>
        <v>5825.8455193718864</v>
      </c>
      <c r="X54" s="318">
        <f t="shared" si="13"/>
        <v>5825.8455193718864</v>
      </c>
      <c r="Y54" s="318">
        <f t="shared" si="13"/>
        <v>5825.8455193718864</v>
      </c>
      <c r="Z54" s="318">
        <f t="shared" si="13"/>
        <v>5825.8455193718864</v>
      </c>
      <c r="AA54" s="318">
        <f t="shared" si="13"/>
        <v>5825.8455193718864</v>
      </c>
      <c r="AB54" s="318">
        <f t="shared" si="13"/>
        <v>6029.7501125499011</v>
      </c>
      <c r="AC54" s="318">
        <f t="shared" si="13"/>
        <v>6029.7501125499011</v>
      </c>
      <c r="AD54" s="318">
        <f t="shared" si="13"/>
        <v>6029.7501125499011</v>
      </c>
      <c r="AE54" s="318">
        <f t="shared" si="13"/>
        <v>6029.7501125499011</v>
      </c>
      <c r="AF54" s="318">
        <f t="shared" si="13"/>
        <v>6029.7501125499011</v>
      </c>
      <c r="AG54" s="318">
        <f t="shared" si="13"/>
        <v>6029.7501125499011</v>
      </c>
      <c r="AH54" s="318">
        <f t="shared" si="13"/>
        <v>6029.7501125499011</v>
      </c>
      <c r="AI54" s="318">
        <f t="shared" si="13"/>
        <v>6029.7501125499011</v>
      </c>
      <c r="AJ54" s="318">
        <f t="shared" si="13"/>
        <v>6029.7501125499011</v>
      </c>
      <c r="AK54" s="318">
        <f t="shared" si="13"/>
        <v>6029.7501125499011</v>
      </c>
      <c r="AL54" s="318">
        <f t="shared" si="13"/>
        <v>6029.7501125499011</v>
      </c>
      <c r="AM54" s="318">
        <f t="shared" si="13"/>
        <v>6029.7501125499011</v>
      </c>
      <c r="AN54" s="318">
        <f t="shared" si="13"/>
        <v>6240.7913664891466</v>
      </c>
      <c r="AO54" s="318">
        <f t="shared" si="13"/>
        <v>6240.7913664891466</v>
      </c>
      <c r="AP54" s="318">
        <f t="shared" si="13"/>
        <v>6240.7913664891466</v>
      </c>
      <c r="AQ54" s="318">
        <f t="shared" si="13"/>
        <v>6240.7913664891466</v>
      </c>
      <c r="AR54" s="318">
        <f t="shared" si="13"/>
        <v>6240.7913664891466</v>
      </c>
      <c r="AS54" s="318">
        <f t="shared" si="13"/>
        <v>6240.7913664891466</v>
      </c>
      <c r="AT54" s="318">
        <f t="shared" si="13"/>
        <v>6240.7913664891466</v>
      </c>
      <c r="AU54" s="318">
        <f t="shared" si="13"/>
        <v>6240.7913664891466</v>
      </c>
      <c r="AV54" s="318">
        <f t="shared" si="13"/>
        <v>6240.7913664891466</v>
      </c>
      <c r="AW54" s="318">
        <f t="shared" si="13"/>
        <v>6240.7913664891466</v>
      </c>
      <c r="AX54" s="318">
        <f t="shared" si="13"/>
        <v>6240.7913664891466</v>
      </c>
      <c r="AY54" s="318">
        <f t="shared" si="13"/>
        <v>6240.7913664891466</v>
      </c>
      <c r="AZ54" s="318">
        <f t="shared" si="13"/>
        <v>6459.2190643162658</v>
      </c>
      <c r="BA54" s="318">
        <f t="shared" si="13"/>
        <v>6459.2190643162658</v>
      </c>
      <c r="BB54" s="318">
        <f t="shared" si="13"/>
        <v>6459.2190643162658</v>
      </c>
      <c r="BC54" s="318">
        <f t="shared" si="13"/>
        <v>6459.2190643162658</v>
      </c>
      <c r="BD54" s="318">
        <f t="shared" si="13"/>
        <v>6459.2190643162658</v>
      </c>
      <c r="BE54" s="318">
        <f t="shared" si="13"/>
        <v>6459.2190643162658</v>
      </c>
      <c r="BF54" s="318">
        <f t="shared" si="13"/>
        <v>6459.2190643162658</v>
      </c>
      <c r="BG54" s="318">
        <f t="shared" si="13"/>
        <v>6459.2190643162658</v>
      </c>
      <c r="BH54" s="318">
        <f t="shared" si="13"/>
        <v>6459.2190643162658</v>
      </c>
      <c r="BI54" s="318">
        <f t="shared" si="13"/>
        <v>6459.2190643162658</v>
      </c>
      <c r="BJ54" s="318">
        <f t="shared" si="13"/>
        <v>6459.2190643162658</v>
      </c>
      <c r="BK54" s="318">
        <f t="shared" si="13"/>
        <v>6459.2190643162658</v>
      </c>
      <c r="BL54" s="318">
        <f t="shared" si="13"/>
        <v>6685.291731567334</v>
      </c>
      <c r="BM54" s="318">
        <f t="shared" si="13"/>
        <v>6685.291731567334</v>
      </c>
      <c r="BN54" s="318">
        <f t="shared" si="13"/>
        <v>6685.291731567334</v>
      </c>
      <c r="BO54" s="318">
        <f t="shared" si="13"/>
        <v>6685.291731567334</v>
      </c>
      <c r="BP54" s="318">
        <f t="shared" ref="BP54:EA54" si="14">HLOOKUP(BP$51,$C$40:$W$46,2,FALSE)/12</f>
        <v>6685.291731567334</v>
      </c>
      <c r="BQ54" s="318">
        <f t="shared" si="14"/>
        <v>6685.291731567334</v>
      </c>
      <c r="BR54" s="318">
        <f t="shared" si="14"/>
        <v>6685.291731567334</v>
      </c>
      <c r="BS54" s="318">
        <f t="shared" si="14"/>
        <v>6685.291731567334</v>
      </c>
      <c r="BT54" s="318">
        <f t="shared" si="14"/>
        <v>6685.291731567334</v>
      </c>
      <c r="BU54" s="318">
        <f t="shared" si="14"/>
        <v>6685.291731567334</v>
      </c>
      <c r="BV54" s="318">
        <f t="shared" si="14"/>
        <v>6685.291731567334</v>
      </c>
      <c r="BW54" s="318">
        <f t="shared" si="14"/>
        <v>6685.291731567334</v>
      </c>
      <c r="BX54" s="318">
        <f t="shared" si="14"/>
        <v>6919.2769421721905</v>
      </c>
      <c r="BY54" s="318">
        <f t="shared" si="14"/>
        <v>6919.2769421721905</v>
      </c>
      <c r="BZ54" s="318">
        <f t="shared" si="14"/>
        <v>6919.2769421721905</v>
      </c>
      <c r="CA54" s="318">
        <f t="shared" si="14"/>
        <v>6919.2769421721905</v>
      </c>
      <c r="CB54" s="318">
        <f t="shared" si="14"/>
        <v>6919.2769421721905</v>
      </c>
      <c r="CC54" s="318">
        <f t="shared" si="14"/>
        <v>6919.2769421721905</v>
      </c>
      <c r="CD54" s="318">
        <f t="shared" si="14"/>
        <v>6919.2769421721905</v>
      </c>
      <c r="CE54" s="318">
        <f t="shared" si="14"/>
        <v>6919.2769421721905</v>
      </c>
      <c r="CF54" s="318">
        <f t="shared" si="14"/>
        <v>6919.2769421721905</v>
      </c>
      <c r="CG54" s="318">
        <f t="shared" si="14"/>
        <v>6919.2769421721905</v>
      </c>
      <c r="CH54" s="318">
        <f t="shared" si="14"/>
        <v>6919.2769421721905</v>
      </c>
      <c r="CI54" s="318">
        <f t="shared" si="14"/>
        <v>6919.2769421721905</v>
      </c>
      <c r="CJ54" s="318">
        <f t="shared" si="14"/>
        <v>7161.4516351482171</v>
      </c>
      <c r="CK54" s="318">
        <f t="shared" si="14"/>
        <v>7161.4516351482171</v>
      </c>
      <c r="CL54" s="318">
        <f t="shared" si="14"/>
        <v>7161.4516351482171</v>
      </c>
      <c r="CM54" s="318">
        <f t="shared" si="14"/>
        <v>7161.4516351482171</v>
      </c>
      <c r="CN54" s="318">
        <f t="shared" si="14"/>
        <v>7161.4516351482171</v>
      </c>
      <c r="CO54" s="318">
        <f t="shared" si="14"/>
        <v>7161.4516351482171</v>
      </c>
      <c r="CP54" s="318">
        <f t="shared" si="14"/>
        <v>7161.4516351482171</v>
      </c>
      <c r="CQ54" s="318">
        <f t="shared" si="14"/>
        <v>7161.4516351482171</v>
      </c>
      <c r="CR54" s="318">
        <f t="shared" si="14"/>
        <v>7161.4516351482171</v>
      </c>
      <c r="CS54" s="318">
        <f t="shared" si="14"/>
        <v>7161.4516351482171</v>
      </c>
      <c r="CT54" s="318">
        <f t="shared" si="14"/>
        <v>7161.4516351482171</v>
      </c>
      <c r="CU54" s="318">
        <f t="shared" si="14"/>
        <v>7161.4516351482171</v>
      </c>
      <c r="CV54" s="318">
        <f t="shared" si="14"/>
        <v>7412.1024423784047</v>
      </c>
      <c r="CW54" s="318">
        <f t="shared" si="14"/>
        <v>7412.1024423784047</v>
      </c>
      <c r="CX54" s="318">
        <f t="shared" si="14"/>
        <v>7412.1024423784047</v>
      </c>
      <c r="CY54" s="318">
        <f t="shared" si="14"/>
        <v>7412.1024423784047</v>
      </c>
      <c r="CZ54" s="318">
        <f t="shared" si="14"/>
        <v>7412.1024423784047</v>
      </c>
      <c r="DA54" s="318">
        <f t="shared" si="14"/>
        <v>7412.1024423784047</v>
      </c>
      <c r="DB54" s="318">
        <f t="shared" si="14"/>
        <v>7412.1024423784047</v>
      </c>
      <c r="DC54" s="318">
        <f t="shared" si="14"/>
        <v>7412.1024423784047</v>
      </c>
      <c r="DD54" s="318">
        <f t="shared" si="14"/>
        <v>7412.1024423784047</v>
      </c>
      <c r="DE54" s="318">
        <f t="shared" si="14"/>
        <v>7412.1024423784047</v>
      </c>
      <c r="DF54" s="318">
        <f t="shared" si="14"/>
        <v>7412.1024423784047</v>
      </c>
      <c r="DG54" s="318">
        <f t="shared" si="14"/>
        <v>7412.1024423784047</v>
      </c>
      <c r="DH54" s="318">
        <f t="shared" si="14"/>
        <v>7671.5260278616488</v>
      </c>
      <c r="DI54" s="318">
        <f t="shared" si="14"/>
        <v>7671.5260278616488</v>
      </c>
      <c r="DJ54" s="318">
        <f t="shared" si="14"/>
        <v>7671.5260278616488</v>
      </c>
      <c r="DK54" s="318">
        <f t="shared" si="14"/>
        <v>7671.5260278616488</v>
      </c>
      <c r="DL54" s="318">
        <f t="shared" si="14"/>
        <v>7671.5260278616488</v>
      </c>
      <c r="DM54" s="318">
        <f t="shared" si="14"/>
        <v>7671.5260278616488</v>
      </c>
      <c r="DN54" s="318">
        <f t="shared" si="14"/>
        <v>7671.5260278616488</v>
      </c>
      <c r="DO54" s="318">
        <f t="shared" si="14"/>
        <v>7671.5260278616488</v>
      </c>
      <c r="DP54" s="318">
        <f t="shared" si="14"/>
        <v>7671.5260278616488</v>
      </c>
      <c r="DQ54" s="318">
        <f t="shared" si="14"/>
        <v>7671.5260278616488</v>
      </c>
      <c r="DR54" s="318">
        <f t="shared" si="14"/>
        <v>7671.5260278616488</v>
      </c>
      <c r="DS54" s="318">
        <f t="shared" si="14"/>
        <v>7671.5260278616488</v>
      </c>
      <c r="DT54" s="318">
        <f t="shared" si="14"/>
        <v>0</v>
      </c>
      <c r="DU54" s="318">
        <f t="shared" si="14"/>
        <v>0</v>
      </c>
      <c r="DV54" s="318">
        <f t="shared" si="14"/>
        <v>0</v>
      </c>
      <c r="DW54" s="318">
        <f t="shared" si="14"/>
        <v>0</v>
      </c>
      <c r="DX54" s="318">
        <f t="shared" si="14"/>
        <v>0</v>
      </c>
      <c r="DY54" s="318">
        <f t="shared" si="14"/>
        <v>0</v>
      </c>
      <c r="DZ54" s="318">
        <f t="shared" si="14"/>
        <v>0</v>
      </c>
      <c r="EA54" s="318">
        <f t="shared" si="14"/>
        <v>0</v>
      </c>
      <c r="EB54" s="318">
        <f t="shared" ref="EB54:GA54" si="15">HLOOKUP(EB$51,$C$40:$W$46,2,FALSE)/12</f>
        <v>0</v>
      </c>
      <c r="EC54" s="318">
        <f t="shared" si="15"/>
        <v>0</v>
      </c>
      <c r="ED54" s="318">
        <f t="shared" si="15"/>
        <v>0</v>
      </c>
      <c r="EE54" s="318">
        <f t="shared" si="15"/>
        <v>0</v>
      </c>
      <c r="EF54" s="318">
        <f t="shared" si="15"/>
        <v>0</v>
      </c>
      <c r="EG54" s="318">
        <f t="shared" si="15"/>
        <v>0</v>
      </c>
      <c r="EH54" s="318">
        <f t="shared" si="15"/>
        <v>0</v>
      </c>
      <c r="EI54" s="318">
        <f t="shared" si="15"/>
        <v>0</v>
      </c>
      <c r="EJ54" s="318">
        <f t="shared" si="15"/>
        <v>0</v>
      </c>
      <c r="EK54" s="318">
        <f t="shared" si="15"/>
        <v>0</v>
      </c>
      <c r="EL54" s="318">
        <f t="shared" si="15"/>
        <v>0</v>
      </c>
      <c r="EM54" s="318">
        <f t="shared" si="15"/>
        <v>0</v>
      </c>
      <c r="EN54" s="318">
        <f t="shared" si="15"/>
        <v>0</v>
      </c>
      <c r="EO54" s="318">
        <f t="shared" si="15"/>
        <v>0</v>
      </c>
      <c r="EP54" s="318">
        <f t="shared" si="15"/>
        <v>0</v>
      </c>
      <c r="EQ54" s="318">
        <f t="shared" si="15"/>
        <v>0</v>
      </c>
      <c r="ER54" s="318">
        <f t="shared" si="15"/>
        <v>0</v>
      </c>
      <c r="ES54" s="318">
        <f t="shared" si="15"/>
        <v>0</v>
      </c>
      <c r="ET54" s="318">
        <f t="shared" si="15"/>
        <v>0</v>
      </c>
      <c r="EU54" s="318">
        <f t="shared" si="15"/>
        <v>0</v>
      </c>
      <c r="EV54" s="318">
        <f t="shared" si="15"/>
        <v>0</v>
      </c>
      <c r="EW54" s="318">
        <f t="shared" si="15"/>
        <v>0</v>
      </c>
      <c r="EX54" s="318">
        <f t="shared" si="15"/>
        <v>0</v>
      </c>
      <c r="EY54" s="318">
        <f t="shared" si="15"/>
        <v>0</v>
      </c>
      <c r="EZ54" s="318">
        <f t="shared" si="15"/>
        <v>0</v>
      </c>
      <c r="FA54" s="318">
        <f t="shared" si="15"/>
        <v>0</v>
      </c>
      <c r="FB54" s="318">
        <f t="shared" si="15"/>
        <v>0</v>
      </c>
      <c r="FC54" s="318">
        <f t="shared" si="15"/>
        <v>0</v>
      </c>
      <c r="FD54" s="318">
        <f t="shared" si="15"/>
        <v>0</v>
      </c>
      <c r="FE54" s="318">
        <f t="shared" si="15"/>
        <v>0</v>
      </c>
      <c r="FF54" s="318">
        <f t="shared" si="15"/>
        <v>0</v>
      </c>
      <c r="FG54" s="318">
        <f t="shared" si="15"/>
        <v>0</v>
      </c>
      <c r="FH54" s="318">
        <f t="shared" si="15"/>
        <v>0</v>
      </c>
      <c r="FI54" s="318">
        <f t="shared" si="15"/>
        <v>0</v>
      </c>
      <c r="FJ54" s="318">
        <f t="shared" si="15"/>
        <v>0</v>
      </c>
      <c r="FK54" s="318">
        <f t="shared" si="15"/>
        <v>0</v>
      </c>
      <c r="FL54" s="318">
        <f t="shared" si="15"/>
        <v>0</v>
      </c>
      <c r="FM54" s="318">
        <f t="shared" si="15"/>
        <v>0</v>
      </c>
      <c r="FN54" s="318">
        <f t="shared" si="15"/>
        <v>0</v>
      </c>
      <c r="FO54" s="318">
        <f t="shared" si="15"/>
        <v>0</v>
      </c>
      <c r="FP54" s="318">
        <f t="shared" si="15"/>
        <v>0</v>
      </c>
      <c r="FQ54" s="318">
        <f t="shared" si="15"/>
        <v>0</v>
      </c>
      <c r="FR54" s="318">
        <f t="shared" si="15"/>
        <v>0</v>
      </c>
      <c r="FS54" s="318">
        <f t="shared" si="15"/>
        <v>0</v>
      </c>
      <c r="FT54" s="318">
        <f t="shared" si="15"/>
        <v>0</v>
      </c>
      <c r="FU54" s="318">
        <f t="shared" si="15"/>
        <v>0</v>
      </c>
      <c r="FV54" s="318">
        <f t="shared" si="15"/>
        <v>0</v>
      </c>
      <c r="FW54" s="318">
        <f t="shared" si="15"/>
        <v>0</v>
      </c>
      <c r="FX54" s="318">
        <f t="shared" si="15"/>
        <v>0</v>
      </c>
      <c r="FY54" s="318">
        <f t="shared" si="15"/>
        <v>0</v>
      </c>
      <c r="FZ54" s="318">
        <f t="shared" si="15"/>
        <v>0</v>
      </c>
      <c r="GA54" s="319">
        <f t="shared" si="15"/>
        <v>0</v>
      </c>
    </row>
    <row r="55" spans="1:183" x14ac:dyDescent="0.15">
      <c r="A55" s="310" t="s">
        <v>860</v>
      </c>
      <c r="C55" s="485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>
        <f t="shared" ref="BK55:CP55" si="16">IF(BK50/12=Cust_LeaseTermYears,Cust_NominalPymtAtTermEnd,0)</f>
        <v>0</v>
      </c>
      <c r="BL55" s="77">
        <f t="shared" si="16"/>
        <v>0</v>
      </c>
      <c r="BM55" s="77">
        <f t="shared" si="16"/>
        <v>0</v>
      </c>
      <c r="BN55" s="77">
        <f t="shared" si="16"/>
        <v>0</v>
      </c>
      <c r="BO55" s="77">
        <f t="shared" si="16"/>
        <v>0</v>
      </c>
      <c r="BP55" s="77">
        <f t="shared" si="16"/>
        <v>0</v>
      </c>
      <c r="BQ55" s="77">
        <f t="shared" si="16"/>
        <v>0</v>
      </c>
      <c r="BR55" s="77">
        <f t="shared" si="16"/>
        <v>0</v>
      </c>
      <c r="BS55" s="77">
        <f t="shared" si="16"/>
        <v>0</v>
      </c>
      <c r="BT55" s="77">
        <f t="shared" si="16"/>
        <v>0</v>
      </c>
      <c r="BU55" s="77">
        <f t="shared" si="16"/>
        <v>0</v>
      </c>
      <c r="BV55" s="77">
        <f t="shared" si="16"/>
        <v>0</v>
      </c>
      <c r="BW55" s="77">
        <f t="shared" si="16"/>
        <v>0</v>
      </c>
      <c r="BX55" s="77">
        <f t="shared" si="16"/>
        <v>0</v>
      </c>
      <c r="BY55" s="77">
        <f t="shared" si="16"/>
        <v>0</v>
      </c>
      <c r="BZ55" s="77">
        <f t="shared" si="16"/>
        <v>0</v>
      </c>
      <c r="CA55" s="77">
        <f t="shared" si="16"/>
        <v>0</v>
      </c>
      <c r="CB55" s="77">
        <f t="shared" si="16"/>
        <v>0</v>
      </c>
      <c r="CC55" s="77">
        <f t="shared" si="16"/>
        <v>0</v>
      </c>
      <c r="CD55" s="77">
        <f t="shared" si="16"/>
        <v>0</v>
      </c>
      <c r="CE55" s="77">
        <f t="shared" si="16"/>
        <v>0</v>
      </c>
      <c r="CF55" s="77">
        <f t="shared" si="16"/>
        <v>0</v>
      </c>
      <c r="CG55" s="77">
        <f t="shared" si="16"/>
        <v>0</v>
      </c>
      <c r="CH55" s="77">
        <f t="shared" si="16"/>
        <v>0</v>
      </c>
      <c r="CI55" s="77">
        <f t="shared" si="16"/>
        <v>0</v>
      </c>
      <c r="CJ55" s="77">
        <f t="shared" si="16"/>
        <v>0</v>
      </c>
      <c r="CK55" s="77">
        <f t="shared" si="16"/>
        <v>0</v>
      </c>
      <c r="CL55" s="77">
        <f t="shared" si="16"/>
        <v>0</v>
      </c>
      <c r="CM55" s="77">
        <f t="shared" si="16"/>
        <v>0</v>
      </c>
      <c r="CN55" s="77">
        <f t="shared" si="16"/>
        <v>0</v>
      </c>
      <c r="CO55" s="77">
        <f t="shared" si="16"/>
        <v>0</v>
      </c>
      <c r="CP55" s="77">
        <f t="shared" si="16"/>
        <v>0</v>
      </c>
      <c r="CQ55" s="77">
        <f t="shared" ref="CQ55:DV55" si="17">IF(CQ50/12=Cust_LeaseTermYears,Cust_NominalPymtAtTermEnd,0)</f>
        <v>0</v>
      </c>
      <c r="CR55" s="77">
        <f t="shared" si="17"/>
        <v>0</v>
      </c>
      <c r="CS55" s="77">
        <f t="shared" si="17"/>
        <v>0</v>
      </c>
      <c r="CT55" s="77">
        <f t="shared" si="17"/>
        <v>0</v>
      </c>
      <c r="CU55" s="77">
        <f t="shared" si="17"/>
        <v>0</v>
      </c>
      <c r="CV55" s="77">
        <f t="shared" si="17"/>
        <v>0</v>
      </c>
      <c r="CW55" s="77">
        <f t="shared" si="17"/>
        <v>0</v>
      </c>
      <c r="CX55" s="77">
        <f t="shared" si="17"/>
        <v>0</v>
      </c>
      <c r="CY55" s="77">
        <f t="shared" si="17"/>
        <v>0</v>
      </c>
      <c r="CZ55" s="77">
        <f t="shared" si="17"/>
        <v>0</v>
      </c>
      <c r="DA55" s="77">
        <f t="shared" si="17"/>
        <v>0</v>
      </c>
      <c r="DB55" s="77">
        <f t="shared" si="17"/>
        <v>0</v>
      </c>
      <c r="DC55" s="77">
        <f t="shared" si="17"/>
        <v>0</v>
      </c>
      <c r="DD55" s="77">
        <f t="shared" si="17"/>
        <v>0</v>
      </c>
      <c r="DE55" s="77">
        <f t="shared" si="17"/>
        <v>0</v>
      </c>
      <c r="DF55" s="77">
        <f t="shared" si="17"/>
        <v>0</v>
      </c>
      <c r="DG55" s="77">
        <f t="shared" si="17"/>
        <v>0</v>
      </c>
      <c r="DH55" s="77">
        <f t="shared" si="17"/>
        <v>0</v>
      </c>
      <c r="DI55" s="77">
        <f t="shared" si="17"/>
        <v>0</v>
      </c>
      <c r="DJ55" s="77">
        <f t="shared" si="17"/>
        <v>0</v>
      </c>
      <c r="DK55" s="77">
        <f t="shared" si="17"/>
        <v>0</v>
      </c>
      <c r="DL55" s="77">
        <f t="shared" si="17"/>
        <v>0</v>
      </c>
      <c r="DM55" s="77">
        <f t="shared" si="17"/>
        <v>0</v>
      </c>
      <c r="DN55" s="77">
        <f t="shared" si="17"/>
        <v>0</v>
      </c>
      <c r="DO55" s="77">
        <f t="shared" si="17"/>
        <v>0</v>
      </c>
      <c r="DP55" s="77">
        <f t="shared" si="17"/>
        <v>0</v>
      </c>
      <c r="DQ55" s="77">
        <f t="shared" si="17"/>
        <v>0</v>
      </c>
      <c r="DR55" s="77">
        <f t="shared" si="17"/>
        <v>0</v>
      </c>
      <c r="DS55" s="77">
        <f t="shared" si="17"/>
        <v>100</v>
      </c>
      <c r="DT55" s="77">
        <f t="shared" si="17"/>
        <v>0</v>
      </c>
      <c r="DU55" s="77">
        <f t="shared" si="17"/>
        <v>0</v>
      </c>
      <c r="DV55" s="77">
        <f t="shared" si="17"/>
        <v>0</v>
      </c>
      <c r="DW55" s="77">
        <f t="shared" ref="DW55:FB55" si="18">IF(DW50/12=Cust_LeaseTermYears,Cust_NominalPymtAtTermEnd,0)</f>
        <v>0</v>
      </c>
      <c r="DX55" s="77">
        <f t="shared" si="18"/>
        <v>0</v>
      </c>
      <c r="DY55" s="77">
        <f t="shared" si="18"/>
        <v>0</v>
      </c>
      <c r="DZ55" s="77">
        <f t="shared" si="18"/>
        <v>0</v>
      </c>
      <c r="EA55" s="77">
        <f t="shared" si="18"/>
        <v>0</v>
      </c>
      <c r="EB55" s="77">
        <f t="shared" si="18"/>
        <v>0</v>
      </c>
      <c r="EC55" s="77">
        <f t="shared" si="18"/>
        <v>0</v>
      </c>
      <c r="ED55" s="77">
        <f t="shared" si="18"/>
        <v>0</v>
      </c>
      <c r="EE55" s="77">
        <f t="shared" si="18"/>
        <v>0</v>
      </c>
      <c r="EF55" s="77">
        <f t="shared" si="18"/>
        <v>0</v>
      </c>
      <c r="EG55" s="77">
        <f t="shared" si="18"/>
        <v>0</v>
      </c>
      <c r="EH55" s="77">
        <f t="shared" si="18"/>
        <v>0</v>
      </c>
      <c r="EI55" s="77">
        <f t="shared" si="18"/>
        <v>0</v>
      </c>
      <c r="EJ55" s="77">
        <f t="shared" si="18"/>
        <v>0</v>
      </c>
      <c r="EK55" s="77">
        <f t="shared" si="18"/>
        <v>0</v>
      </c>
      <c r="EL55" s="77">
        <f t="shared" si="18"/>
        <v>0</v>
      </c>
      <c r="EM55" s="77">
        <f t="shared" si="18"/>
        <v>0</v>
      </c>
      <c r="EN55" s="77">
        <f t="shared" si="18"/>
        <v>0</v>
      </c>
      <c r="EO55" s="77">
        <f t="shared" si="18"/>
        <v>0</v>
      </c>
      <c r="EP55" s="77">
        <f t="shared" si="18"/>
        <v>0</v>
      </c>
      <c r="EQ55" s="77">
        <f t="shared" si="18"/>
        <v>0</v>
      </c>
      <c r="ER55" s="77">
        <f t="shared" si="18"/>
        <v>0</v>
      </c>
      <c r="ES55" s="77">
        <f t="shared" si="18"/>
        <v>0</v>
      </c>
      <c r="ET55" s="77">
        <f t="shared" si="18"/>
        <v>0</v>
      </c>
      <c r="EU55" s="77">
        <f t="shared" si="18"/>
        <v>0</v>
      </c>
      <c r="EV55" s="77">
        <f t="shared" si="18"/>
        <v>0</v>
      </c>
      <c r="EW55" s="77">
        <f t="shared" si="18"/>
        <v>0</v>
      </c>
      <c r="EX55" s="77">
        <f t="shared" si="18"/>
        <v>0</v>
      </c>
      <c r="EY55" s="77">
        <f t="shared" si="18"/>
        <v>0</v>
      </c>
      <c r="EZ55" s="77">
        <f t="shared" si="18"/>
        <v>0</v>
      </c>
      <c r="FA55" s="77">
        <f t="shared" si="18"/>
        <v>0</v>
      </c>
      <c r="FB55" s="77">
        <f t="shared" si="18"/>
        <v>0</v>
      </c>
      <c r="FC55" s="77">
        <f t="shared" ref="FC55:GA55" si="19">IF(FC50/12=Cust_LeaseTermYears,Cust_NominalPymtAtTermEnd,0)</f>
        <v>0</v>
      </c>
      <c r="FD55" s="77">
        <f t="shared" si="19"/>
        <v>0</v>
      </c>
      <c r="FE55" s="77">
        <f t="shared" si="19"/>
        <v>0</v>
      </c>
      <c r="FF55" s="77">
        <f t="shared" si="19"/>
        <v>0</v>
      </c>
      <c r="FG55" s="77">
        <f t="shared" si="19"/>
        <v>0</v>
      </c>
      <c r="FH55" s="77">
        <f t="shared" si="19"/>
        <v>0</v>
      </c>
      <c r="FI55" s="77">
        <f t="shared" si="19"/>
        <v>0</v>
      </c>
      <c r="FJ55" s="77">
        <f t="shared" si="19"/>
        <v>0</v>
      </c>
      <c r="FK55" s="77">
        <f t="shared" si="19"/>
        <v>0</v>
      </c>
      <c r="FL55" s="77">
        <f t="shared" si="19"/>
        <v>0</v>
      </c>
      <c r="FM55" s="77">
        <f t="shared" si="19"/>
        <v>0</v>
      </c>
      <c r="FN55" s="77">
        <f t="shared" si="19"/>
        <v>0</v>
      </c>
      <c r="FO55" s="77">
        <f t="shared" si="19"/>
        <v>0</v>
      </c>
      <c r="FP55" s="77">
        <f t="shared" si="19"/>
        <v>0</v>
      </c>
      <c r="FQ55" s="77">
        <f t="shared" si="19"/>
        <v>0</v>
      </c>
      <c r="FR55" s="77">
        <f t="shared" si="19"/>
        <v>0</v>
      </c>
      <c r="FS55" s="77">
        <f t="shared" si="19"/>
        <v>0</v>
      </c>
      <c r="FT55" s="77">
        <f t="shared" si="19"/>
        <v>0</v>
      </c>
      <c r="FU55" s="77">
        <f t="shared" si="19"/>
        <v>0</v>
      </c>
      <c r="FV55" s="77">
        <f t="shared" si="19"/>
        <v>0</v>
      </c>
      <c r="FW55" s="77">
        <f t="shared" si="19"/>
        <v>0</v>
      </c>
      <c r="FX55" s="77">
        <f t="shared" si="19"/>
        <v>0</v>
      </c>
      <c r="FY55" s="77">
        <f t="shared" si="19"/>
        <v>0</v>
      </c>
      <c r="FZ55" s="77">
        <f t="shared" si="19"/>
        <v>0</v>
      </c>
      <c r="GA55" s="486">
        <f t="shared" si="19"/>
        <v>0</v>
      </c>
    </row>
    <row r="56" spans="1:183" x14ac:dyDescent="0.15">
      <c r="A56" s="310" t="s">
        <v>857</v>
      </c>
      <c r="C56" s="485">
        <v>0</v>
      </c>
      <c r="D56" s="77">
        <f>HLOOKUP(D$51,$C$40:$W$46,7,FALSE)/12+D55</f>
        <v>4579.0138883405989</v>
      </c>
      <c r="E56" s="77">
        <f t="shared" ref="E56:BJ56" si="20">HLOOKUP(E$51,$C$40:$W$46,7,FALSE)/12+E55</f>
        <v>4579.0138883405989</v>
      </c>
      <c r="F56" s="77">
        <f t="shared" si="20"/>
        <v>4579.0138883405989</v>
      </c>
      <c r="G56" s="77">
        <f t="shared" si="20"/>
        <v>4579.0138883405989</v>
      </c>
      <c r="H56" s="77">
        <f t="shared" si="20"/>
        <v>4579.0138883405989</v>
      </c>
      <c r="I56" s="77">
        <f t="shared" si="20"/>
        <v>4579.0138883405989</v>
      </c>
      <c r="J56" s="77">
        <f t="shared" si="20"/>
        <v>4579.0138883405989</v>
      </c>
      <c r="K56" s="77">
        <f t="shared" si="20"/>
        <v>4579.0138883405989</v>
      </c>
      <c r="L56" s="77">
        <f t="shared" si="20"/>
        <v>4579.0138883405989</v>
      </c>
      <c r="M56" s="77">
        <f t="shared" si="20"/>
        <v>4579.0138883405989</v>
      </c>
      <c r="N56" s="77">
        <f t="shared" si="20"/>
        <v>4579.0138883405989</v>
      </c>
      <c r="O56" s="77">
        <f t="shared" si="20"/>
        <v>4579.0138883405989</v>
      </c>
      <c r="P56" s="77">
        <f t="shared" si="20"/>
        <v>3966.7406235603207</v>
      </c>
      <c r="Q56" s="77">
        <f t="shared" si="20"/>
        <v>3966.7406235603207</v>
      </c>
      <c r="R56" s="77">
        <f t="shared" si="20"/>
        <v>3966.7406235603207</v>
      </c>
      <c r="S56" s="77">
        <f t="shared" si="20"/>
        <v>3966.7406235603207</v>
      </c>
      <c r="T56" s="77">
        <f t="shared" si="20"/>
        <v>3966.7406235603207</v>
      </c>
      <c r="U56" s="77">
        <f t="shared" si="20"/>
        <v>3966.7406235603207</v>
      </c>
      <c r="V56" s="77">
        <f t="shared" si="20"/>
        <v>3966.7406235603207</v>
      </c>
      <c r="W56" s="77">
        <f t="shared" si="20"/>
        <v>3966.7406235603207</v>
      </c>
      <c r="X56" s="77">
        <f t="shared" si="20"/>
        <v>3966.7406235603207</v>
      </c>
      <c r="Y56" s="77">
        <f t="shared" si="20"/>
        <v>3966.7406235603207</v>
      </c>
      <c r="Z56" s="77">
        <f t="shared" si="20"/>
        <v>3966.7406235603207</v>
      </c>
      <c r="AA56" s="77">
        <f t="shared" si="20"/>
        <v>3966.7406235603207</v>
      </c>
      <c r="AB56" s="77">
        <f t="shared" si="20"/>
        <v>4106.1333015849305</v>
      </c>
      <c r="AC56" s="77">
        <f t="shared" si="20"/>
        <v>4106.1333015849305</v>
      </c>
      <c r="AD56" s="77">
        <f t="shared" si="20"/>
        <v>4106.1333015849305</v>
      </c>
      <c r="AE56" s="77">
        <f t="shared" si="20"/>
        <v>4106.1333015849305</v>
      </c>
      <c r="AF56" s="77">
        <f t="shared" si="20"/>
        <v>4106.1333015849305</v>
      </c>
      <c r="AG56" s="77">
        <f t="shared" si="20"/>
        <v>4106.1333015849305</v>
      </c>
      <c r="AH56" s="77">
        <f t="shared" si="20"/>
        <v>4106.1333015849305</v>
      </c>
      <c r="AI56" s="77">
        <f t="shared" si="20"/>
        <v>4106.1333015849305</v>
      </c>
      <c r="AJ56" s="77">
        <f t="shared" si="20"/>
        <v>4106.1333015849305</v>
      </c>
      <c r="AK56" s="77">
        <f t="shared" si="20"/>
        <v>4106.1333015849305</v>
      </c>
      <c r="AL56" s="77">
        <f t="shared" si="20"/>
        <v>4106.1333015849305</v>
      </c>
      <c r="AM56" s="77">
        <f t="shared" si="20"/>
        <v>4106.1333015849305</v>
      </c>
      <c r="AN56" s="77">
        <f t="shared" si="20"/>
        <v>4250.4214260264025</v>
      </c>
      <c r="AO56" s="77">
        <f t="shared" si="20"/>
        <v>4250.4214260264025</v>
      </c>
      <c r="AP56" s="77">
        <f t="shared" si="20"/>
        <v>4250.4214260264025</v>
      </c>
      <c r="AQ56" s="77">
        <f t="shared" si="20"/>
        <v>4250.4214260264025</v>
      </c>
      <c r="AR56" s="77">
        <f t="shared" si="20"/>
        <v>4250.4214260264025</v>
      </c>
      <c r="AS56" s="77">
        <f t="shared" si="20"/>
        <v>4250.4214260264025</v>
      </c>
      <c r="AT56" s="77">
        <f t="shared" si="20"/>
        <v>4250.4214260264025</v>
      </c>
      <c r="AU56" s="77">
        <f t="shared" si="20"/>
        <v>4250.4214260264025</v>
      </c>
      <c r="AV56" s="77">
        <f t="shared" si="20"/>
        <v>4250.4214260264025</v>
      </c>
      <c r="AW56" s="77">
        <f t="shared" si="20"/>
        <v>4250.4214260264025</v>
      </c>
      <c r="AX56" s="77">
        <f t="shared" si="20"/>
        <v>4250.4214260264025</v>
      </c>
      <c r="AY56" s="77">
        <f t="shared" si="20"/>
        <v>4250.4214260264025</v>
      </c>
      <c r="AZ56" s="77">
        <f t="shared" si="20"/>
        <v>4399.7768385899062</v>
      </c>
      <c r="BA56" s="77">
        <f t="shared" si="20"/>
        <v>4399.7768385899062</v>
      </c>
      <c r="BB56" s="77">
        <f t="shared" si="20"/>
        <v>4399.7768385899062</v>
      </c>
      <c r="BC56" s="77">
        <f t="shared" si="20"/>
        <v>4399.7768385899062</v>
      </c>
      <c r="BD56" s="77">
        <f t="shared" si="20"/>
        <v>4399.7768385899062</v>
      </c>
      <c r="BE56" s="77">
        <f t="shared" si="20"/>
        <v>4399.7768385899062</v>
      </c>
      <c r="BF56" s="77">
        <f t="shared" si="20"/>
        <v>4399.7768385899062</v>
      </c>
      <c r="BG56" s="77">
        <f t="shared" si="20"/>
        <v>4399.7768385899062</v>
      </c>
      <c r="BH56" s="77">
        <f t="shared" si="20"/>
        <v>4399.7768385899062</v>
      </c>
      <c r="BI56" s="77">
        <f t="shared" si="20"/>
        <v>4399.7768385899062</v>
      </c>
      <c r="BJ56" s="77">
        <f t="shared" si="20"/>
        <v>4399.7768385899062</v>
      </c>
      <c r="BK56" s="77">
        <f t="shared" ref="BK56:DV56" si="21">HLOOKUP(BK$51,$C$40:$W$46,7,FALSE)/12+BK55</f>
        <v>4399.7768385899062</v>
      </c>
      <c r="BL56" s="77">
        <f t="shared" si="21"/>
        <v>4554.3774104727099</v>
      </c>
      <c r="BM56" s="77">
        <f t="shared" si="21"/>
        <v>4554.3774104727099</v>
      </c>
      <c r="BN56" s="77">
        <f t="shared" si="21"/>
        <v>4554.3774104727099</v>
      </c>
      <c r="BO56" s="77">
        <f t="shared" si="21"/>
        <v>4554.3774104727099</v>
      </c>
      <c r="BP56" s="77">
        <f t="shared" si="21"/>
        <v>4554.3774104727099</v>
      </c>
      <c r="BQ56" s="77">
        <f t="shared" si="21"/>
        <v>4554.3774104727099</v>
      </c>
      <c r="BR56" s="77">
        <f t="shared" si="21"/>
        <v>4554.3774104727099</v>
      </c>
      <c r="BS56" s="77">
        <f t="shared" si="21"/>
        <v>4554.3774104727099</v>
      </c>
      <c r="BT56" s="77">
        <f t="shared" si="21"/>
        <v>4554.3774104727099</v>
      </c>
      <c r="BU56" s="77">
        <f t="shared" si="21"/>
        <v>4554.3774104727099</v>
      </c>
      <c r="BV56" s="77">
        <f t="shared" si="21"/>
        <v>4554.3774104727099</v>
      </c>
      <c r="BW56" s="77">
        <f t="shared" si="21"/>
        <v>4554.3774104727099</v>
      </c>
      <c r="BX56" s="77">
        <f t="shared" si="21"/>
        <v>4714.4072538473765</v>
      </c>
      <c r="BY56" s="77">
        <f t="shared" si="21"/>
        <v>4714.4072538473765</v>
      </c>
      <c r="BZ56" s="77">
        <f t="shared" si="21"/>
        <v>4714.4072538473765</v>
      </c>
      <c r="CA56" s="77">
        <f t="shared" si="21"/>
        <v>4714.4072538473765</v>
      </c>
      <c r="CB56" s="77">
        <f t="shared" si="21"/>
        <v>4714.4072538473765</v>
      </c>
      <c r="CC56" s="77">
        <f t="shared" si="21"/>
        <v>4714.4072538473765</v>
      </c>
      <c r="CD56" s="77">
        <f t="shared" si="21"/>
        <v>4714.4072538473765</v>
      </c>
      <c r="CE56" s="77">
        <f t="shared" si="21"/>
        <v>4714.4072538473765</v>
      </c>
      <c r="CF56" s="77">
        <f t="shared" si="21"/>
        <v>4714.4072538473765</v>
      </c>
      <c r="CG56" s="77">
        <f t="shared" si="21"/>
        <v>4714.4072538473765</v>
      </c>
      <c r="CH56" s="77">
        <f t="shared" si="21"/>
        <v>4714.4072538473765</v>
      </c>
      <c r="CI56" s="77">
        <f t="shared" si="21"/>
        <v>4714.4072538473765</v>
      </c>
      <c r="CJ56" s="77">
        <f t="shared" si="21"/>
        <v>4880.0569407604007</v>
      </c>
      <c r="CK56" s="77">
        <f t="shared" si="21"/>
        <v>4880.0569407604007</v>
      </c>
      <c r="CL56" s="77">
        <f t="shared" si="21"/>
        <v>4880.0569407604007</v>
      </c>
      <c r="CM56" s="77">
        <f t="shared" si="21"/>
        <v>4880.0569407604007</v>
      </c>
      <c r="CN56" s="77">
        <f t="shared" si="21"/>
        <v>4880.0569407604007</v>
      </c>
      <c r="CO56" s="77">
        <f t="shared" si="21"/>
        <v>4880.0569407604007</v>
      </c>
      <c r="CP56" s="77">
        <f t="shared" si="21"/>
        <v>4880.0569407604007</v>
      </c>
      <c r="CQ56" s="77">
        <f t="shared" si="21"/>
        <v>4880.0569407604007</v>
      </c>
      <c r="CR56" s="77">
        <f t="shared" si="21"/>
        <v>4880.0569407604007</v>
      </c>
      <c r="CS56" s="77">
        <f t="shared" si="21"/>
        <v>4880.0569407604007</v>
      </c>
      <c r="CT56" s="77">
        <f t="shared" si="21"/>
        <v>4880.0569407604007</v>
      </c>
      <c r="CU56" s="77">
        <f t="shared" si="21"/>
        <v>4880.0569407604007</v>
      </c>
      <c r="CV56" s="77">
        <f t="shared" si="21"/>
        <v>5051.5237297062304</v>
      </c>
      <c r="CW56" s="77">
        <f t="shared" si="21"/>
        <v>5051.5237297062304</v>
      </c>
      <c r="CX56" s="77">
        <f t="shared" si="21"/>
        <v>5051.5237297062304</v>
      </c>
      <c r="CY56" s="77">
        <f t="shared" si="21"/>
        <v>5051.5237297062304</v>
      </c>
      <c r="CZ56" s="77">
        <f t="shared" si="21"/>
        <v>5051.5237297062304</v>
      </c>
      <c r="DA56" s="77">
        <f t="shared" si="21"/>
        <v>5051.5237297062304</v>
      </c>
      <c r="DB56" s="77">
        <f t="shared" si="21"/>
        <v>5051.5237297062304</v>
      </c>
      <c r="DC56" s="77">
        <f t="shared" si="21"/>
        <v>5051.5237297062304</v>
      </c>
      <c r="DD56" s="77">
        <f t="shared" si="21"/>
        <v>5051.5237297062304</v>
      </c>
      <c r="DE56" s="77">
        <f t="shared" si="21"/>
        <v>5051.5237297062304</v>
      </c>
      <c r="DF56" s="77">
        <f t="shared" si="21"/>
        <v>5051.5237297062304</v>
      </c>
      <c r="DG56" s="77">
        <f t="shared" si="21"/>
        <v>5051.5237297062304</v>
      </c>
      <c r="DH56" s="77">
        <f t="shared" si="21"/>
        <v>5229.0118001457422</v>
      </c>
      <c r="DI56" s="77">
        <f t="shared" si="21"/>
        <v>5229.0118001457422</v>
      </c>
      <c r="DJ56" s="77">
        <f t="shared" si="21"/>
        <v>5229.0118001457422</v>
      </c>
      <c r="DK56" s="77">
        <f t="shared" si="21"/>
        <v>5229.0118001457422</v>
      </c>
      <c r="DL56" s="77">
        <f t="shared" si="21"/>
        <v>5229.0118001457422</v>
      </c>
      <c r="DM56" s="77">
        <f t="shared" si="21"/>
        <v>5229.0118001457422</v>
      </c>
      <c r="DN56" s="77">
        <f t="shared" si="21"/>
        <v>5229.0118001457422</v>
      </c>
      <c r="DO56" s="77">
        <f t="shared" si="21"/>
        <v>5229.0118001457422</v>
      </c>
      <c r="DP56" s="77">
        <f t="shared" si="21"/>
        <v>5229.0118001457422</v>
      </c>
      <c r="DQ56" s="77">
        <f t="shared" si="21"/>
        <v>5229.0118001457422</v>
      </c>
      <c r="DR56" s="77">
        <f t="shared" si="21"/>
        <v>5229.0118001457422</v>
      </c>
      <c r="DS56" s="77">
        <f t="shared" si="21"/>
        <v>5329.0118001457422</v>
      </c>
      <c r="DT56" s="77">
        <f t="shared" si="21"/>
        <v>0</v>
      </c>
      <c r="DU56" s="77">
        <f t="shared" si="21"/>
        <v>0</v>
      </c>
      <c r="DV56" s="77">
        <f t="shared" si="21"/>
        <v>0</v>
      </c>
      <c r="DW56" s="77">
        <f t="shared" ref="DW56:GA56" si="22">HLOOKUP(DW$51,$C$40:$W$46,7,FALSE)/12+DW55</f>
        <v>0</v>
      </c>
      <c r="DX56" s="77">
        <f t="shared" si="22"/>
        <v>0</v>
      </c>
      <c r="DY56" s="77">
        <f t="shared" si="22"/>
        <v>0</v>
      </c>
      <c r="DZ56" s="77">
        <f t="shared" si="22"/>
        <v>0</v>
      </c>
      <c r="EA56" s="77">
        <f t="shared" si="22"/>
        <v>0</v>
      </c>
      <c r="EB56" s="77">
        <f t="shared" si="22"/>
        <v>0</v>
      </c>
      <c r="EC56" s="77">
        <f t="shared" si="22"/>
        <v>0</v>
      </c>
      <c r="ED56" s="77">
        <f t="shared" si="22"/>
        <v>0</v>
      </c>
      <c r="EE56" s="77">
        <f t="shared" si="22"/>
        <v>0</v>
      </c>
      <c r="EF56" s="77">
        <f t="shared" si="22"/>
        <v>0</v>
      </c>
      <c r="EG56" s="77">
        <f t="shared" si="22"/>
        <v>0</v>
      </c>
      <c r="EH56" s="77">
        <f t="shared" si="22"/>
        <v>0</v>
      </c>
      <c r="EI56" s="77">
        <f t="shared" si="22"/>
        <v>0</v>
      </c>
      <c r="EJ56" s="77">
        <f t="shared" si="22"/>
        <v>0</v>
      </c>
      <c r="EK56" s="77">
        <f t="shared" si="22"/>
        <v>0</v>
      </c>
      <c r="EL56" s="77">
        <f t="shared" si="22"/>
        <v>0</v>
      </c>
      <c r="EM56" s="77">
        <f t="shared" si="22"/>
        <v>0</v>
      </c>
      <c r="EN56" s="77">
        <f t="shared" si="22"/>
        <v>0</v>
      </c>
      <c r="EO56" s="77">
        <f t="shared" si="22"/>
        <v>0</v>
      </c>
      <c r="EP56" s="77">
        <f t="shared" si="22"/>
        <v>0</v>
      </c>
      <c r="EQ56" s="77">
        <f t="shared" si="22"/>
        <v>0</v>
      </c>
      <c r="ER56" s="77">
        <f t="shared" si="22"/>
        <v>0</v>
      </c>
      <c r="ES56" s="77">
        <f t="shared" si="22"/>
        <v>0</v>
      </c>
      <c r="ET56" s="77">
        <f t="shared" si="22"/>
        <v>0</v>
      </c>
      <c r="EU56" s="77">
        <f t="shared" si="22"/>
        <v>0</v>
      </c>
      <c r="EV56" s="77">
        <f t="shared" si="22"/>
        <v>0</v>
      </c>
      <c r="EW56" s="77">
        <f t="shared" si="22"/>
        <v>0</v>
      </c>
      <c r="EX56" s="77">
        <f t="shared" si="22"/>
        <v>0</v>
      </c>
      <c r="EY56" s="77">
        <f t="shared" si="22"/>
        <v>0</v>
      </c>
      <c r="EZ56" s="77">
        <f t="shared" si="22"/>
        <v>0</v>
      </c>
      <c r="FA56" s="77">
        <f t="shared" si="22"/>
        <v>0</v>
      </c>
      <c r="FB56" s="77">
        <f t="shared" si="22"/>
        <v>0</v>
      </c>
      <c r="FC56" s="77">
        <f t="shared" si="22"/>
        <v>0</v>
      </c>
      <c r="FD56" s="77">
        <f t="shared" si="22"/>
        <v>0</v>
      </c>
      <c r="FE56" s="77">
        <f t="shared" si="22"/>
        <v>0</v>
      </c>
      <c r="FF56" s="77">
        <f t="shared" si="22"/>
        <v>0</v>
      </c>
      <c r="FG56" s="77">
        <f t="shared" si="22"/>
        <v>0</v>
      </c>
      <c r="FH56" s="77">
        <f t="shared" si="22"/>
        <v>0</v>
      </c>
      <c r="FI56" s="77">
        <f t="shared" si="22"/>
        <v>0</v>
      </c>
      <c r="FJ56" s="77">
        <f t="shared" si="22"/>
        <v>0</v>
      </c>
      <c r="FK56" s="77">
        <f t="shared" si="22"/>
        <v>0</v>
      </c>
      <c r="FL56" s="77">
        <f t="shared" si="22"/>
        <v>0</v>
      </c>
      <c r="FM56" s="77">
        <f t="shared" si="22"/>
        <v>0</v>
      </c>
      <c r="FN56" s="77">
        <f t="shared" si="22"/>
        <v>0</v>
      </c>
      <c r="FO56" s="77">
        <f t="shared" si="22"/>
        <v>0</v>
      </c>
      <c r="FP56" s="77">
        <f t="shared" si="22"/>
        <v>0</v>
      </c>
      <c r="FQ56" s="77">
        <f t="shared" si="22"/>
        <v>0</v>
      </c>
      <c r="FR56" s="77">
        <f t="shared" si="22"/>
        <v>0</v>
      </c>
      <c r="FS56" s="77">
        <f t="shared" si="22"/>
        <v>0</v>
      </c>
      <c r="FT56" s="77">
        <f t="shared" si="22"/>
        <v>0</v>
      </c>
      <c r="FU56" s="77">
        <f t="shared" si="22"/>
        <v>0</v>
      </c>
      <c r="FV56" s="77">
        <f t="shared" si="22"/>
        <v>0</v>
      </c>
      <c r="FW56" s="77">
        <f t="shared" si="22"/>
        <v>0</v>
      </c>
      <c r="FX56" s="77">
        <f t="shared" si="22"/>
        <v>0</v>
      </c>
      <c r="FY56" s="77">
        <f t="shared" si="22"/>
        <v>0</v>
      </c>
      <c r="FZ56" s="77">
        <f t="shared" si="22"/>
        <v>0</v>
      </c>
      <c r="GA56" s="486">
        <f t="shared" si="22"/>
        <v>0</v>
      </c>
    </row>
    <row r="57" spans="1:183" x14ac:dyDescent="0.15">
      <c r="A57" s="310" t="s">
        <v>858</v>
      </c>
      <c r="B57" s="326"/>
      <c r="C57" s="485"/>
      <c r="D57" s="77">
        <f ca="1">XNPV(BlendedReqIRR,$C56:D56,$C$52:D$52)</f>
        <v>4526.7144247185215</v>
      </c>
      <c r="E57" s="77">
        <f ca="1">XNPV(BlendedReqIRR,$C56:E56,$C$52:E$52)</f>
        <v>9000.0135306736265</v>
      </c>
      <c r="F57" s="77">
        <f ca="1">XNPV(BlendedReqIRR,$C56:F56,$C$52:F$52)</f>
        <v>13422.220600315351</v>
      </c>
      <c r="G57" s="77">
        <f ca="1">XNPV(BlendedReqIRR,$C56:G56,$C$52:G$52)</f>
        <v>17792.24554002794</v>
      </c>
      <c r="H57" s="77">
        <f ca="1">XNPV(BlendedReqIRR,$C56:H56,$C$52:H$52)</f>
        <v>22110.704099965347</v>
      </c>
      <c r="I57" s="77">
        <f ca="1">XNPV(BlendedReqIRR,$C56:I56,$C$52:I$52)</f>
        <v>26383.109779899078</v>
      </c>
      <c r="J57" s="77">
        <f ca="1">XNPV(BlendedReqIRR,$C56:J56,$C$52:J$52)</f>
        <v>30605.100989232647</v>
      </c>
      <c r="K57" s="77">
        <f ca="1">XNPV(BlendedReqIRR,$C56:K56,$C$52:K$52)</f>
        <v>34778.870489471272</v>
      </c>
      <c r="L57" s="77">
        <f ca="1">XNPV(BlendedReqIRR,$C56:L56,$C$52:L$52)</f>
        <v>38903.389427959664</v>
      </c>
      <c r="M57" s="77">
        <f ca="1">XNPV(BlendedReqIRR,$C56:M56,$C$52:M$52)</f>
        <v>42980.799942354541</v>
      </c>
      <c r="N57" s="77">
        <f ca="1">XNPV(BlendedReqIRR,$C56:N56,$C$52:N$52)</f>
        <v>47010.09693291712</v>
      </c>
      <c r="O57" s="77">
        <f ca="1">XNPV(BlendedReqIRR,$C56:O56,$C$52:O$52)</f>
        <v>50991.848140169815</v>
      </c>
      <c r="P57" s="77">
        <f ca="1">XNPV(BlendedReqIRR,$C56:P56,$C$52:P$52)</f>
        <v>54401.790986542692</v>
      </c>
      <c r="Q57" s="77">
        <f ca="1">XNPV(BlendedReqIRR,$C56:Q56,$C$52:Q$52)</f>
        <v>57771.496440622956</v>
      </c>
      <c r="R57" s="77">
        <f ca="1">XNPV(BlendedReqIRR,$C56:R56,$C$52:R$52)</f>
        <v>61102.714615103236</v>
      </c>
      <c r="S57" s="77">
        <f ca="1">XNPV(BlendedReqIRR,$C56:S56,$C$52:S$52)</f>
        <v>64394.624349959246</v>
      </c>
      <c r="T57" s="77">
        <f ca="1">XNPV(BlendedReqIRR,$C56:T56,$C$52:T$52)</f>
        <v>67647.689485547511</v>
      </c>
      <c r="U57" s="77">
        <f ca="1">XNPV(BlendedReqIRR,$C56:U56,$C$52:U$52)</f>
        <v>70866.063303330098</v>
      </c>
      <c r="V57" s="77">
        <f ca="1">XNPV(BlendedReqIRR,$C56:V56,$C$52:V$52)</f>
        <v>74046.460247104915</v>
      </c>
      <c r="W57" s="77">
        <f ca="1">XNPV(BlendedReqIRR,$C56:W56,$C$52:W$52)</f>
        <v>77190.532109034437</v>
      </c>
      <c r="X57" s="77">
        <f ca="1">XNPV(BlendedReqIRR,$C56:X56,$C$52:X$52)</f>
        <v>80297.50386148876</v>
      </c>
      <c r="Y57" s="77">
        <f ca="1">XNPV(BlendedReqIRR,$C56:Y56,$C$52:Y$52)</f>
        <v>83368.989162033409</v>
      </c>
      <c r="Z57" s="77">
        <f ca="1">XNPV(BlendedReqIRR,$C56:Z56,$C$52:Z$52)</f>
        <v>86404.230875947134</v>
      </c>
      <c r="AA57" s="77">
        <f ca="1">XNPV(BlendedReqIRR,$C56:AA56,$C$52:AA$52)</f>
        <v>89403.656678261177</v>
      </c>
      <c r="AB57" s="77">
        <f ca="1">XNPV(BlendedReqIRR,$C56:AB56,$C$52:AB$52)</f>
        <v>92473.02141933731</v>
      </c>
      <c r="AC57" s="77">
        <f ca="1">XNPV(BlendedReqIRR,$C56:AC56,$C$52:AC$52)</f>
        <v>95506.16759642573</v>
      </c>
      <c r="AD57" s="77">
        <f ca="1">XNPV(BlendedReqIRR,$C56:AD56,$C$52:AD$52)</f>
        <v>98504.670524548914</v>
      </c>
      <c r="AE57" s="77">
        <f ca="1">XNPV(BlendedReqIRR,$C56:AE56,$C$52:AE$52)</f>
        <v>101467.79105946343</v>
      </c>
      <c r="AF57" s="77">
        <f ca="1">XNPV(BlendedReqIRR,$C56:AF56,$C$52:AF$52)</f>
        <v>104395.94671410129</v>
      </c>
      <c r="AG57" s="77">
        <f ca="1">XNPV(BlendedReqIRR,$C56:AG56,$C$52:AG$52)</f>
        <v>107291.76689950218</v>
      </c>
      <c r="AH57" s="77">
        <f ca="1">XNPV(BlendedReqIRR,$C56:AH56,$C$52:AH$52)</f>
        <v>110153.41635006721</v>
      </c>
      <c r="AI57" s="77">
        <f ca="1">XNPV(BlendedReqIRR,$C56:AI56,$C$52:AI$52)</f>
        <v>112982.3813111355</v>
      </c>
      <c r="AJ57" s="77">
        <f ca="1">XNPV(BlendedReqIRR,$C56:AJ56,$C$52:AJ$52)</f>
        <v>115777.96443032287</v>
      </c>
      <c r="AK57" s="77">
        <f ca="1">XNPV(BlendedReqIRR,$C56:AK56,$C$52:AK$52)</f>
        <v>118541.61764031806</v>
      </c>
      <c r="AL57" s="77">
        <f ca="1">XNPV(BlendedReqIRR,$C56:AL56,$C$52:AL$52)</f>
        <v>121272.65968837263</v>
      </c>
      <c r="AM57" s="77">
        <f ca="1">XNPV(BlendedReqIRR,$C56:AM56,$C$52:AM$52)</f>
        <v>123971.47538683542</v>
      </c>
      <c r="AN57" s="77">
        <f ca="1">XNPV(BlendedReqIRR,$C56:AN56,$C$52:AN$52)</f>
        <v>126733.21870568306</v>
      </c>
      <c r="AO57" s="77">
        <f ca="1">XNPV(BlendedReqIRR,$C56:AO56,$C$52:AO$52)</f>
        <v>129462.37339934298</v>
      </c>
      <c r="AP57" s="77">
        <f ca="1">XNPV(BlendedReqIRR,$C56:AP56,$C$52:AP$52)</f>
        <v>132160.35689979393</v>
      </c>
      <c r="AQ57" s="77">
        <f ca="1">XNPV(BlendedReqIRR,$C56:AQ56,$C$52:AQ$52)</f>
        <v>134826.50414216152</v>
      </c>
      <c r="AR57" s="77">
        <f ca="1">XNPV(BlendedReqIRR,$C56:AR56,$C$52:AR$52)</f>
        <v>137461.19079491388</v>
      </c>
      <c r="AS57" s="77">
        <f ca="1">XNPV(BlendedReqIRR,$C56:AS56,$C$52:AS$52)</f>
        <v>140067.78063798696</v>
      </c>
      <c r="AT57" s="77">
        <f ca="1">XNPV(BlendedReqIRR,$C56:AT56,$C$52:AT$52)</f>
        <v>142643.61266992157</v>
      </c>
      <c r="AU57" s="77">
        <f ca="1">XNPV(BlendedReqIRR,$C56:AU56,$C$52:AU$52)</f>
        <v>145190.02469201657</v>
      </c>
      <c r="AV57" s="77">
        <f ca="1">XNPV(BlendedReqIRR,$C56:AV56,$C$52:AV$52)</f>
        <v>147706.38900243785</v>
      </c>
      <c r="AW57" s="77">
        <f ca="1">XNPV(BlendedReqIRR,$C56:AW56,$C$52:AW$52)</f>
        <v>150194.01251693189</v>
      </c>
      <c r="AX57" s="77">
        <f ca="1">XNPV(BlendedReqIRR,$C56:AX56,$C$52:AX$52)</f>
        <v>152652.28202529193</v>
      </c>
      <c r="AY57" s="77">
        <f ca="1">XNPV(BlendedReqIRR,$C56:AY56,$C$52:AY$52)</f>
        <v>155081.54390536458</v>
      </c>
      <c r="AZ57" s="77">
        <f ca="1">XNPV(BlendedReqIRR,$C56:AZ56,$C$52:AZ$52)</f>
        <v>157567.4466205927</v>
      </c>
      <c r="BA57" s="77">
        <f ca="1">XNPV(BlendedReqIRR,$C56:BA56,$C$52:BA$52)</f>
        <v>160024.01563515182</v>
      </c>
      <c r="BB57" s="77">
        <f ca="1">XNPV(BlendedReqIRR,$C56:BB56,$C$52:BB$52)</f>
        <v>162452.52680910486</v>
      </c>
      <c r="BC57" s="77">
        <f ca="1">XNPV(BlendedReqIRR,$C56:BC56,$C$52:BC$52)</f>
        <v>164852.38150369865</v>
      </c>
      <c r="BD57" s="77">
        <f ca="1">XNPV(BlendedReqIRR,$C56:BD56,$C$52:BD$52)</f>
        <v>167223.91786595018</v>
      </c>
      <c r="BE57" s="77">
        <f ca="1">XNPV(BlendedReqIRR,$C56:BE56,$C$52:BE$52)</f>
        <v>169570.16370427998</v>
      </c>
      <c r="BF57" s="77">
        <f ca="1">XNPV(BlendedReqIRR,$C56:BF56,$C$52:BF$52)</f>
        <v>171888.72379582017</v>
      </c>
      <c r="BG57" s="77">
        <f ca="1">XNPV(BlendedReqIRR,$C56:BG56,$C$52:BG$52)</f>
        <v>174180.8023233992</v>
      </c>
      <c r="BH57" s="77">
        <f ca="1">XNPV(BlendedReqIRR,$C56:BH56,$C$52:BH$52)</f>
        <v>176445.83427951508</v>
      </c>
      <c r="BI57" s="77">
        <f ca="1">XNPV(BlendedReqIRR,$C56:BI56,$C$52:BI$52)</f>
        <v>178684.99604626696</v>
      </c>
      <c r="BJ57" s="77">
        <f ca="1">XNPV(BlendedReqIRR,$C56:BJ56,$C$52:BJ$52)</f>
        <v>180897.73566036861</v>
      </c>
      <c r="BK57" s="77">
        <f ca="1">XNPV(BlendedReqIRR,$C56:BK56,$C$52:BK$52)</f>
        <v>183084.36490373817</v>
      </c>
      <c r="BL57" s="77">
        <f ca="1">XNPV(BlendedReqIRR,$C56:BL56,$C$52:BL$52)</f>
        <v>185321.97625188975</v>
      </c>
      <c r="BM57" s="77">
        <f ca="1">XNPV(BlendedReqIRR,$C56:BM56,$C$52:BM$52)</f>
        <v>187533.18374236091</v>
      </c>
      <c r="BN57" s="77">
        <f ca="1">XNPV(BlendedReqIRR,$C56:BN56,$C$52:BN$52)</f>
        <v>189719.13580261744</v>
      </c>
      <c r="BO57" s="77">
        <f ca="1">XNPV(BlendedReqIRR,$C56:BO56,$C$52:BO$52)</f>
        <v>191879.29358580129</v>
      </c>
      <c r="BP57" s="77">
        <f ca="1">XNPV(BlendedReqIRR,$C56:BP56,$C$52:BP$52)</f>
        <v>194013.9614648865</v>
      </c>
      <c r="BQ57" s="77">
        <f ca="1">XNPV(BlendedReqIRR,$C56:BQ56,$C$52:BQ$52)</f>
        <v>196125.8648315146</v>
      </c>
      <c r="BR57" s="77">
        <f ca="1">XNPV(BlendedReqIRR,$C56:BR56,$C$52:BR$52)</f>
        <v>198212.84769710337</v>
      </c>
      <c r="BS57" s="77">
        <f ca="1">XNPV(BlendedReqIRR,$C56:BS56,$C$52:BS$52)</f>
        <v>200275.99397098913</v>
      </c>
      <c r="BT57" s="77">
        <f ca="1">XNPV(BlendedReqIRR,$C56:BT56,$C$52:BT$52)</f>
        <v>202314.7950784837</v>
      </c>
      <c r="BU57" s="77">
        <f ca="1">XNPV(BlendedReqIRR,$C56:BU56,$C$52:BU$52)</f>
        <v>204330.30990492427</v>
      </c>
      <c r="BV57" s="77">
        <f ca="1">XNPV(BlendedReqIRR,$C56:BV56,$C$52:BV$52)</f>
        <v>206322.04161698528</v>
      </c>
      <c r="BW57" s="77">
        <f ca="1">XNPV(BlendedReqIRR,$C56:BW56,$C$52:BW$52)</f>
        <v>208290.27085588165</v>
      </c>
      <c r="BX57" s="77">
        <f ca="1">XNPV(BlendedReqIRR,$C56:BX56,$C$52:BX$52)</f>
        <v>210304.38878363516</v>
      </c>
      <c r="BY57" s="77">
        <f ca="1">XNPV(BlendedReqIRR,$C56:BY56,$C$52:BY$52)</f>
        <v>212294.74008044094</v>
      </c>
      <c r="BZ57" s="77">
        <f ca="1">XNPV(BlendedReqIRR,$C56:BZ56,$C$52:BZ$52)</f>
        <v>214262.35846841946</v>
      </c>
      <c r="CA57" s="77">
        <f ca="1">XNPV(BlendedReqIRR,$C56:CA56,$C$52:CA$52)</f>
        <v>216206.75892092922</v>
      </c>
      <c r="CB57" s="77">
        <f ca="1">XNPV(BlendedReqIRR,$C56:CB56,$C$52:CB$52)</f>
        <v>218128.21541006293</v>
      </c>
      <c r="CC57" s="77">
        <f ca="1">XNPV(BlendedReqIRR,$C56:CC56,$C$52:CC$52)</f>
        <v>220028.45335601704</v>
      </c>
      <c r="CD57" s="77">
        <f ca="1">XNPV(BlendedReqIRR,$C56:CD56,$C$52:CD$52)</f>
        <v>221906.26845703635</v>
      </c>
      <c r="CE57" s="77">
        <f ca="1">XNPV(BlendedReqIRR,$C56:CE56,$C$52:CE$52)</f>
        <v>223762.63598769237</v>
      </c>
      <c r="CF57" s="77">
        <f ca="1">XNPV(BlendedReqIRR,$C56:CF56,$C$52:CF$52)</f>
        <v>225597.09834517233</v>
      </c>
      <c r="CG57" s="77">
        <f ca="1">XNPV(BlendedReqIRR,$C56:CG56,$C$52:CG$52)</f>
        <v>227410.60828807772</v>
      </c>
      <c r="CH57" s="77">
        <f ca="1">XNPV(BlendedReqIRR,$C56:CH56,$C$52:CH$52)</f>
        <v>229202.71877818092</v>
      </c>
      <c r="CI57" s="77">
        <f ca="1">XNPV(BlendedReqIRR,$C56:CI56,$C$52:CI$52)</f>
        <v>230973.68232944355</v>
      </c>
      <c r="CJ57" s="77">
        <f ca="1">XNPV(BlendedReqIRR,$C56:CJ56,$C$52:CJ$52)</f>
        <v>232785.9341822225</v>
      </c>
      <c r="CK57" s="77">
        <f ca="1">XNPV(BlendedReqIRR,$C56:CK56,$C$52:CK$52)</f>
        <v>234576.80142768731</v>
      </c>
      <c r="CL57" s="77">
        <f ca="1">XNPV(BlendedReqIRR,$C56:CL56,$C$52:CL$52)</f>
        <v>236347.21418259147</v>
      </c>
      <c r="CM57" s="77">
        <f ca="1">XNPV(BlendedReqIRR,$C56:CM56,$C$52:CM$52)</f>
        <v>238096.73603235491</v>
      </c>
      <c r="CN57" s="77">
        <f ca="1">XNPV(BlendedReqIRR,$C56:CN56,$C$52:CN$52)</f>
        <v>239825.61349006693</v>
      </c>
      <c r="CO57" s="77">
        <f ca="1">XNPV(BlendedReqIRR,$C56:CO56,$C$52:CO$52)</f>
        <v>241536.0538631118</v>
      </c>
      <c r="CP57" s="77">
        <f ca="1">XNPV(BlendedReqIRR,$C56:CP56,$C$52:CP$52)</f>
        <v>243226.31100629506</v>
      </c>
      <c r="CQ57" s="77">
        <f ca="1">XNPV(BlendedReqIRR,$C56:CQ56,$C$52:CQ$52)</f>
        <v>244897.26278283659</v>
      </c>
      <c r="CR57" s="77">
        <f ca="1">XNPV(BlendedReqIRR,$C56:CR56,$C$52:CR$52)</f>
        <v>246548.49729572775</v>
      </c>
      <c r="CS57" s="77">
        <f ca="1">XNPV(BlendedReqIRR,$C56:CS56,$C$52:CS$52)</f>
        <v>248180.87214113495</v>
      </c>
      <c r="CT57" s="77">
        <f ca="1">XNPV(BlendedReqIRR,$C56:CT56,$C$52:CT$52)</f>
        <v>249793.98493143378</v>
      </c>
      <c r="CU57" s="77">
        <f ca="1">XNPV(BlendedReqIRR,$C56:CU56,$C$52:CU$52)</f>
        <v>251388.06295925131</v>
      </c>
      <c r="CV57" s="77">
        <f ca="1">XNPV(BlendedReqIRR,$C56:CV56,$C$52:CV$52)</f>
        <v>253019.3043031173</v>
      </c>
      <c r="CW57" s="77">
        <f ca="1">XNPV(BlendedReqIRR,$C56:CW56,$C$52:CW$52)</f>
        <v>254631.29696721528</v>
      </c>
      <c r="CX57" s="77">
        <f ca="1">XNPV(BlendedReqIRR,$C56:CX56,$C$52:CX$52)</f>
        <v>256224.87816680348</v>
      </c>
      <c r="CY57" s="77">
        <f ca="1">XNPV(BlendedReqIRR,$C56:CY56,$C$52:CY$52)</f>
        <v>257799.65507706284</v>
      </c>
      <c r="CZ57" s="77">
        <f ca="1">XNPV(BlendedReqIRR,$C56:CZ56,$C$52:CZ$52)</f>
        <v>259355.84958897531</v>
      </c>
      <c r="DA57" s="77">
        <f ca="1">XNPV(BlendedReqIRR,$C56:DA56,$C$52:DA$52)</f>
        <v>260895.44854066073</v>
      </c>
      <c r="DB57" s="77">
        <f ca="1">XNPV(BlendedReqIRR,$C56:DB56,$C$52:DB$52)</f>
        <v>262416.88019459858</v>
      </c>
      <c r="DC57" s="77">
        <f ca="1">XNPV(BlendedReqIRR,$C56:DC56,$C$52:DC$52)</f>
        <v>263920.934731677</v>
      </c>
      <c r="DD57" s="77">
        <f ca="1">XNPV(BlendedReqIRR,$C56:DD56,$C$52:DD$52)</f>
        <v>265407.24139579554</v>
      </c>
      <c r="DE57" s="77">
        <f ca="1">XNPV(BlendedReqIRR,$C56:DE56,$C$52:DE$52)</f>
        <v>266876.57212509343</v>
      </c>
      <c r="DF57" s="77">
        <f ca="1">XNPV(BlendedReqIRR,$C56:DF56,$C$52:DF$52)</f>
        <v>268328.56472304248</v>
      </c>
      <c r="DG57" s="77">
        <f ca="1">XNPV(BlendedReqIRR,$C56:DG56,$C$52:DG$52)</f>
        <v>269763.42377993179</v>
      </c>
      <c r="DH57" s="77">
        <f ca="1">XNPV(BlendedReqIRR,$C56:DH56,$C$52:DH$52)</f>
        <v>271231.73326476413</v>
      </c>
      <c r="DI57" s="77">
        <f ca="1">XNPV(BlendedReqIRR,$C56:DI56,$C$52:DI$52)</f>
        <v>272682.71666895237</v>
      </c>
      <c r="DJ57" s="77">
        <f ca="1">XNPV(BlendedReqIRR,$C56:DJ56,$C$52:DJ$52)</f>
        <v>274117.12758491188</v>
      </c>
      <c r="DK57" s="77">
        <f ca="1">XNPV(BlendedReqIRR,$C56:DK56,$C$52:DK$52)</f>
        <v>275534.61242400308</v>
      </c>
      <c r="DL57" s="77">
        <f ca="1">XNPV(BlendedReqIRR,$C56:DL56,$C$52:DL$52)</f>
        <v>276935.37091426412</v>
      </c>
      <c r="DM57" s="77">
        <f ca="1">XNPV(BlendedReqIRR,$C56:DM56,$C$52:DM$52)</f>
        <v>278321.19144419261</v>
      </c>
      <c r="DN57" s="77">
        <f ca="1">XNPV(BlendedReqIRR,$C56:DN56,$C$52:DN$52)</f>
        <v>279690.65926475846</v>
      </c>
      <c r="DO57" s="77">
        <f ca="1">XNPV(BlendedReqIRR,$C56:DO56,$C$52:DO$52)</f>
        <v>281044.48563190014</v>
      </c>
      <c r="DP57" s="77">
        <f ca="1">XNPV(BlendedReqIRR,$C56:DP56,$C$52:DP$52)</f>
        <v>282382.33682142594</v>
      </c>
      <c r="DQ57" s="77">
        <f ca="1">XNPV(BlendedReqIRR,$C56:DQ56,$C$52:DQ$52)</f>
        <v>283704.90766864998</v>
      </c>
      <c r="DR57" s="77">
        <f ca="1">XNPV(BlendedReqIRR,$C56:DR56,$C$52:DR$52)</f>
        <v>285011.87215400458</v>
      </c>
      <c r="DS57" s="77">
        <f ca="1">XNPV(BlendedReqIRR,$C56:DS56,$C$52:DS$52)</f>
        <v>286328.11398085282</v>
      </c>
      <c r="DT57" s="77">
        <f ca="1">XNPV(BlendedReqIRR,$C56:DT56,$C$52:DT$52)</f>
        <v>286328.11398085282</v>
      </c>
      <c r="DU57" s="77">
        <f ca="1">XNPV(BlendedReqIRR,$C56:DU56,$C$52:DU$52)</f>
        <v>286328.11398085282</v>
      </c>
      <c r="DV57" s="77">
        <f ca="1">XNPV(BlendedReqIRR,$C56:DV56,$C$52:DV$52)</f>
        <v>286328.11398085282</v>
      </c>
      <c r="DW57" s="77">
        <f ca="1">XNPV(BlendedReqIRR,$C56:DW56,$C$52:DW$52)</f>
        <v>286328.11398085282</v>
      </c>
      <c r="DX57" s="77">
        <f ca="1">XNPV(BlendedReqIRR,$C56:DX56,$C$52:DX$52)</f>
        <v>286328.11398085282</v>
      </c>
      <c r="DY57" s="77">
        <f ca="1">XNPV(BlendedReqIRR,$C56:DY56,$C$52:DY$52)</f>
        <v>286328.11398085282</v>
      </c>
      <c r="DZ57" s="77">
        <f ca="1">XNPV(BlendedReqIRR,$C56:DZ56,$C$52:DZ$52)</f>
        <v>286328.11398085282</v>
      </c>
      <c r="EA57" s="77">
        <f ca="1">XNPV(BlendedReqIRR,$C56:EA56,$C$52:EA$52)</f>
        <v>286328.11398085282</v>
      </c>
      <c r="EB57" s="77">
        <f ca="1">XNPV(BlendedReqIRR,$C56:EB56,$C$52:EB$52)</f>
        <v>286328.11398085282</v>
      </c>
      <c r="EC57" s="77">
        <f ca="1">XNPV(BlendedReqIRR,$C56:EC56,$C$52:EC$52)</f>
        <v>286328.11398085282</v>
      </c>
      <c r="ED57" s="77">
        <f ca="1">XNPV(BlendedReqIRR,$C56:ED56,$C$52:ED$52)</f>
        <v>286328.11398085282</v>
      </c>
      <c r="EE57" s="77">
        <f ca="1">XNPV(BlendedReqIRR,$C56:EE56,$C$52:EE$52)</f>
        <v>286328.11398085282</v>
      </c>
      <c r="EF57" s="77">
        <f ca="1">XNPV(BlendedReqIRR,$C56:EF56,$C$52:EF$52)</f>
        <v>286328.11398085282</v>
      </c>
      <c r="EG57" s="77">
        <f ca="1">XNPV(BlendedReqIRR,$C56:EG56,$C$52:EG$52)</f>
        <v>286328.11398085282</v>
      </c>
      <c r="EH57" s="77">
        <f ca="1">XNPV(BlendedReqIRR,$C56:EH56,$C$52:EH$52)</f>
        <v>286328.11398085282</v>
      </c>
      <c r="EI57" s="77">
        <f ca="1">XNPV(BlendedReqIRR,$C56:EI56,$C$52:EI$52)</f>
        <v>286328.11398085282</v>
      </c>
      <c r="EJ57" s="77">
        <f ca="1">XNPV(BlendedReqIRR,$C56:EJ56,$C$52:EJ$52)</f>
        <v>286328.11398085282</v>
      </c>
      <c r="EK57" s="77">
        <f ca="1">XNPV(BlendedReqIRR,$C56:EK56,$C$52:EK$52)</f>
        <v>286328.11398085282</v>
      </c>
      <c r="EL57" s="77">
        <f ca="1">XNPV(BlendedReqIRR,$C56:EL56,$C$52:EL$52)</f>
        <v>286328.11398085282</v>
      </c>
      <c r="EM57" s="77">
        <f ca="1">XNPV(BlendedReqIRR,$C56:EM56,$C$52:EM$52)</f>
        <v>286328.11398085282</v>
      </c>
      <c r="EN57" s="77">
        <f ca="1">XNPV(BlendedReqIRR,$C56:EN56,$C$52:EN$52)</f>
        <v>286328.11398085282</v>
      </c>
      <c r="EO57" s="77">
        <f ca="1">XNPV(BlendedReqIRR,$C56:EO56,$C$52:EO$52)</f>
        <v>286328.11398085282</v>
      </c>
      <c r="EP57" s="77">
        <f ca="1">XNPV(BlendedReqIRR,$C56:EP56,$C$52:EP$52)</f>
        <v>286328.11398085282</v>
      </c>
      <c r="EQ57" s="77">
        <f ca="1">XNPV(BlendedReqIRR,$C56:EQ56,$C$52:EQ$52)</f>
        <v>286328.11398085282</v>
      </c>
      <c r="ER57" s="77">
        <f ca="1">XNPV(BlendedReqIRR,$C56:ER56,$C$52:ER$52)</f>
        <v>286328.11398085282</v>
      </c>
      <c r="ES57" s="77">
        <f ca="1">XNPV(BlendedReqIRR,$C56:ES56,$C$52:ES$52)</f>
        <v>286328.11398085282</v>
      </c>
      <c r="ET57" s="77">
        <f ca="1">XNPV(BlendedReqIRR,$C56:ET56,$C$52:ET$52)</f>
        <v>286328.11398085282</v>
      </c>
      <c r="EU57" s="77">
        <f ca="1">XNPV(BlendedReqIRR,$C56:EU56,$C$52:EU$52)</f>
        <v>286328.11398085282</v>
      </c>
      <c r="EV57" s="77">
        <f ca="1">XNPV(BlendedReqIRR,$C56:EV56,$C$52:EV$52)</f>
        <v>286328.11398085282</v>
      </c>
      <c r="EW57" s="77">
        <f ca="1">XNPV(BlendedReqIRR,$C56:EW56,$C$52:EW$52)</f>
        <v>286328.11398085282</v>
      </c>
      <c r="EX57" s="77">
        <f ca="1">XNPV(BlendedReqIRR,$C56:EX56,$C$52:EX$52)</f>
        <v>286328.11398085282</v>
      </c>
      <c r="EY57" s="77">
        <f ca="1">XNPV(BlendedReqIRR,$C56:EY56,$C$52:EY$52)</f>
        <v>286328.11398085282</v>
      </c>
      <c r="EZ57" s="77">
        <f ca="1">XNPV(BlendedReqIRR,$C56:EZ56,$C$52:EZ$52)</f>
        <v>286328.11398085282</v>
      </c>
      <c r="FA57" s="77">
        <f ca="1">XNPV(BlendedReqIRR,$C56:FA56,$C$52:FA$52)</f>
        <v>286328.11398085282</v>
      </c>
      <c r="FB57" s="77">
        <f ca="1">XNPV(BlendedReqIRR,$C56:FB56,$C$52:FB$52)</f>
        <v>286328.11398085282</v>
      </c>
      <c r="FC57" s="77">
        <f ca="1">XNPV(BlendedReqIRR,$C56:FC56,$C$52:FC$52)</f>
        <v>286328.11398085282</v>
      </c>
      <c r="FD57" s="77">
        <f ca="1">XNPV(BlendedReqIRR,$C56:FD56,$C$52:FD$52)</f>
        <v>286328.11398085282</v>
      </c>
      <c r="FE57" s="77">
        <f ca="1">XNPV(BlendedReqIRR,$C56:FE56,$C$52:FE$52)</f>
        <v>286328.11398085282</v>
      </c>
      <c r="FF57" s="77">
        <f ca="1">XNPV(BlendedReqIRR,$C56:FF56,$C$52:FF$52)</f>
        <v>286328.11398085282</v>
      </c>
      <c r="FG57" s="77">
        <f ca="1">XNPV(BlendedReqIRR,$C56:FG56,$C$52:FG$52)</f>
        <v>286328.11398085282</v>
      </c>
      <c r="FH57" s="77">
        <f ca="1">XNPV(BlendedReqIRR,$C56:FH56,$C$52:FH$52)</f>
        <v>286328.11398085282</v>
      </c>
      <c r="FI57" s="77">
        <f ca="1">XNPV(BlendedReqIRR,$C56:FI56,$C$52:FI$52)</f>
        <v>286328.11398085282</v>
      </c>
      <c r="FJ57" s="77">
        <f ca="1">XNPV(BlendedReqIRR,$C56:FJ56,$C$52:FJ$52)</f>
        <v>286328.11398085282</v>
      </c>
      <c r="FK57" s="77">
        <f ca="1">XNPV(BlendedReqIRR,$C56:FK56,$C$52:FK$52)</f>
        <v>286328.11398085282</v>
      </c>
      <c r="FL57" s="77">
        <f ca="1">XNPV(BlendedReqIRR,$C56:FL56,$C$52:FL$52)</f>
        <v>286328.11398085282</v>
      </c>
      <c r="FM57" s="77">
        <f ca="1">XNPV(BlendedReqIRR,$C56:FM56,$C$52:FM$52)</f>
        <v>286328.11398085282</v>
      </c>
      <c r="FN57" s="77">
        <f ca="1">XNPV(BlendedReqIRR,$C56:FN56,$C$52:FN$52)</f>
        <v>286328.11398085282</v>
      </c>
      <c r="FO57" s="77">
        <f ca="1">XNPV(BlendedReqIRR,$C56:FO56,$C$52:FO$52)</f>
        <v>286328.11398085282</v>
      </c>
      <c r="FP57" s="77">
        <f ca="1">XNPV(BlendedReqIRR,$C56:FP56,$C$52:FP$52)</f>
        <v>286328.11398085282</v>
      </c>
      <c r="FQ57" s="77">
        <f ca="1">XNPV(BlendedReqIRR,$C56:FQ56,$C$52:FQ$52)</f>
        <v>286328.11398085282</v>
      </c>
      <c r="FR57" s="77">
        <f ca="1">XNPV(BlendedReqIRR,$C56:FR56,$C$52:FR$52)</f>
        <v>286328.11398085282</v>
      </c>
      <c r="FS57" s="77">
        <f ca="1">XNPV(BlendedReqIRR,$C56:FS56,$C$52:FS$52)</f>
        <v>286328.11398085282</v>
      </c>
      <c r="FT57" s="77">
        <f ca="1">XNPV(BlendedReqIRR,$C56:FT56,$C$52:FT$52)</f>
        <v>286328.11398085282</v>
      </c>
      <c r="FU57" s="77">
        <f ca="1">XNPV(BlendedReqIRR,$C56:FU56,$C$52:FU$52)</f>
        <v>286328.11398085282</v>
      </c>
      <c r="FV57" s="77">
        <f ca="1">XNPV(BlendedReqIRR,$C56:FV56,$C$52:FV$52)</f>
        <v>286328.11398085282</v>
      </c>
      <c r="FW57" s="77">
        <f ca="1">XNPV(BlendedReqIRR,$C56:FW56,$C$52:FW$52)</f>
        <v>286328.11398085282</v>
      </c>
      <c r="FX57" s="77">
        <f ca="1">XNPV(BlendedReqIRR,$C56:FX56,$C$52:FX$52)</f>
        <v>286328.11398085282</v>
      </c>
      <c r="FY57" s="77">
        <f ca="1">XNPV(BlendedReqIRR,$C56:FY56,$C$52:FY$52)</f>
        <v>286328.11398085282</v>
      </c>
      <c r="FZ57" s="77">
        <f ca="1">XNPV(BlendedReqIRR,$C56:FZ56,$C$52:FZ$52)</f>
        <v>286328.11398085282</v>
      </c>
      <c r="GA57" s="486">
        <f ca="1">XNPV(BlendedReqIRR,$C56:GA56,$C$52:GA$52)</f>
        <v>286328.11398085282</v>
      </c>
    </row>
    <row r="58" spans="1:183" x14ac:dyDescent="0.15">
      <c r="A58" s="310" t="s">
        <v>310</v>
      </c>
      <c r="C58" s="320">
        <f>-C28</f>
        <v>-286328.11398085294</v>
      </c>
      <c r="D58" s="53">
        <f>D56</f>
        <v>4579.0138883405989</v>
      </c>
      <c r="E58" s="53">
        <f t="shared" ref="E58:BJ58" si="23">E56</f>
        <v>4579.0138883405989</v>
      </c>
      <c r="F58" s="53">
        <f t="shared" si="23"/>
        <v>4579.0138883405989</v>
      </c>
      <c r="G58" s="53">
        <f t="shared" si="23"/>
        <v>4579.0138883405989</v>
      </c>
      <c r="H58" s="53">
        <f t="shared" si="23"/>
        <v>4579.0138883405989</v>
      </c>
      <c r="I58" s="53">
        <f t="shared" si="23"/>
        <v>4579.0138883405989</v>
      </c>
      <c r="J58" s="53">
        <f t="shared" si="23"/>
        <v>4579.0138883405989</v>
      </c>
      <c r="K58" s="53">
        <f t="shared" si="23"/>
        <v>4579.0138883405989</v>
      </c>
      <c r="L58" s="53">
        <f t="shared" si="23"/>
        <v>4579.0138883405989</v>
      </c>
      <c r="M58" s="53">
        <f t="shared" si="23"/>
        <v>4579.0138883405989</v>
      </c>
      <c r="N58" s="53">
        <f t="shared" si="23"/>
        <v>4579.0138883405989</v>
      </c>
      <c r="O58" s="53">
        <f t="shared" si="23"/>
        <v>4579.0138883405989</v>
      </c>
      <c r="P58" s="53">
        <f t="shared" si="23"/>
        <v>3966.7406235603207</v>
      </c>
      <c r="Q58" s="53">
        <f t="shared" si="23"/>
        <v>3966.7406235603207</v>
      </c>
      <c r="R58" s="53">
        <f t="shared" si="23"/>
        <v>3966.7406235603207</v>
      </c>
      <c r="S58" s="53">
        <f t="shared" si="23"/>
        <v>3966.7406235603207</v>
      </c>
      <c r="T58" s="53">
        <f t="shared" si="23"/>
        <v>3966.7406235603207</v>
      </c>
      <c r="U58" s="53">
        <f t="shared" si="23"/>
        <v>3966.7406235603207</v>
      </c>
      <c r="V58" s="53">
        <f t="shared" si="23"/>
        <v>3966.7406235603207</v>
      </c>
      <c r="W58" s="53">
        <f t="shared" si="23"/>
        <v>3966.7406235603207</v>
      </c>
      <c r="X58" s="53">
        <f t="shared" si="23"/>
        <v>3966.7406235603207</v>
      </c>
      <c r="Y58" s="53">
        <f t="shared" si="23"/>
        <v>3966.7406235603207</v>
      </c>
      <c r="Z58" s="53">
        <f t="shared" si="23"/>
        <v>3966.7406235603207</v>
      </c>
      <c r="AA58" s="53">
        <f t="shared" si="23"/>
        <v>3966.7406235603207</v>
      </c>
      <c r="AB58" s="53">
        <f t="shared" si="23"/>
        <v>4106.1333015849305</v>
      </c>
      <c r="AC58" s="53">
        <f t="shared" si="23"/>
        <v>4106.1333015849305</v>
      </c>
      <c r="AD58" s="53">
        <f t="shared" si="23"/>
        <v>4106.1333015849305</v>
      </c>
      <c r="AE58" s="53">
        <f t="shared" si="23"/>
        <v>4106.1333015849305</v>
      </c>
      <c r="AF58" s="53">
        <f t="shared" si="23"/>
        <v>4106.1333015849305</v>
      </c>
      <c r="AG58" s="53">
        <f t="shared" si="23"/>
        <v>4106.1333015849305</v>
      </c>
      <c r="AH58" s="53">
        <f t="shared" si="23"/>
        <v>4106.1333015849305</v>
      </c>
      <c r="AI58" s="53">
        <f t="shared" si="23"/>
        <v>4106.1333015849305</v>
      </c>
      <c r="AJ58" s="53">
        <f t="shared" si="23"/>
        <v>4106.1333015849305</v>
      </c>
      <c r="AK58" s="53">
        <f t="shared" si="23"/>
        <v>4106.1333015849305</v>
      </c>
      <c r="AL58" s="53">
        <f t="shared" si="23"/>
        <v>4106.1333015849305</v>
      </c>
      <c r="AM58" s="53">
        <f t="shared" si="23"/>
        <v>4106.1333015849305</v>
      </c>
      <c r="AN58" s="53">
        <f t="shared" si="23"/>
        <v>4250.4214260264025</v>
      </c>
      <c r="AO58" s="53">
        <f t="shared" si="23"/>
        <v>4250.4214260264025</v>
      </c>
      <c r="AP58" s="53">
        <f t="shared" si="23"/>
        <v>4250.4214260264025</v>
      </c>
      <c r="AQ58" s="53">
        <f t="shared" si="23"/>
        <v>4250.4214260264025</v>
      </c>
      <c r="AR58" s="53">
        <f t="shared" si="23"/>
        <v>4250.4214260264025</v>
      </c>
      <c r="AS58" s="53">
        <f t="shared" si="23"/>
        <v>4250.4214260264025</v>
      </c>
      <c r="AT58" s="53">
        <f t="shared" si="23"/>
        <v>4250.4214260264025</v>
      </c>
      <c r="AU58" s="53">
        <f t="shared" si="23"/>
        <v>4250.4214260264025</v>
      </c>
      <c r="AV58" s="53">
        <f t="shared" si="23"/>
        <v>4250.4214260264025</v>
      </c>
      <c r="AW58" s="53">
        <f t="shared" si="23"/>
        <v>4250.4214260264025</v>
      </c>
      <c r="AX58" s="53">
        <f t="shared" si="23"/>
        <v>4250.4214260264025</v>
      </c>
      <c r="AY58" s="53">
        <f t="shared" si="23"/>
        <v>4250.4214260264025</v>
      </c>
      <c r="AZ58" s="53">
        <f t="shared" si="23"/>
        <v>4399.7768385899062</v>
      </c>
      <c r="BA58" s="53">
        <f t="shared" si="23"/>
        <v>4399.7768385899062</v>
      </c>
      <c r="BB58" s="53">
        <f t="shared" si="23"/>
        <v>4399.7768385899062</v>
      </c>
      <c r="BC58" s="53">
        <f t="shared" si="23"/>
        <v>4399.7768385899062</v>
      </c>
      <c r="BD58" s="53">
        <f t="shared" si="23"/>
        <v>4399.7768385899062</v>
      </c>
      <c r="BE58" s="53">
        <f t="shared" si="23"/>
        <v>4399.7768385899062</v>
      </c>
      <c r="BF58" s="53">
        <f t="shared" si="23"/>
        <v>4399.7768385899062</v>
      </c>
      <c r="BG58" s="53">
        <f t="shared" si="23"/>
        <v>4399.7768385899062</v>
      </c>
      <c r="BH58" s="53">
        <f t="shared" si="23"/>
        <v>4399.7768385899062</v>
      </c>
      <c r="BI58" s="53">
        <f t="shared" si="23"/>
        <v>4399.7768385899062</v>
      </c>
      <c r="BJ58" s="53">
        <f t="shared" si="23"/>
        <v>4399.7768385899062</v>
      </c>
      <c r="BK58" s="53">
        <f t="shared" ref="BK58:DV58" si="24">BK56</f>
        <v>4399.7768385899062</v>
      </c>
      <c r="BL58" s="53">
        <f t="shared" si="24"/>
        <v>4554.3774104727099</v>
      </c>
      <c r="BM58" s="53">
        <f t="shared" si="24"/>
        <v>4554.3774104727099</v>
      </c>
      <c r="BN58" s="53">
        <f t="shared" si="24"/>
        <v>4554.3774104727099</v>
      </c>
      <c r="BO58" s="53">
        <f t="shared" si="24"/>
        <v>4554.3774104727099</v>
      </c>
      <c r="BP58" s="53">
        <f t="shared" si="24"/>
        <v>4554.3774104727099</v>
      </c>
      <c r="BQ58" s="53">
        <f t="shared" si="24"/>
        <v>4554.3774104727099</v>
      </c>
      <c r="BR58" s="53">
        <f t="shared" si="24"/>
        <v>4554.3774104727099</v>
      </c>
      <c r="BS58" s="53">
        <f t="shared" si="24"/>
        <v>4554.3774104727099</v>
      </c>
      <c r="BT58" s="53">
        <f t="shared" si="24"/>
        <v>4554.3774104727099</v>
      </c>
      <c r="BU58" s="53">
        <f t="shared" si="24"/>
        <v>4554.3774104727099</v>
      </c>
      <c r="BV58" s="53">
        <f t="shared" si="24"/>
        <v>4554.3774104727099</v>
      </c>
      <c r="BW58" s="53">
        <f t="shared" si="24"/>
        <v>4554.3774104727099</v>
      </c>
      <c r="BX58" s="53">
        <f t="shared" si="24"/>
        <v>4714.4072538473765</v>
      </c>
      <c r="BY58" s="53">
        <f t="shared" si="24"/>
        <v>4714.4072538473765</v>
      </c>
      <c r="BZ58" s="53">
        <f t="shared" si="24"/>
        <v>4714.4072538473765</v>
      </c>
      <c r="CA58" s="53">
        <f t="shared" si="24"/>
        <v>4714.4072538473765</v>
      </c>
      <c r="CB58" s="53">
        <f t="shared" si="24"/>
        <v>4714.4072538473765</v>
      </c>
      <c r="CC58" s="53">
        <f t="shared" si="24"/>
        <v>4714.4072538473765</v>
      </c>
      <c r="CD58" s="53">
        <f t="shared" si="24"/>
        <v>4714.4072538473765</v>
      </c>
      <c r="CE58" s="53">
        <f t="shared" si="24"/>
        <v>4714.4072538473765</v>
      </c>
      <c r="CF58" s="53">
        <f t="shared" si="24"/>
        <v>4714.4072538473765</v>
      </c>
      <c r="CG58" s="53">
        <f t="shared" si="24"/>
        <v>4714.4072538473765</v>
      </c>
      <c r="CH58" s="53">
        <f t="shared" si="24"/>
        <v>4714.4072538473765</v>
      </c>
      <c r="CI58" s="53">
        <f t="shared" si="24"/>
        <v>4714.4072538473765</v>
      </c>
      <c r="CJ58" s="53">
        <f t="shared" si="24"/>
        <v>4880.0569407604007</v>
      </c>
      <c r="CK58" s="53">
        <f t="shared" si="24"/>
        <v>4880.0569407604007</v>
      </c>
      <c r="CL58" s="53">
        <f t="shared" si="24"/>
        <v>4880.0569407604007</v>
      </c>
      <c r="CM58" s="53">
        <f t="shared" si="24"/>
        <v>4880.0569407604007</v>
      </c>
      <c r="CN58" s="53">
        <f t="shared" si="24"/>
        <v>4880.0569407604007</v>
      </c>
      <c r="CO58" s="53">
        <f t="shared" si="24"/>
        <v>4880.0569407604007</v>
      </c>
      <c r="CP58" s="53">
        <f t="shared" si="24"/>
        <v>4880.0569407604007</v>
      </c>
      <c r="CQ58" s="53">
        <f t="shared" si="24"/>
        <v>4880.0569407604007</v>
      </c>
      <c r="CR58" s="53">
        <f t="shared" si="24"/>
        <v>4880.0569407604007</v>
      </c>
      <c r="CS58" s="53">
        <f t="shared" si="24"/>
        <v>4880.0569407604007</v>
      </c>
      <c r="CT58" s="53">
        <f t="shared" si="24"/>
        <v>4880.0569407604007</v>
      </c>
      <c r="CU58" s="53">
        <f t="shared" si="24"/>
        <v>4880.0569407604007</v>
      </c>
      <c r="CV58" s="53">
        <f t="shared" si="24"/>
        <v>5051.5237297062304</v>
      </c>
      <c r="CW58" s="53">
        <f t="shared" si="24"/>
        <v>5051.5237297062304</v>
      </c>
      <c r="CX58" s="53">
        <f t="shared" si="24"/>
        <v>5051.5237297062304</v>
      </c>
      <c r="CY58" s="53">
        <f t="shared" si="24"/>
        <v>5051.5237297062304</v>
      </c>
      <c r="CZ58" s="53">
        <f t="shared" si="24"/>
        <v>5051.5237297062304</v>
      </c>
      <c r="DA58" s="53">
        <f t="shared" si="24"/>
        <v>5051.5237297062304</v>
      </c>
      <c r="DB58" s="53">
        <f t="shared" si="24"/>
        <v>5051.5237297062304</v>
      </c>
      <c r="DC58" s="53">
        <f t="shared" si="24"/>
        <v>5051.5237297062304</v>
      </c>
      <c r="DD58" s="53">
        <f t="shared" si="24"/>
        <v>5051.5237297062304</v>
      </c>
      <c r="DE58" s="53">
        <f t="shared" si="24"/>
        <v>5051.5237297062304</v>
      </c>
      <c r="DF58" s="53">
        <f t="shared" si="24"/>
        <v>5051.5237297062304</v>
      </c>
      <c r="DG58" s="53">
        <f t="shared" si="24"/>
        <v>5051.5237297062304</v>
      </c>
      <c r="DH58" s="53">
        <f t="shared" si="24"/>
        <v>5229.0118001457422</v>
      </c>
      <c r="DI58" s="53">
        <f t="shared" si="24"/>
        <v>5229.0118001457422</v>
      </c>
      <c r="DJ58" s="53">
        <f t="shared" si="24"/>
        <v>5229.0118001457422</v>
      </c>
      <c r="DK58" s="53">
        <f t="shared" si="24"/>
        <v>5229.0118001457422</v>
      </c>
      <c r="DL58" s="53">
        <f t="shared" si="24"/>
        <v>5229.0118001457422</v>
      </c>
      <c r="DM58" s="53">
        <f t="shared" si="24"/>
        <v>5229.0118001457422</v>
      </c>
      <c r="DN58" s="53">
        <f t="shared" si="24"/>
        <v>5229.0118001457422</v>
      </c>
      <c r="DO58" s="53">
        <f t="shared" si="24"/>
        <v>5229.0118001457422</v>
      </c>
      <c r="DP58" s="53">
        <f t="shared" si="24"/>
        <v>5229.0118001457422</v>
      </c>
      <c r="DQ58" s="53">
        <f t="shared" si="24"/>
        <v>5229.0118001457422</v>
      </c>
      <c r="DR58" s="53">
        <f t="shared" si="24"/>
        <v>5229.0118001457422</v>
      </c>
      <c r="DS58" s="53">
        <f t="shared" si="24"/>
        <v>5329.0118001457422</v>
      </c>
      <c r="DT58" s="53">
        <f t="shared" si="24"/>
        <v>0</v>
      </c>
      <c r="DU58" s="53">
        <f t="shared" si="24"/>
        <v>0</v>
      </c>
      <c r="DV58" s="53">
        <f t="shared" si="24"/>
        <v>0</v>
      </c>
      <c r="DW58" s="53">
        <f t="shared" ref="DW58:GA58" si="25">DW56</f>
        <v>0</v>
      </c>
      <c r="DX58" s="53">
        <f t="shared" si="25"/>
        <v>0</v>
      </c>
      <c r="DY58" s="53">
        <f t="shared" si="25"/>
        <v>0</v>
      </c>
      <c r="DZ58" s="53">
        <f t="shared" si="25"/>
        <v>0</v>
      </c>
      <c r="EA58" s="53">
        <f t="shared" si="25"/>
        <v>0</v>
      </c>
      <c r="EB58" s="53">
        <f t="shared" si="25"/>
        <v>0</v>
      </c>
      <c r="EC58" s="53">
        <f t="shared" si="25"/>
        <v>0</v>
      </c>
      <c r="ED58" s="53">
        <f t="shared" si="25"/>
        <v>0</v>
      </c>
      <c r="EE58" s="53">
        <f t="shared" si="25"/>
        <v>0</v>
      </c>
      <c r="EF58" s="53">
        <f t="shared" si="25"/>
        <v>0</v>
      </c>
      <c r="EG58" s="53">
        <f t="shared" si="25"/>
        <v>0</v>
      </c>
      <c r="EH58" s="53">
        <f t="shared" si="25"/>
        <v>0</v>
      </c>
      <c r="EI58" s="53">
        <f t="shared" si="25"/>
        <v>0</v>
      </c>
      <c r="EJ58" s="53">
        <f t="shared" si="25"/>
        <v>0</v>
      </c>
      <c r="EK58" s="53">
        <f t="shared" si="25"/>
        <v>0</v>
      </c>
      <c r="EL58" s="53">
        <f t="shared" si="25"/>
        <v>0</v>
      </c>
      <c r="EM58" s="53">
        <f t="shared" si="25"/>
        <v>0</v>
      </c>
      <c r="EN58" s="53">
        <f t="shared" si="25"/>
        <v>0</v>
      </c>
      <c r="EO58" s="53">
        <f t="shared" si="25"/>
        <v>0</v>
      </c>
      <c r="EP58" s="53">
        <f t="shared" si="25"/>
        <v>0</v>
      </c>
      <c r="EQ58" s="53">
        <f t="shared" si="25"/>
        <v>0</v>
      </c>
      <c r="ER58" s="53">
        <f t="shared" si="25"/>
        <v>0</v>
      </c>
      <c r="ES58" s="53">
        <f t="shared" si="25"/>
        <v>0</v>
      </c>
      <c r="ET58" s="53">
        <f t="shared" si="25"/>
        <v>0</v>
      </c>
      <c r="EU58" s="53">
        <f t="shared" si="25"/>
        <v>0</v>
      </c>
      <c r="EV58" s="53">
        <f t="shared" si="25"/>
        <v>0</v>
      </c>
      <c r="EW58" s="53">
        <f t="shared" si="25"/>
        <v>0</v>
      </c>
      <c r="EX58" s="53">
        <f t="shared" si="25"/>
        <v>0</v>
      </c>
      <c r="EY58" s="53">
        <f t="shared" si="25"/>
        <v>0</v>
      </c>
      <c r="EZ58" s="53">
        <f t="shared" si="25"/>
        <v>0</v>
      </c>
      <c r="FA58" s="53">
        <f t="shared" si="25"/>
        <v>0</v>
      </c>
      <c r="FB58" s="53">
        <f t="shared" si="25"/>
        <v>0</v>
      </c>
      <c r="FC58" s="53">
        <f t="shared" si="25"/>
        <v>0</v>
      </c>
      <c r="FD58" s="53">
        <f t="shared" si="25"/>
        <v>0</v>
      </c>
      <c r="FE58" s="53">
        <f t="shared" si="25"/>
        <v>0</v>
      </c>
      <c r="FF58" s="53">
        <f t="shared" si="25"/>
        <v>0</v>
      </c>
      <c r="FG58" s="53">
        <f t="shared" si="25"/>
        <v>0</v>
      </c>
      <c r="FH58" s="53">
        <f t="shared" si="25"/>
        <v>0</v>
      </c>
      <c r="FI58" s="53">
        <f t="shared" si="25"/>
        <v>0</v>
      </c>
      <c r="FJ58" s="53">
        <f t="shared" si="25"/>
        <v>0</v>
      </c>
      <c r="FK58" s="53">
        <f t="shared" si="25"/>
        <v>0</v>
      </c>
      <c r="FL58" s="53">
        <f t="shared" si="25"/>
        <v>0</v>
      </c>
      <c r="FM58" s="53">
        <f t="shared" si="25"/>
        <v>0</v>
      </c>
      <c r="FN58" s="53">
        <f t="shared" si="25"/>
        <v>0</v>
      </c>
      <c r="FO58" s="53">
        <f t="shared" si="25"/>
        <v>0</v>
      </c>
      <c r="FP58" s="53">
        <f t="shared" si="25"/>
        <v>0</v>
      </c>
      <c r="FQ58" s="53">
        <f t="shared" si="25"/>
        <v>0</v>
      </c>
      <c r="FR58" s="53">
        <f t="shared" si="25"/>
        <v>0</v>
      </c>
      <c r="FS58" s="53">
        <f t="shared" si="25"/>
        <v>0</v>
      </c>
      <c r="FT58" s="53">
        <f t="shared" si="25"/>
        <v>0</v>
      </c>
      <c r="FU58" s="53">
        <f t="shared" si="25"/>
        <v>0</v>
      </c>
      <c r="FV58" s="53">
        <f t="shared" si="25"/>
        <v>0</v>
      </c>
      <c r="FW58" s="53">
        <f t="shared" si="25"/>
        <v>0</v>
      </c>
      <c r="FX58" s="53">
        <f t="shared" si="25"/>
        <v>0</v>
      </c>
      <c r="FY58" s="53">
        <f t="shared" si="25"/>
        <v>0</v>
      </c>
      <c r="FZ58" s="53">
        <f t="shared" si="25"/>
        <v>0</v>
      </c>
      <c r="GA58" s="321">
        <f t="shared" si="25"/>
        <v>0</v>
      </c>
    </row>
    <row r="59" spans="1:183" x14ac:dyDescent="0.15">
      <c r="A59" s="322"/>
      <c r="C59" s="2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7"/>
      <c r="BV59" s="77"/>
      <c r="BW59" s="77"/>
      <c r="BX59" s="77"/>
      <c r="BY59" s="77"/>
      <c r="BZ59" s="77"/>
      <c r="CA59" s="77"/>
      <c r="CB59" s="77"/>
      <c r="CC59" s="77"/>
      <c r="CD59" s="77"/>
      <c r="CE59" s="77"/>
      <c r="CF59" s="77"/>
      <c r="CG59" s="77"/>
      <c r="CH59" s="77"/>
      <c r="CI59" s="77"/>
      <c r="CJ59" s="77"/>
      <c r="CK59" s="77"/>
      <c r="CL59" s="77"/>
      <c r="CM59" s="77"/>
      <c r="CN59" s="77"/>
      <c r="CO59" s="77"/>
      <c r="CP59" s="77"/>
      <c r="CQ59" s="77"/>
      <c r="CR59" s="77"/>
      <c r="CS59" s="77"/>
      <c r="CT59" s="77"/>
      <c r="CU59" s="77"/>
      <c r="CV59" s="77"/>
      <c r="CW59" s="77"/>
      <c r="CX59" s="77"/>
      <c r="CY59" s="77"/>
      <c r="CZ59" s="77"/>
      <c r="DA59" s="77"/>
      <c r="DB59" s="77"/>
      <c r="DC59" s="77"/>
      <c r="DD59" s="77"/>
      <c r="DE59" s="77"/>
      <c r="DF59" s="77"/>
      <c r="DG59" s="77"/>
      <c r="DH59" s="77"/>
      <c r="DI59" s="77"/>
      <c r="DJ59" s="77"/>
      <c r="DK59" s="77"/>
      <c r="DL59" s="77"/>
      <c r="DM59" s="77"/>
      <c r="DN59" s="77"/>
      <c r="DO59" s="77"/>
      <c r="DP59" s="77"/>
      <c r="DQ59" s="77"/>
      <c r="DR59" s="77"/>
      <c r="DS59" s="77"/>
      <c r="DT59" s="77"/>
      <c r="DU59" s="77"/>
      <c r="DV59" s="77"/>
      <c r="DW59" s="77"/>
      <c r="DX59" s="77"/>
      <c r="DY59" s="77"/>
      <c r="DZ59" s="77"/>
      <c r="EA59" s="77"/>
      <c r="EB59" s="77"/>
      <c r="EC59" s="77"/>
      <c r="ED59" s="77"/>
      <c r="EE59" s="77"/>
      <c r="EF59" s="77"/>
      <c r="EG59" s="77"/>
      <c r="EH59" s="77"/>
      <c r="EI59" s="77"/>
      <c r="EJ59" s="77"/>
      <c r="EK59" s="77"/>
      <c r="EL59" s="77"/>
      <c r="EM59" s="77"/>
      <c r="EN59" s="77"/>
      <c r="EO59" s="77"/>
      <c r="EP59" s="77"/>
      <c r="EQ59" s="77"/>
      <c r="ER59" s="77"/>
      <c r="ES59" s="77"/>
      <c r="ET59" s="77"/>
      <c r="EU59" s="77"/>
      <c r="EV59" s="77"/>
      <c r="EW59" s="77"/>
      <c r="EX59" s="77"/>
      <c r="EY59" s="77"/>
      <c r="EZ59" s="77"/>
      <c r="FA59" s="77"/>
      <c r="FB59" s="77"/>
      <c r="FC59" s="77"/>
      <c r="FD59" s="77"/>
      <c r="FE59" s="77"/>
      <c r="FF59" s="77"/>
      <c r="FG59" s="77"/>
      <c r="FH59" s="77"/>
      <c r="FI59" s="77"/>
      <c r="FJ59" s="77"/>
      <c r="FK59" s="77"/>
      <c r="FL59" s="77"/>
      <c r="FM59" s="77"/>
      <c r="FN59" s="77"/>
      <c r="FO59" s="77"/>
      <c r="FP59" s="77"/>
      <c r="FQ59" s="77"/>
      <c r="FR59" s="77"/>
      <c r="FS59" s="77"/>
      <c r="FT59" s="77"/>
      <c r="FU59" s="77"/>
      <c r="FV59" s="77"/>
      <c r="FW59" s="77"/>
      <c r="FX59" s="77"/>
      <c r="FY59" s="77"/>
      <c r="FZ59" s="77"/>
      <c r="GA59" s="77"/>
    </row>
    <row r="60" spans="1:183" x14ac:dyDescent="0.15">
      <c r="A60" s="310" t="s">
        <v>855</v>
      </c>
      <c r="C60" s="358">
        <v>0</v>
      </c>
      <c r="D60" s="289">
        <f>D$58*EqInv_PctCashFlow+(D64-D66)</f>
        <v>4121.1124995065393</v>
      </c>
      <c r="E60" s="289">
        <f t="shared" ref="E60:BP60" si="26">E$58*EqInv_PctCashFlow+(E64-E66)</f>
        <v>4121.1124995065393</v>
      </c>
      <c r="F60" s="289">
        <f t="shared" si="26"/>
        <v>4121.1124995065393</v>
      </c>
      <c r="G60" s="289">
        <f t="shared" si="26"/>
        <v>4121.1124995065393</v>
      </c>
      <c r="H60" s="289">
        <f t="shared" si="26"/>
        <v>4121.1124995065393</v>
      </c>
      <c r="I60" s="289">
        <f t="shared" si="26"/>
        <v>4121.1124995065393</v>
      </c>
      <c r="J60" s="289">
        <f t="shared" si="26"/>
        <v>4121.1124995065393</v>
      </c>
      <c r="K60" s="289">
        <f t="shared" si="26"/>
        <v>4121.1124995065393</v>
      </c>
      <c r="L60" s="289">
        <f t="shared" si="26"/>
        <v>4121.1124995065393</v>
      </c>
      <c r="M60" s="289">
        <f t="shared" si="26"/>
        <v>4121.1124995065393</v>
      </c>
      <c r="N60" s="289">
        <f t="shared" si="26"/>
        <v>4121.1124995065393</v>
      </c>
      <c r="O60" s="289">
        <f t="shared" si="26"/>
        <v>4121.1124995065393</v>
      </c>
      <c r="P60" s="289">
        <f t="shared" si="26"/>
        <v>3570.0665612042885</v>
      </c>
      <c r="Q60" s="289">
        <f t="shared" si="26"/>
        <v>3570.0665612042885</v>
      </c>
      <c r="R60" s="289">
        <f t="shared" si="26"/>
        <v>3570.0665612042885</v>
      </c>
      <c r="S60" s="289">
        <f t="shared" si="26"/>
        <v>3570.0665612042885</v>
      </c>
      <c r="T60" s="289">
        <f t="shared" si="26"/>
        <v>3570.0665612042885</v>
      </c>
      <c r="U60" s="289">
        <f t="shared" si="26"/>
        <v>3570.0665612042885</v>
      </c>
      <c r="V60" s="289">
        <f t="shared" si="26"/>
        <v>3570.0665612042885</v>
      </c>
      <c r="W60" s="289">
        <f t="shared" si="26"/>
        <v>3570.0665612042885</v>
      </c>
      <c r="X60" s="289">
        <f t="shared" si="26"/>
        <v>3570.0665612042885</v>
      </c>
      <c r="Y60" s="289">
        <f t="shared" si="26"/>
        <v>3570.0665612042885</v>
      </c>
      <c r="Z60" s="289">
        <f t="shared" si="26"/>
        <v>3570.0665612042885</v>
      </c>
      <c r="AA60" s="289">
        <f t="shared" si="26"/>
        <v>3570.0665612042885</v>
      </c>
      <c r="AB60" s="289">
        <f t="shared" si="26"/>
        <v>3695.5199714264377</v>
      </c>
      <c r="AC60" s="289">
        <f t="shared" si="26"/>
        <v>3695.5199714264377</v>
      </c>
      <c r="AD60" s="289">
        <f t="shared" si="26"/>
        <v>3695.5199714264377</v>
      </c>
      <c r="AE60" s="289">
        <f t="shared" si="26"/>
        <v>3695.5199714264377</v>
      </c>
      <c r="AF60" s="289">
        <f t="shared" si="26"/>
        <v>3695.5199714264377</v>
      </c>
      <c r="AG60" s="289">
        <f t="shared" si="26"/>
        <v>3695.5199714264377</v>
      </c>
      <c r="AH60" s="289">
        <f t="shared" si="26"/>
        <v>3695.5199714264377</v>
      </c>
      <c r="AI60" s="289">
        <f t="shared" si="26"/>
        <v>3695.5199714264377</v>
      </c>
      <c r="AJ60" s="289">
        <f t="shared" si="26"/>
        <v>3695.5199714264377</v>
      </c>
      <c r="AK60" s="289">
        <f t="shared" si="26"/>
        <v>3695.5199714264377</v>
      </c>
      <c r="AL60" s="289">
        <f t="shared" si="26"/>
        <v>3695.5199714264377</v>
      </c>
      <c r="AM60" s="289">
        <f t="shared" si="26"/>
        <v>3695.5199714264377</v>
      </c>
      <c r="AN60" s="289">
        <f t="shared" si="26"/>
        <v>3825.3792834237624</v>
      </c>
      <c r="AO60" s="289">
        <f t="shared" si="26"/>
        <v>3825.3792834237624</v>
      </c>
      <c r="AP60" s="289">
        <f t="shared" si="26"/>
        <v>3825.3792834237624</v>
      </c>
      <c r="AQ60" s="289">
        <f t="shared" si="26"/>
        <v>3825.3792834237624</v>
      </c>
      <c r="AR60" s="289">
        <f t="shared" si="26"/>
        <v>3825.3792834237624</v>
      </c>
      <c r="AS60" s="289">
        <f t="shared" si="26"/>
        <v>3825.3792834237624</v>
      </c>
      <c r="AT60" s="289">
        <f t="shared" si="26"/>
        <v>3825.3792834237624</v>
      </c>
      <c r="AU60" s="289">
        <f t="shared" si="26"/>
        <v>3825.3792834237624</v>
      </c>
      <c r="AV60" s="289">
        <f t="shared" si="26"/>
        <v>3825.3792834237624</v>
      </c>
      <c r="AW60" s="289">
        <f t="shared" si="26"/>
        <v>3825.3792834237624</v>
      </c>
      <c r="AX60" s="289">
        <f t="shared" si="26"/>
        <v>3825.3792834237624</v>
      </c>
      <c r="AY60" s="289">
        <f t="shared" si="26"/>
        <v>3825.3792834237624</v>
      </c>
      <c r="AZ60" s="289">
        <f t="shared" si="26"/>
        <v>3959.7991547309157</v>
      </c>
      <c r="BA60" s="289">
        <f t="shared" si="26"/>
        <v>3959.7991547309157</v>
      </c>
      <c r="BB60" s="289">
        <f t="shared" si="26"/>
        <v>3959.7991547309157</v>
      </c>
      <c r="BC60" s="289">
        <f t="shared" si="26"/>
        <v>3959.7991547309157</v>
      </c>
      <c r="BD60" s="289">
        <f t="shared" si="26"/>
        <v>3959.7991547309157</v>
      </c>
      <c r="BE60" s="289">
        <f t="shared" si="26"/>
        <v>3959.7991547309157</v>
      </c>
      <c r="BF60" s="289">
        <f t="shared" si="26"/>
        <v>3959.7991547309157</v>
      </c>
      <c r="BG60" s="289">
        <f t="shared" si="26"/>
        <v>3959.7991547309157</v>
      </c>
      <c r="BH60" s="289">
        <f t="shared" si="26"/>
        <v>3959.7991547309157</v>
      </c>
      <c r="BI60" s="289">
        <f t="shared" si="26"/>
        <v>3959.7991547309157</v>
      </c>
      <c r="BJ60" s="289">
        <f t="shared" si="26"/>
        <v>3959.7991547309157</v>
      </c>
      <c r="BK60" s="289">
        <f t="shared" si="26"/>
        <v>3959.7991547309157</v>
      </c>
      <c r="BL60" s="289">
        <f t="shared" si="26"/>
        <v>4098.9396694254392</v>
      </c>
      <c r="BM60" s="289">
        <f t="shared" si="26"/>
        <v>4098.9396694254392</v>
      </c>
      <c r="BN60" s="289">
        <f t="shared" si="26"/>
        <v>4098.9396694254392</v>
      </c>
      <c r="BO60" s="289">
        <f t="shared" si="26"/>
        <v>4098.9396694254392</v>
      </c>
      <c r="BP60" s="289">
        <f t="shared" si="26"/>
        <v>4098.9396694254392</v>
      </c>
      <c r="BQ60" s="289">
        <f t="shared" ref="BQ60:EB60" si="27">BQ$58*EqInv_PctCashFlow+(BQ64-BQ66)</f>
        <v>4098.9396694254392</v>
      </c>
      <c r="BR60" s="289">
        <f t="shared" si="27"/>
        <v>4098.9396694254392</v>
      </c>
      <c r="BS60" s="289">
        <f t="shared" si="27"/>
        <v>4098.9396694254392</v>
      </c>
      <c r="BT60" s="289">
        <f t="shared" si="27"/>
        <v>4098.9396694254392</v>
      </c>
      <c r="BU60" s="289">
        <f t="shared" si="27"/>
        <v>4098.9396694254392</v>
      </c>
      <c r="BV60" s="289">
        <f t="shared" si="27"/>
        <v>4098.9396694254392</v>
      </c>
      <c r="BW60" s="289">
        <f t="shared" si="27"/>
        <v>4098.9396694254392</v>
      </c>
      <c r="BX60" s="289">
        <f t="shared" si="27"/>
        <v>4242.966528462639</v>
      </c>
      <c r="BY60" s="289">
        <f t="shared" si="27"/>
        <v>4242.966528462639</v>
      </c>
      <c r="BZ60" s="289">
        <f t="shared" si="27"/>
        <v>4242.966528462639</v>
      </c>
      <c r="CA60" s="289">
        <f t="shared" si="27"/>
        <v>4242.966528462639</v>
      </c>
      <c r="CB60" s="289">
        <f t="shared" si="27"/>
        <v>4242.966528462639</v>
      </c>
      <c r="CC60" s="289">
        <f t="shared" si="27"/>
        <v>4242.966528462639</v>
      </c>
      <c r="CD60" s="289">
        <f t="shared" si="27"/>
        <v>4242.966528462639</v>
      </c>
      <c r="CE60" s="289">
        <f t="shared" si="27"/>
        <v>4242.966528462639</v>
      </c>
      <c r="CF60" s="289">
        <f t="shared" si="27"/>
        <v>4242.966528462639</v>
      </c>
      <c r="CG60" s="289">
        <f t="shared" si="27"/>
        <v>4242.966528462639</v>
      </c>
      <c r="CH60" s="289">
        <f t="shared" si="27"/>
        <v>4242.966528462639</v>
      </c>
      <c r="CI60" s="289">
        <f t="shared" si="27"/>
        <v>4242.966528462639</v>
      </c>
      <c r="CJ60" s="289">
        <f t="shared" si="27"/>
        <v>4392.0512466843611</v>
      </c>
      <c r="CK60" s="289">
        <f t="shared" si="27"/>
        <v>4392.0512466843611</v>
      </c>
      <c r="CL60" s="289">
        <f t="shared" si="27"/>
        <v>4392.0512466843611</v>
      </c>
      <c r="CM60" s="289">
        <f t="shared" si="27"/>
        <v>4392.0512466843611</v>
      </c>
      <c r="CN60" s="289">
        <f t="shared" si="27"/>
        <v>4392.0512466843611</v>
      </c>
      <c r="CO60" s="289">
        <f t="shared" si="27"/>
        <v>4392.0512466843611</v>
      </c>
      <c r="CP60" s="289">
        <f t="shared" si="27"/>
        <v>4392.0512466843611</v>
      </c>
      <c r="CQ60" s="289">
        <f t="shared" si="27"/>
        <v>4392.0512466843611</v>
      </c>
      <c r="CR60" s="289">
        <f t="shared" si="27"/>
        <v>4392.0512466843611</v>
      </c>
      <c r="CS60" s="289">
        <f t="shared" si="27"/>
        <v>4392.0512466843611</v>
      </c>
      <c r="CT60" s="289">
        <f t="shared" si="27"/>
        <v>4392.0512466843611</v>
      </c>
      <c r="CU60" s="289">
        <f t="shared" si="27"/>
        <v>4392.0512466843611</v>
      </c>
      <c r="CV60" s="289">
        <f t="shared" si="27"/>
        <v>4546.3713567356072</v>
      </c>
      <c r="CW60" s="289">
        <f t="shared" si="27"/>
        <v>4546.3713567356072</v>
      </c>
      <c r="CX60" s="289">
        <f t="shared" si="27"/>
        <v>4546.3713567356072</v>
      </c>
      <c r="CY60" s="289">
        <f t="shared" si="27"/>
        <v>4546.3713567356072</v>
      </c>
      <c r="CZ60" s="289">
        <f t="shared" si="27"/>
        <v>4546.3713567356072</v>
      </c>
      <c r="DA60" s="289">
        <f t="shared" si="27"/>
        <v>4546.3713567356072</v>
      </c>
      <c r="DB60" s="289">
        <f t="shared" si="27"/>
        <v>4546.3713567356072</v>
      </c>
      <c r="DC60" s="289">
        <f t="shared" si="27"/>
        <v>4546.3713567356072</v>
      </c>
      <c r="DD60" s="289">
        <f t="shared" si="27"/>
        <v>4546.3713567356072</v>
      </c>
      <c r="DE60" s="289">
        <f t="shared" si="27"/>
        <v>4546.3713567356072</v>
      </c>
      <c r="DF60" s="289">
        <f t="shared" si="27"/>
        <v>4546.3713567356072</v>
      </c>
      <c r="DG60" s="289">
        <f t="shared" si="27"/>
        <v>4546.3713567356072</v>
      </c>
      <c r="DH60" s="289">
        <f t="shared" si="27"/>
        <v>4706.1106201311677</v>
      </c>
      <c r="DI60" s="289">
        <f t="shared" si="27"/>
        <v>4706.1106201311677</v>
      </c>
      <c r="DJ60" s="289">
        <f t="shared" si="27"/>
        <v>4706.1106201311677</v>
      </c>
      <c r="DK60" s="289">
        <f t="shared" si="27"/>
        <v>4706.1106201311677</v>
      </c>
      <c r="DL60" s="289">
        <f t="shared" si="27"/>
        <v>4706.1106201311677</v>
      </c>
      <c r="DM60" s="289">
        <f t="shared" si="27"/>
        <v>4706.1106201311677</v>
      </c>
      <c r="DN60" s="289">
        <f t="shared" si="27"/>
        <v>4706.1106201311677</v>
      </c>
      <c r="DO60" s="289">
        <f t="shared" si="27"/>
        <v>4706.1106201311677</v>
      </c>
      <c r="DP60" s="289">
        <f t="shared" si="27"/>
        <v>4706.1106201311677</v>
      </c>
      <c r="DQ60" s="289">
        <f t="shared" si="27"/>
        <v>4706.1106201311677</v>
      </c>
      <c r="DR60" s="289">
        <f t="shared" si="27"/>
        <v>4706.1106201311677</v>
      </c>
      <c r="DS60" s="289">
        <f t="shared" si="27"/>
        <v>4796.1106201311677</v>
      </c>
      <c r="DT60" s="289">
        <f t="shared" si="27"/>
        <v>0</v>
      </c>
      <c r="DU60" s="289">
        <f t="shared" si="27"/>
        <v>0</v>
      </c>
      <c r="DV60" s="289">
        <f t="shared" si="27"/>
        <v>0</v>
      </c>
      <c r="DW60" s="289">
        <f t="shared" si="27"/>
        <v>0</v>
      </c>
      <c r="DX60" s="289">
        <f t="shared" si="27"/>
        <v>0</v>
      </c>
      <c r="DY60" s="289">
        <f t="shared" si="27"/>
        <v>0</v>
      </c>
      <c r="DZ60" s="289">
        <f t="shared" si="27"/>
        <v>0</v>
      </c>
      <c r="EA60" s="289">
        <f t="shared" si="27"/>
        <v>0</v>
      </c>
      <c r="EB60" s="289">
        <f t="shared" si="27"/>
        <v>0</v>
      </c>
      <c r="EC60" s="289">
        <f t="shared" ref="EC60:GA60" si="28">EC$58*EqInv_PctCashFlow+(EC64-EC66)</f>
        <v>0</v>
      </c>
      <c r="ED60" s="289">
        <f t="shared" si="28"/>
        <v>0</v>
      </c>
      <c r="EE60" s="289">
        <f t="shared" si="28"/>
        <v>0</v>
      </c>
      <c r="EF60" s="289">
        <f t="shared" si="28"/>
        <v>0</v>
      </c>
      <c r="EG60" s="289">
        <f t="shared" si="28"/>
        <v>0</v>
      </c>
      <c r="EH60" s="289">
        <f t="shared" si="28"/>
        <v>0</v>
      </c>
      <c r="EI60" s="289">
        <f t="shared" si="28"/>
        <v>0</v>
      </c>
      <c r="EJ60" s="289">
        <f t="shared" si="28"/>
        <v>0</v>
      </c>
      <c r="EK60" s="289">
        <f t="shared" si="28"/>
        <v>0</v>
      </c>
      <c r="EL60" s="289">
        <f t="shared" si="28"/>
        <v>0</v>
      </c>
      <c r="EM60" s="289">
        <f t="shared" si="28"/>
        <v>0</v>
      </c>
      <c r="EN60" s="289">
        <f t="shared" si="28"/>
        <v>0</v>
      </c>
      <c r="EO60" s="289">
        <f t="shared" si="28"/>
        <v>0</v>
      </c>
      <c r="EP60" s="289">
        <f t="shared" si="28"/>
        <v>0</v>
      </c>
      <c r="EQ60" s="289">
        <f t="shared" si="28"/>
        <v>0</v>
      </c>
      <c r="ER60" s="289">
        <f t="shared" si="28"/>
        <v>0</v>
      </c>
      <c r="ES60" s="493">
        <f t="shared" si="28"/>
        <v>0</v>
      </c>
      <c r="ET60" s="289">
        <f t="shared" si="28"/>
        <v>0</v>
      </c>
      <c r="EU60" s="289">
        <f t="shared" si="28"/>
        <v>0</v>
      </c>
      <c r="EV60" s="289">
        <f t="shared" si="28"/>
        <v>0</v>
      </c>
      <c r="EW60" s="289">
        <f t="shared" si="28"/>
        <v>0</v>
      </c>
      <c r="EX60" s="289">
        <f t="shared" si="28"/>
        <v>0</v>
      </c>
      <c r="EY60" s="289">
        <f t="shared" si="28"/>
        <v>0</v>
      </c>
      <c r="EZ60" s="289">
        <f t="shared" si="28"/>
        <v>0</v>
      </c>
      <c r="FA60" s="289">
        <f t="shared" si="28"/>
        <v>0</v>
      </c>
      <c r="FB60" s="289">
        <f t="shared" si="28"/>
        <v>0</v>
      </c>
      <c r="FC60" s="289">
        <f t="shared" si="28"/>
        <v>0</v>
      </c>
      <c r="FD60" s="289">
        <f t="shared" si="28"/>
        <v>0</v>
      </c>
      <c r="FE60" s="289">
        <f t="shared" si="28"/>
        <v>0</v>
      </c>
      <c r="FF60" s="289">
        <f t="shared" si="28"/>
        <v>0</v>
      </c>
      <c r="FG60" s="289">
        <f t="shared" si="28"/>
        <v>0</v>
      </c>
      <c r="FH60" s="289">
        <f t="shared" si="28"/>
        <v>0</v>
      </c>
      <c r="FI60" s="289">
        <f t="shared" si="28"/>
        <v>0</v>
      </c>
      <c r="FJ60" s="289">
        <f t="shared" si="28"/>
        <v>0</v>
      </c>
      <c r="FK60" s="289">
        <f t="shared" si="28"/>
        <v>0</v>
      </c>
      <c r="FL60" s="289">
        <f t="shared" si="28"/>
        <v>0</v>
      </c>
      <c r="FM60" s="289">
        <f t="shared" si="28"/>
        <v>0</v>
      </c>
      <c r="FN60" s="289">
        <f t="shared" si="28"/>
        <v>0</v>
      </c>
      <c r="FO60" s="289">
        <f t="shared" si="28"/>
        <v>0</v>
      </c>
      <c r="FP60" s="289">
        <f t="shared" si="28"/>
        <v>0</v>
      </c>
      <c r="FQ60" s="289">
        <f t="shared" si="28"/>
        <v>0</v>
      </c>
      <c r="FR60" s="289">
        <f t="shared" si="28"/>
        <v>0</v>
      </c>
      <c r="FS60" s="289">
        <f t="shared" si="28"/>
        <v>0</v>
      </c>
      <c r="FT60" s="289">
        <f t="shared" si="28"/>
        <v>0</v>
      </c>
      <c r="FU60" s="289">
        <f t="shared" si="28"/>
        <v>0</v>
      </c>
      <c r="FV60" s="289">
        <f t="shared" si="28"/>
        <v>0</v>
      </c>
      <c r="FW60" s="289">
        <f t="shared" si="28"/>
        <v>0</v>
      </c>
      <c r="FX60" s="289">
        <f t="shared" si="28"/>
        <v>0</v>
      </c>
      <c r="FY60" s="289">
        <f t="shared" si="28"/>
        <v>0</v>
      </c>
      <c r="FZ60" s="289">
        <f t="shared" si="28"/>
        <v>0</v>
      </c>
      <c r="GA60" s="290">
        <f t="shared" si="28"/>
        <v>0</v>
      </c>
    </row>
    <row r="61" spans="1:183" x14ac:dyDescent="0.15">
      <c r="A61" s="310" t="s">
        <v>856</v>
      </c>
      <c r="C61" s="300"/>
      <c r="D61" s="277">
        <f ca="1">IF(EqInv_Pct=0,0,XNPV(EqInv_ReqIRR,$C60:D60,$C$52:D$52))</f>
        <v>4074.0429822466695</v>
      </c>
      <c r="E61" s="277">
        <f ca="1">IF(EqInv_Pct=0,0,XNPV(EqInv_ReqIRR,$C60:E60,$C$52:E$52))</f>
        <v>8100.0121776062642</v>
      </c>
      <c r="F61" s="277">
        <f ca="1">IF(EqInv_Pct=0,0,XNPV(EqInv_ReqIRR,$C60:F60,$C$52:F$52))</f>
        <v>12079.998540283816</v>
      </c>
      <c r="G61" s="277">
        <f ca="1">IF(EqInv_Pct=0,0,XNPV(EqInv_ReqIRR,$C60:G60,$C$52:G$52))</f>
        <v>16013.020986025145</v>
      </c>
      <c r="H61" s="277">
        <f ca="1">IF(EqInv_Pct=0,0,XNPV(EqInv_ReqIRR,$C60:H60,$C$52:H$52))</f>
        <v>19899.63368996881</v>
      </c>
      <c r="I61" s="277">
        <f ca="1">IF(EqInv_Pct=0,0,XNPV(EqInv_ReqIRR,$C60:I60,$C$52:I$52))</f>
        <v>23744.798801909168</v>
      </c>
      <c r="J61" s="277">
        <f ca="1">IF(EqInv_Pct=0,0,XNPV(EqInv_ReqIRR,$C60:J60,$C$52:J$52))</f>
        <v>27544.59089030938</v>
      </c>
      <c r="K61" s="277">
        <f ca="1">IF(EqInv_Pct=0,0,XNPV(EqInv_ReqIRR,$C60:K60,$C$52:K$52))</f>
        <v>31300.983440524142</v>
      </c>
      <c r="L61" s="277">
        <f ca="1">IF(EqInv_Pct=0,0,XNPV(EqInv_ReqIRR,$C60:L60,$C$52:L$52))</f>
        <v>35013.050485163694</v>
      </c>
      <c r="M61" s="277">
        <f ca="1">IF(EqInv_Pct=0,0,XNPV(EqInv_ReqIRR,$C60:M60,$C$52:M$52))</f>
        <v>38682.719948119084</v>
      </c>
      <c r="N61" s="277">
        <f ca="1">IF(EqInv_Pct=0,0,XNPV(EqInv_ReqIRR,$C60:N60,$C$52:N$52))</f>
        <v>42309.087239625405</v>
      </c>
      <c r="O61" s="277">
        <f ca="1">IF(EqInv_Pct=0,0,XNPV(EqInv_ReqIRR,$C60:O60,$C$52:O$52))</f>
        <v>45892.663326152833</v>
      </c>
      <c r="P61" s="277">
        <f ca="1">IF(EqInv_Pct=0,0,XNPV(EqInv_ReqIRR,$C60:P60,$C$52:P$52))</f>
        <v>48961.611887888423</v>
      </c>
      <c r="Q61" s="277">
        <f ca="1">IF(EqInv_Pct=0,0,XNPV(EqInv_ReqIRR,$C60:Q60,$C$52:Q$52))</f>
        <v>51994.346796560661</v>
      </c>
      <c r="R61" s="277">
        <f ca="1">IF(EqInv_Pct=0,0,XNPV(EqInv_ReqIRR,$C60:R60,$C$52:R$52))</f>
        <v>54992.443153592911</v>
      </c>
      <c r="S61" s="277">
        <f ca="1">IF(EqInv_Pct=0,0,XNPV(EqInv_ReqIRR,$C60:S60,$C$52:S$52))</f>
        <v>57955.161914963319</v>
      </c>
      <c r="T61" s="277">
        <f ca="1">IF(EqInv_Pct=0,0,XNPV(EqInv_ReqIRR,$C60:T60,$C$52:T$52))</f>
        <v>60882.920536992751</v>
      </c>
      <c r="U61" s="277">
        <f ca="1">IF(EqInv_Pct=0,0,XNPV(EqInv_ReqIRR,$C60:U60,$C$52:U$52))</f>
        <v>63779.456972997083</v>
      </c>
      <c r="V61" s="277">
        <f ca="1">IF(EqInv_Pct=0,0,XNPV(EqInv_ReqIRR,$C60:V60,$C$52:V$52))</f>
        <v>66641.814222394416</v>
      </c>
      <c r="W61" s="277">
        <f ca="1">IF(EqInv_Pct=0,0,XNPV(EqInv_ReqIRR,$C60:W60,$C$52:W$52))</f>
        <v>69471.478898130983</v>
      </c>
      <c r="X61" s="277">
        <f ca="1">IF(EqInv_Pct=0,0,XNPV(EqInv_ReqIRR,$C60:X60,$C$52:X$52))</f>
        <v>72267.753475339865</v>
      </c>
      <c r="Y61" s="277">
        <f ca="1">IF(EqInv_Pct=0,0,XNPV(EqInv_ReqIRR,$C60:Y60,$C$52:Y$52))</f>
        <v>75032.090245830055</v>
      </c>
      <c r="Z61" s="277">
        <f ca="1">IF(EqInv_Pct=0,0,XNPV(EqInv_ReqIRR,$C60:Z60,$C$52:Z$52))</f>
        <v>77763.807788352409</v>
      </c>
      <c r="AA61" s="277">
        <f ca="1">IF(EqInv_Pct=0,0,XNPV(EqInv_ReqIRR,$C60:AA60,$C$52:AA$52))</f>
        <v>80463.291010435045</v>
      </c>
      <c r="AB61" s="277">
        <f ca="1">IF(EqInv_Pct=0,0,XNPV(EqInv_ReqIRR,$C60:AB60,$C$52:AB$52))</f>
        <v>83225.719277403565</v>
      </c>
      <c r="AC61" s="277">
        <f ca="1">IF(EqInv_Pct=0,0,XNPV(EqInv_ReqIRR,$C60:AC60,$C$52:AC$52))</f>
        <v>85955.55083678315</v>
      </c>
      <c r="AD61" s="277">
        <f ca="1">IF(EqInv_Pct=0,0,XNPV(EqInv_ReqIRR,$C60:AD60,$C$52:AD$52))</f>
        <v>88654.203472094014</v>
      </c>
      <c r="AE61" s="277">
        <f ca="1">IF(EqInv_Pct=0,0,XNPV(EqInv_ReqIRR,$C60:AE60,$C$52:AE$52))</f>
        <v>91321.011953517082</v>
      </c>
      <c r="AF61" s="277">
        <f ca="1">IF(EqInv_Pct=0,0,XNPV(EqInv_ReqIRR,$C60:AF60,$C$52:AF$52))</f>
        <v>93956.352042691156</v>
      </c>
      <c r="AG61" s="277">
        <f ca="1">IF(EqInv_Pct=0,0,XNPV(EqInv_ReqIRR,$C60:AG60,$C$52:AG$52))</f>
        <v>96562.590209551956</v>
      </c>
      <c r="AH61" s="277">
        <f ca="1">IF(EqInv_Pct=0,0,XNPV(EqInv_ReqIRR,$C60:AH60,$C$52:AH$52))</f>
        <v>99138.074715060488</v>
      </c>
      <c r="AI61" s="277">
        <f ca="1">IF(EqInv_Pct=0,0,XNPV(EqInv_ReqIRR,$C60:AI60,$C$52:AI$52))</f>
        <v>101684.14318002194</v>
      </c>
      <c r="AJ61" s="277">
        <f ca="1">IF(EqInv_Pct=0,0,XNPV(EqInv_ReqIRR,$C60:AJ60,$C$52:AJ$52))</f>
        <v>104200.16798729057</v>
      </c>
      <c r="AK61" s="277">
        <f ca="1">IF(EqInv_Pct=0,0,XNPV(EqInv_ReqIRR,$C60:AK60,$C$52:AK$52))</f>
        <v>106687.45587628623</v>
      </c>
      <c r="AL61" s="277">
        <f ca="1">IF(EqInv_Pct=0,0,XNPV(EqInv_ReqIRR,$C60:AL60,$C$52:AL$52))</f>
        <v>109145.39371953534</v>
      </c>
      <c r="AM61" s="277">
        <f ca="1">IF(EqInv_Pct=0,0,XNPV(EqInv_ReqIRR,$C60:AM60,$C$52:AM$52))</f>
        <v>111574.32784815185</v>
      </c>
      <c r="AN61" s="277">
        <f ca="1">IF(EqInv_Pct=0,0,XNPV(EqInv_ReqIRR,$C60:AN60,$C$52:AN$52))</f>
        <v>114059.89683511472</v>
      </c>
      <c r="AO61" s="277">
        <f ca="1">IF(EqInv_Pct=0,0,XNPV(EqInv_ReqIRR,$C60:AO60,$C$52:AO$52))</f>
        <v>116516.13605940866</v>
      </c>
      <c r="AP61" s="277">
        <f ca="1">IF(EqInv_Pct=0,0,XNPV(EqInv_ReqIRR,$C60:AP60,$C$52:AP$52))</f>
        <v>118944.3212098145</v>
      </c>
      <c r="AQ61" s="277">
        <f ca="1">IF(EqInv_Pct=0,0,XNPV(EqInv_ReqIRR,$C60:AQ60,$C$52:AQ$52))</f>
        <v>121343.85372794532</v>
      </c>
      <c r="AR61" s="277">
        <f ca="1">IF(EqInv_Pct=0,0,XNPV(EqInv_ReqIRR,$C60:AR60,$C$52:AR$52))</f>
        <v>123715.07171542245</v>
      </c>
      <c r="AS61" s="277">
        <f ca="1">IF(EqInv_Pct=0,0,XNPV(EqInv_ReqIRR,$C60:AS60,$C$52:AS$52))</f>
        <v>126061.00257418823</v>
      </c>
      <c r="AT61" s="277">
        <f ca="1">IF(EqInv_Pct=0,0,XNPV(EqInv_ReqIRR,$C60:AT60,$C$52:AT$52))</f>
        <v>128379.25140292938</v>
      </c>
      <c r="AU61" s="277">
        <f ca="1">IF(EqInv_Pct=0,0,XNPV(EqInv_ReqIRR,$C60:AU60,$C$52:AU$52))</f>
        <v>130671.02222281488</v>
      </c>
      <c r="AV61" s="277">
        <f ca="1">IF(EqInv_Pct=0,0,XNPV(EqInv_ReqIRR,$C60:AV60,$C$52:AV$52))</f>
        <v>132935.75010219403</v>
      </c>
      <c r="AW61" s="277">
        <f ca="1">IF(EqInv_Pct=0,0,XNPV(EqInv_ReqIRR,$C60:AW60,$C$52:AW$52))</f>
        <v>135174.61126523867</v>
      </c>
      <c r="AX61" s="277">
        <f ca="1">IF(EqInv_Pct=0,0,XNPV(EqInv_ReqIRR,$C60:AX60,$C$52:AX$52))</f>
        <v>137387.05382276271</v>
      </c>
      <c r="AY61" s="277">
        <f ca="1">IF(EqInv_Pct=0,0,XNPV(EqInv_ReqIRR,$C60:AY60,$C$52:AY$52))</f>
        <v>139573.3895148281</v>
      </c>
      <c r="AZ61" s="277">
        <f ca="1">IF(EqInv_Pct=0,0,XNPV(EqInv_ReqIRR,$C60:AZ60,$C$52:AZ$52))</f>
        <v>141810.70195853341</v>
      </c>
      <c r="BA61" s="277">
        <f ca="1">IF(EqInv_Pct=0,0,XNPV(EqInv_ReqIRR,$C60:BA60,$C$52:BA$52))</f>
        <v>144021.61407163661</v>
      </c>
      <c r="BB61" s="277">
        <f ca="1">IF(EqInv_Pct=0,0,XNPV(EqInv_ReqIRR,$C60:BB60,$C$52:BB$52))</f>
        <v>146207.27412819435</v>
      </c>
      <c r="BC61" s="277">
        <f ca="1">IF(EqInv_Pct=0,0,XNPV(EqInv_ReqIRR,$C60:BC60,$C$52:BC$52))</f>
        <v>148367.14335332875</v>
      </c>
      <c r="BD61" s="277">
        <f ca="1">IF(EqInv_Pct=0,0,XNPV(EqInv_ReqIRR,$C60:BD60,$C$52:BD$52))</f>
        <v>150501.52607935513</v>
      </c>
      <c r="BE61" s="277">
        <f ca="1">IF(EqInv_Pct=0,0,XNPV(EqInv_ReqIRR,$C60:BE60,$C$52:BE$52))</f>
        <v>152613.14733385196</v>
      </c>
      <c r="BF61" s="277">
        <f ca="1">IF(EqInv_Pct=0,0,XNPV(EqInv_ReqIRR,$C60:BF60,$C$52:BF$52))</f>
        <v>154699.85141623812</v>
      </c>
      <c r="BG61" s="277">
        <f ca="1">IF(EqInv_Pct=0,0,XNPV(EqInv_ReqIRR,$C60:BG60,$C$52:BG$52))</f>
        <v>156762.72209105923</v>
      </c>
      <c r="BH61" s="277">
        <f ca="1">IF(EqInv_Pct=0,0,XNPV(EqInv_ReqIRR,$C60:BH60,$C$52:BH$52))</f>
        <v>158801.25085156353</v>
      </c>
      <c r="BI61" s="277">
        <f ca="1">IF(EqInv_Pct=0,0,XNPV(EqInv_ReqIRR,$C60:BI60,$C$52:BI$52))</f>
        <v>160816.49644164022</v>
      </c>
      <c r="BJ61" s="277">
        <f ca="1">IF(EqInv_Pct=0,0,XNPV(EqInv_ReqIRR,$C60:BJ60,$C$52:BJ$52))</f>
        <v>162807.96209433171</v>
      </c>
      <c r="BK61" s="277">
        <f ca="1">IF(EqInv_Pct=0,0,XNPV(EqInv_ReqIRR,$C60:BK60,$C$52:BK$52))</f>
        <v>164775.92841336431</v>
      </c>
      <c r="BL61" s="277">
        <f ca="1">IF(EqInv_Pct=0,0,XNPV(EqInv_ReqIRR,$C60:BL60,$C$52:BL$52))</f>
        <v>166789.77862670075</v>
      </c>
      <c r="BM61" s="277">
        <f ca="1">IF(EqInv_Pct=0,0,XNPV(EqInv_ReqIRR,$C60:BM60,$C$52:BM$52))</f>
        <v>168779.8653681248</v>
      </c>
      <c r="BN61" s="277">
        <f ca="1">IF(EqInv_Pct=0,0,XNPV(EqInv_ReqIRR,$C60:BN60,$C$52:BN$52))</f>
        <v>170747.22222235569</v>
      </c>
      <c r="BO61" s="277">
        <f ca="1">IF(EqInv_Pct=0,0,XNPV(EqInv_ReqIRR,$C60:BO60,$C$52:BO$52))</f>
        <v>172691.36422722114</v>
      </c>
      <c r="BP61" s="277">
        <f ca="1">IF(EqInv_Pct=0,0,XNPV(EqInv_ReqIRR,$C60:BP60,$C$52:BP$52))</f>
        <v>174612.56531839783</v>
      </c>
      <c r="BQ61" s="277">
        <f ca="1">IF(EqInv_Pct=0,0,XNPV(EqInv_ReqIRR,$C60:BQ60,$C$52:BQ$52))</f>
        <v>176513.27834836312</v>
      </c>
      <c r="BR61" s="277">
        <f ca="1">IF(EqInv_Pct=0,0,XNPV(EqInv_ReqIRR,$C60:BR60,$C$52:BR$52))</f>
        <v>178391.56292739301</v>
      </c>
      <c r="BS61" s="277">
        <f ca="1">IF(EqInv_Pct=0,0,XNPV(EqInv_ReqIRR,$C60:BS60,$C$52:BS$52))</f>
        <v>180248.3945738902</v>
      </c>
      <c r="BT61" s="277">
        <f ca="1">IF(EqInv_Pct=0,0,XNPV(EqInv_ReqIRR,$C60:BT60,$C$52:BT$52))</f>
        <v>182083.31557063531</v>
      </c>
      <c r="BU61" s="277">
        <f ca="1">IF(EqInv_Pct=0,0,XNPV(EqInv_ReqIRR,$C60:BU60,$C$52:BU$52))</f>
        <v>183897.27891443181</v>
      </c>
      <c r="BV61" s="277">
        <f ca="1">IF(EqInv_Pct=0,0,XNPV(EqInv_ReqIRR,$C60:BV60,$C$52:BV$52))</f>
        <v>185689.8374552867</v>
      </c>
      <c r="BW61" s="277">
        <f ca="1">IF(EqInv_Pct=0,0,XNPV(EqInv_ReqIRR,$C60:BW60,$C$52:BW$52))</f>
        <v>187461.24377029343</v>
      </c>
      <c r="BX61" s="277">
        <f ca="1">IF(EqInv_Pct=0,0,XNPV(EqInv_ReqIRR,$C60:BX60,$C$52:BX$52))</f>
        <v>189273.94990527158</v>
      </c>
      <c r="BY61" s="277">
        <f ca="1">IF(EqInv_Pct=0,0,XNPV(EqInv_ReqIRR,$C60:BY60,$C$52:BY$52))</f>
        <v>191065.2660723968</v>
      </c>
      <c r="BZ61" s="277">
        <f ca="1">IF(EqInv_Pct=0,0,XNPV(EqInv_ReqIRR,$C60:BZ60,$C$52:BZ$52))</f>
        <v>192836.12262157747</v>
      </c>
      <c r="CA61" s="277">
        <f ca="1">IF(EqInv_Pct=0,0,XNPV(EqInv_ReqIRR,$C60:CA60,$C$52:CA$52))</f>
        <v>194586.08302883623</v>
      </c>
      <c r="CB61" s="277">
        <f ca="1">IF(EqInv_Pct=0,0,XNPV(EqInv_ReqIRR,$C60:CB60,$C$52:CB$52))</f>
        <v>196315.39386905657</v>
      </c>
      <c r="CC61" s="277">
        <f ca="1">IF(EqInv_Pct=0,0,XNPV(EqInv_ReqIRR,$C60:CC60,$C$52:CC$52))</f>
        <v>198025.60802041527</v>
      </c>
      <c r="CD61" s="277">
        <f ca="1">IF(EqInv_Pct=0,0,XNPV(EqInv_ReqIRR,$C60:CD60,$C$52:CD$52))</f>
        <v>199715.64161133266</v>
      </c>
      <c r="CE61" s="277">
        <f ca="1">IF(EqInv_Pct=0,0,XNPV(EqInv_ReqIRR,$C60:CE60,$C$52:CE$52))</f>
        <v>201386.37238892308</v>
      </c>
      <c r="CF61" s="277">
        <f ca="1">IF(EqInv_Pct=0,0,XNPV(EqInv_ReqIRR,$C60:CF60,$C$52:CF$52))</f>
        <v>203037.38851065503</v>
      </c>
      <c r="CG61" s="277">
        <f ca="1">IF(EqInv_Pct=0,0,XNPV(EqInv_ReqIRR,$C60:CG60,$C$52:CG$52))</f>
        <v>204669.5474592699</v>
      </c>
      <c r="CH61" s="277">
        <f ca="1">IF(EqInv_Pct=0,0,XNPV(EqInv_ReqIRR,$C60:CH60,$C$52:CH$52))</f>
        <v>206282.44690036276</v>
      </c>
      <c r="CI61" s="277">
        <f ca="1">IF(EqInv_Pct=0,0,XNPV(EqInv_ReqIRR,$C60:CI60,$C$52:CI$52))</f>
        <v>207876.31409649915</v>
      </c>
      <c r="CJ61" s="277">
        <f ca="1">IF(EqInv_Pct=0,0,XNPV(EqInv_ReqIRR,$C60:CJ60,$C$52:CJ$52))</f>
        <v>209507.3407640002</v>
      </c>
      <c r="CK61" s="277">
        <f ca="1">IF(EqInv_Pct=0,0,XNPV(EqInv_ReqIRR,$C60:CK60,$C$52:CK$52))</f>
        <v>211119.12128491854</v>
      </c>
      <c r="CL61" s="277">
        <f ca="1">IF(EqInv_Pct=0,0,XNPV(EqInv_ReqIRR,$C60:CL60,$C$52:CL$52))</f>
        <v>212712.49276433227</v>
      </c>
      <c r="CM61" s="277">
        <f ca="1">IF(EqInv_Pct=0,0,XNPV(EqInv_ReqIRR,$C60:CM60,$C$52:CM$52))</f>
        <v>214287.06242911934</v>
      </c>
      <c r="CN61" s="277">
        <f ca="1">IF(EqInv_Pct=0,0,XNPV(EqInv_ReqIRR,$C60:CN60,$C$52:CN$52))</f>
        <v>215843.05214106015</v>
      </c>
      <c r="CO61" s="277">
        <f ca="1">IF(EqInv_Pct=0,0,XNPV(EqInv_ReqIRR,$C60:CO60,$C$52:CO$52))</f>
        <v>217382.44847680055</v>
      </c>
      <c r="CP61" s="277">
        <f ca="1">IF(EqInv_Pct=0,0,XNPV(EqInv_ReqIRR,$C60:CP60,$C$52:CP$52))</f>
        <v>218903.67990566549</v>
      </c>
      <c r="CQ61" s="277">
        <f ca="1">IF(EqInv_Pct=0,0,XNPV(EqInv_ReqIRR,$C60:CQ60,$C$52:CQ$52))</f>
        <v>220407.53650455287</v>
      </c>
      <c r="CR61" s="277">
        <f ca="1">IF(EqInv_Pct=0,0,XNPV(EqInv_ReqIRR,$C60:CR60,$C$52:CR$52))</f>
        <v>221893.64756615489</v>
      </c>
      <c r="CS61" s="277">
        <f ca="1">IF(EqInv_Pct=0,0,XNPV(EqInv_ReqIRR,$C60:CS60,$C$52:CS$52))</f>
        <v>223362.78492702136</v>
      </c>
      <c r="CT61" s="277">
        <f ca="1">IF(EqInv_Pct=0,0,XNPV(EqInv_ReqIRR,$C60:CT60,$C$52:CT$52))</f>
        <v>224814.58643829031</v>
      </c>
      <c r="CU61" s="277">
        <f ca="1">IF(EqInv_Pct=0,0,XNPV(EqInv_ReqIRR,$C60:CU60,$C$52:CU$52))</f>
        <v>226249.25666332609</v>
      </c>
      <c r="CV61" s="277">
        <f ca="1">IF(EqInv_Pct=0,0,XNPV(EqInv_ReqIRR,$C60:CV60,$C$52:CV$52))</f>
        <v>227717.37387280547</v>
      </c>
      <c r="CW61" s="277">
        <f ca="1">IF(EqInv_Pct=0,0,XNPV(EqInv_ReqIRR,$C60:CW60,$C$52:CW$52))</f>
        <v>229168.16727049366</v>
      </c>
      <c r="CX61" s="277">
        <f ca="1">IF(EqInv_Pct=0,0,XNPV(EqInv_ReqIRR,$C60:CX60,$C$52:CX$52))</f>
        <v>230602.39035012302</v>
      </c>
      <c r="CY61" s="277">
        <f ca="1">IF(EqInv_Pct=0,0,XNPV(EqInv_ReqIRR,$C60:CY60,$C$52:CY$52))</f>
        <v>232019.68956935644</v>
      </c>
      <c r="CZ61" s="277">
        <f ca="1">IF(EqInv_Pct=0,0,XNPV(EqInv_ReqIRR,$C60:CZ60,$C$52:CZ$52))</f>
        <v>233420.26463007767</v>
      </c>
      <c r="DA61" s="277">
        <f ca="1">IF(EqInv_Pct=0,0,XNPV(EqInv_ReqIRR,$C60:DA60,$C$52:DA$52))</f>
        <v>234805.90368659454</v>
      </c>
      <c r="DB61" s="277">
        <f ca="1">IF(EqInv_Pct=0,0,XNPV(EqInv_ReqIRR,$C60:DB60,$C$52:DB$52))</f>
        <v>236175.1921751386</v>
      </c>
      <c r="DC61" s="277">
        <f ca="1">IF(EqInv_Pct=0,0,XNPV(EqInv_ReqIRR,$C60:DC60,$C$52:DC$52))</f>
        <v>237528.84125850917</v>
      </c>
      <c r="DD61" s="277">
        <f ca="1">IF(EqInv_Pct=0,0,XNPV(EqInv_ReqIRR,$C60:DD60,$C$52:DD$52))</f>
        <v>238866.51725621583</v>
      </c>
      <c r="DE61" s="277">
        <f ca="1">IF(EqInv_Pct=0,0,XNPV(EqInv_ReqIRR,$C60:DE60,$C$52:DE$52))</f>
        <v>240188.91491258392</v>
      </c>
      <c r="DF61" s="277">
        <f ca="1">IF(EqInv_Pct=0,0,XNPV(EqInv_ReqIRR,$C60:DF60,$C$52:DF$52))</f>
        <v>241495.70825073807</v>
      </c>
      <c r="DG61" s="277">
        <f ca="1">IF(EqInv_Pct=0,0,XNPV(EqInv_ReqIRR,$C60:DG60,$C$52:DG$52))</f>
        <v>242787.08140193846</v>
      </c>
      <c r="DH61" s="277">
        <f ca="1">IF(EqInv_Pct=0,0,XNPV(EqInv_ReqIRR,$C60:DH60,$C$52:DH$52))</f>
        <v>244108.5599382876</v>
      </c>
      <c r="DI61" s="277">
        <f ca="1">IF(EqInv_Pct=0,0,XNPV(EqInv_ReqIRR,$C60:DI60,$C$52:DI$52))</f>
        <v>245414.44500205701</v>
      </c>
      <c r="DJ61" s="277">
        <f ca="1">IF(EqInv_Pct=0,0,XNPV(EqInv_ReqIRR,$C60:DJ60,$C$52:DJ$52))</f>
        <v>246705.41482642057</v>
      </c>
      <c r="DK61" s="277">
        <f ca="1">IF(EqInv_Pct=0,0,XNPV(EqInv_ReqIRR,$C60:DK60,$C$52:DK$52))</f>
        <v>247981.15118160265</v>
      </c>
      <c r="DL61" s="277">
        <f ca="1">IF(EqInv_Pct=0,0,XNPV(EqInv_ReqIRR,$C60:DL60,$C$52:DL$52))</f>
        <v>249241.83382283759</v>
      </c>
      <c r="DM61" s="277">
        <f ca="1">IF(EqInv_Pct=0,0,XNPV(EqInv_ReqIRR,$C60:DM60,$C$52:DM$52))</f>
        <v>250489.07229977322</v>
      </c>
      <c r="DN61" s="277">
        <f ca="1">IF(EqInv_Pct=0,0,XNPV(EqInv_ReqIRR,$C60:DN60,$C$52:DN$52))</f>
        <v>251721.59333828249</v>
      </c>
      <c r="DO61" s="277">
        <f ca="1">IF(EqInv_Pct=0,0,XNPV(EqInv_ReqIRR,$C60:DO60,$C$52:DO$52))</f>
        <v>252940.03706870996</v>
      </c>
      <c r="DP61" s="277">
        <f ca="1">IF(EqInv_Pct=0,0,XNPV(EqInv_ReqIRR,$C60:DP60,$C$52:DP$52))</f>
        <v>254144.10313928316</v>
      </c>
      <c r="DQ61" s="277">
        <f ca="1">IF(EqInv_Pct=0,0,XNPV(EqInv_ReqIRR,$C60:DQ60,$C$52:DQ$52))</f>
        <v>255334.41690178477</v>
      </c>
      <c r="DR61" s="277">
        <f ca="1">IF(EqInv_Pct=0,0,XNPV(EqInv_ReqIRR,$C60:DR60,$C$52:DR$52))</f>
        <v>256510.68493860392</v>
      </c>
      <c r="DS61" s="277">
        <f ca="1">IF(EqInv_Pct=0,0,XNPV(EqInv_ReqIRR,$C60:DS60,$C$52:DS$52))</f>
        <v>257695.30258276736</v>
      </c>
      <c r="DT61" s="277">
        <f ca="1">IF(EqInv_Pct=0,0,XNPV(EqInv_ReqIRR,$C60:DT60,$C$52:DT$52))</f>
        <v>257695.30258276736</v>
      </c>
      <c r="DU61" s="277">
        <f ca="1">IF(EqInv_Pct=0,0,XNPV(EqInv_ReqIRR,$C60:DU60,$C$52:DU$52))</f>
        <v>257695.30258276736</v>
      </c>
      <c r="DV61" s="277">
        <f ca="1">IF(EqInv_Pct=0,0,XNPV(EqInv_ReqIRR,$C60:DV60,$C$52:DV$52))</f>
        <v>257695.30258276736</v>
      </c>
      <c r="DW61" s="277">
        <f ca="1">IF(EqInv_Pct=0,0,XNPV(EqInv_ReqIRR,$C60:DW60,$C$52:DW$52))</f>
        <v>257695.30258276736</v>
      </c>
      <c r="DX61" s="277">
        <f ca="1">IF(EqInv_Pct=0,0,XNPV(EqInv_ReqIRR,$C60:DX60,$C$52:DX$52))</f>
        <v>257695.30258276736</v>
      </c>
      <c r="DY61" s="277">
        <f ca="1">IF(EqInv_Pct=0,0,XNPV(EqInv_ReqIRR,$C60:DY60,$C$52:DY$52))</f>
        <v>257695.30258276736</v>
      </c>
      <c r="DZ61" s="277">
        <f ca="1">IF(EqInv_Pct=0,0,XNPV(EqInv_ReqIRR,$C60:DZ60,$C$52:DZ$52))</f>
        <v>257695.30258276736</v>
      </c>
      <c r="EA61" s="277">
        <f ca="1">IF(EqInv_Pct=0,0,XNPV(EqInv_ReqIRR,$C60:EA60,$C$52:EA$52))</f>
        <v>257695.30258276736</v>
      </c>
      <c r="EB61" s="277">
        <f ca="1">IF(EqInv_Pct=0,0,XNPV(EqInv_ReqIRR,$C60:EB60,$C$52:EB$52))</f>
        <v>257695.30258276736</v>
      </c>
      <c r="EC61" s="277">
        <f ca="1">IF(EqInv_Pct=0,0,XNPV(EqInv_ReqIRR,$C60:EC60,$C$52:EC$52))</f>
        <v>257695.30258276736</v>
      </c>
      <c r="ED61" s="277">
        <f ca="1">IF(EqInv_Pct=0,0,XNPV(EqInv_ReqIRR,$C60:ED60,$C$52:ED$52))</f>
        <v>257695.30258276736</v>
      </c>
      <c r="EE61" s="277">
        <f ca="1">IF(EqInv_Pct=0,0,XNPV(EqInv_ReqIRR,$C60:EE60,$C$52:EE$52))</f>
        <v>257695.30258276736</v>
      </c>
      <c r="EF61" s="277">
        <f ca="1">IF(EqInv_Pct=0,0,XNPV(EqInv_ReqIRR,$C60:EF60,$C$52:EF$52))</f>
        <v>257695.30258276736</v>
      </c>
      <c r="EG61" s="277">
        <f ca="1">IF(EqInv_Pct=0,0,XNPV(EqInv_ReqIRR,$C60:EG60,$C$52:EG$52))</f>
        <v>257695.30258276736</v>
      </c>
      <c r="EH61" s="277">
        <f ca="1">IF(EqInv_Pct=0,0,XNPV(EqInv_ReqIRR,$C60:EH60,$C$52:EH$52))</f>
        <v>257695.30258276736</v>
      </c>
      <c r="EI61" s="277">
        <f ca="1">IF(EqInv_Pct=0,0,XNPV(EqInv_ReqIRR,$C60:EI60,$C$52:EI$52))</f>
        <v>257695.30258276736</v>
      </c>
      <c r="EJ61" s="277">
        <f ca="1">IF(EqInv_Pct=0,0,XNPV(EqInv_ReqIRR,$C60:EJ60,$C$52:EJ$52))</f>
        <v>257695.30258276736</v>
      </c>
      <c r="EK61" s="277">
        <f ca="1">IF(EqInv_Pct=0,0,XNPV(EqInv_ReqIRR,$C60:EK60,$C$52:EK$52))</f>
        <v>257695.30258276736</v>
      </c>
      <c r="EL61" s="277">
        <f ca="1">IF(EqInv_Pct=0,0,XNPV(EqInv_ReqIRR,$C60:EL60,$C$52:EL$52))</f>
        <v>257695.30258276736</v>
      </c>
      <c r="EM61" s="277">
        <f ca="1">IF(EqInv_Pct=0,0,XNPV(EqInv_ReqIRR,$C60:EM60,$C$52:EM$52))</f>
        <v>257695.30258276736</v>
      </c>
      <c r="EN61" s="277">
        <f ca="1">IF(EqInv_Pct=0,0,XNPV(EqInv_ReqIRR,$C60:EN60,$C$52:EN$52))</f>
        <v>257695.30258276736</v>
      </c>
      <c r="EO61" s="277">
        <f ca="1">IF(EqInv_Pct=0,0,XNPV(EqInv_ReqIRR,$C60:EO60,$C$52:EO$52))</f>
        <v>257695.30258276736</v>
      </c>
      <c r="EP61" s="277">
        <f ca="1">IF(EqInv_Pct=0,0,XNPV(EqInv_ReqIRR,$C60:EP60,$C$52:EP$52))</f>
        <v>257695.30258276736</v>
      </c>
      <c r="EQ61" s="277">
        <f ca="1">IF(EqInv_Pct=0,0,XNPV(EqInv_ReqIRR,$C60:EQ60,$C$52:EQ$52))</f>
        <v>257695.30258276736</v>
      </c>
      <c r="ER61" s="277">
        <f ca="1">IF(EqInv_Pct=0,0,XNPV(EqInv_ReqIRR,$C60:ER60,$C$52:ER$52))</f>
        <v>257695.30258276736</v>
      </c>
      <c r="ES61" s="277">
        <f ca="1">IF(EqInv_Pct=0,0,XNPV(EqInv_ReqIRR,$C60:ES60,$C$52:ES$52))</f>
        <v>257695.30258276736</v>
      </c>
      <c r="ET61" s="277">
        <f ca="1">IF(EqInv_Pct=0,0,XNPV(EqInv_ReqIRR,$C60:ET60,$C$52:ET$52))</f>
        <v>257695.30258276736</v>
      </c>
      <c r="EU61" s="277">
        <f ca="1">IF(EqInv_Pct=0,0,XNPV(EqInv_ReqIRR,$C60:EU60,$C$52:EU$52))</f>
        <v>257695.30258276736</v>
      </c>
      <c r="EV61" s="277">
        <f ca="1">IF(EqInv_Pct=0,0,XNPV(EqInv_ReqIRR,$C60:EV60,$C$52:EV$52))</f>
        <v>257695.30258276736</v>
      </c>
      <c r="EW61" s="277">
        <f ca="1">IF(EqInv_Pct=0,0,XNPV(EqInv_ReqIRR,$C60:EW60,$C$52:EW$52))</f>
        <v>257695.30258276736</v>
      </c>
      <c r="EX61" s="277">
        <f ca="1">IF(EqInv_Pct=0,0,XNPV(EqInv_ReqIRR,$C60:EX60,$C$52:EX$52))</f>
        <v>257695.30258276736</v>
      </c>
      <c r="EY61" s="277">
        <f ca="1">IF(EqInv_Pct=0,0,XNPV(EqInv_ReqIRR,$C60:EY60,$C$52:EY$52))</f>
        <v>257695.30258276736</v>
      </c>
      <c r="EZ61" s="277">
        <f ca="1">IF(EqInv_Pct=0,0,XNPV(EqInv_ReqIRR,$C60:EZ60,$C$52:EZ$52))</f>
        <v>257695.30258276736</v>
      </c>
      <c r="FA61" s="277">
        <f ca="1">IF(EqInv_Pct=0,0,XNPV(EqInv_ReqIRR,$C60:FA60,$C$52:FA$52))</f>
        <v>257695.30258276736</v>
      </c>
      <c r="FB61" s="277">
        <f ca="1">IF(EqInv_Pct=0,0,XNPV(EqInv_ReqIRR,$C60:FB60,$C$52:FB$52))</f>
        <v>257695.30258276736</v>
      </c>
      <c r="FC61" s="277">
        <f ca="1">IF(EqInv_Pct=0,0,XNPV(EqInv_ReqIRR,$C60:FC60,$C$52:FC$52))</f>
        <v>257695.30258276736</v>
      </c>
      <c r="FD61" s="277">
        <f ca="1">IF(EqInv_Pct=0,0,XNPV(EqInv_ReqIRR,$C60:FD60,$C$52:FD$52))</f>
        <v>257695.30258276736</v>
      </c>
      <c r="FE61" s="277">
        <f ca="1">IF(EqInv_Pct=0,0,XNPV(EqInv_ReqIRR,$C60:FE60,$C$52:FE$52))</f>
        <v>257695.30258276736</v>
      </c>
      <c r="FF61" s="277">
        <f ca="1">IF(EqInv_Pct=0,0,XNPV(EqInv_ReqIRR,$C60:FF60,$C$52:FF$52))</f>
        <v>257695.30258276736</v>
      </c>
      <c r="FG61" s="277">
        <f ca="1">IF(EqInv_Pct=0,0,XNPV(EqInv_ReqIRR,$C60:FG60,$C$52:FG$52))</f>
        <v>257695.30258276736</v>
      </c>
      <c r="FH61" s="277">
        <f ca="1">IF(EqInv_Pct=0,0,XNPV(EqInv_ReqIRR,$C60:FH60,$C$52:FH$52))</f>
        <v>257695.30258276736</v>
      </c>
      <c r="FI61" s="277">
        <f ca="1">IF(EqInv_Pct=0,0,XNPV(EqInv_ReqIRR,$C60:FI60,$C$52:FI$52))</f>
        <v>257695.30258276736</v>
      </c>
      <c r="FJ61" s="277">
        <f ca="1">IF(EqInv_Pct=0,0,XNPV(EqInv_ReqIRR,$C60:FJ60,$C$52:FJ$52))</f>
        <v>257695.30258276736</v>
      </c>
      <c r="FK61" s="277">
        <f ca="1">IF(EqInv_Pct=0,0,XNPV(EqInv_ReqIRR,$C60:FK60,$C$52:FK$52))</f>
        <v>257695.30258276736</v>
      </c>
      <c r="FL61" s="277">
        <f ca="1">IF(EqInv_Pct=0,0,XNPV(EqInv_ReqIRR,$C60:FL60,$C$52:FL$52))</f>
        <v>257695.30258276736</v>
      </c>
      <c r="FM61" s="277">
        <f ca="1">IF(EqInv_Pct=0,0,XNPV(EqInv_ReqIRR,$C60:FM60,$C$52:FM$52))</f>
        <v>257695.30258276736</v>
      </c>
      <c r="FN61" s="277">
        <f ca="1">IF(EqInv_Pct=0,0,XNPV(EqInv_ReqIRR,$C60:FN60,$C$52:FN$52))</f>
        <v>257695.30258276736</v>
      </c>
      <c r="FO61" s="277">
        <f ca="1">IF(EqInv_Pct=0,0,XNPV(EqInv_ReqIRR,$C60:FO60,$C$52:FO$52))</f>
        <v>257695.30258276736</v>
      </c>
      <c r="FP61" s="277">
        <f ca="1">IF(EqInv_Pct=0,0,XNPV(EqInv_ReqIRR,$C60:FP60,$C$52:FP$52))</f>
        <v>257695.30258276736</v>
      </c>
      <c r="FQ61" s="277">
        <f ca="1">IF(EqInv_Pct=0,0,XNPV(EqInv_ReqIRR,$C60:FQ60,$C$52:FQ$52))</f>
        <v>257695.30258276736</v>
      </c>
      <c r="FR61" s="277">
        <f ca="1">IF(EqInv_Pct=0,0,XNPV(EqInv_ReqIRR,$C60:FR60,$C$52:FR$52))</f>
        <v>257695.30258276736</v>
      </c>
      <c r="FS61" s="277">
        <f ca="1">IF(EqInv_Pct=0,0,XNPV(EqInv_ReqIRR,$C60:FS60,$C$52:FS$52))</f>
        <v>257695.30258276736</v>
      </c>
      <c r="FT61" s="277">
        <f ca="1">IF(EqInv_Pct=0,0,XNPV(EqInv_ReqIRR,$C60:FT60,$C$52:FT$52))</f>
        <v>257695.30258276736</v>
      </c>
      <c r="FU61" s="277">
        <f ca="1">IF(EqInv_Pct=0,0,XNPV(EqInv_ReqIRR,$C60:FU60,$C$52:FU$52))</f>
        <v>257695.30258276736</v>
      </c>
      <c r="FV61" s="277">
        <f ca="1">IF(EqInv_Pct=0,0,XNPV(EqInv_ReqIRR,$C60:FV60,$C$52:FV$52))</f>
        <v>257695.30258276736</v>
      </c>
      <c r="FW61" s="277">
        <f ca="1">IF(EqInv_Pct=0,0,XNPV(EqInv_ReqIRR,$C60:FW60,$C$52:FW$52))</f>
        <v>257695.30258276736</v>
      </c>
      <c r="FX61" s="277">
        <f ca="1">IF(EqInv_Pct=0,0,XNPV(EqInv_ReqIRR,$C60:FX60,$C$52:FX$52))</f>
        <v>257695.30258276736</v>
      </c>
      <c r="FY61" s="277">
        <f ca="1">IF(EqInv_Pct=0,0,XNPV(EqInv_ReqIRR,$C60:FY60,$C$52:FY$52))</f>
        <v>257695.30258276736</v>
      </c>
      <c r="FZ61" s="277">
        <f ca="1">IF(EqInv_Pct=0,0,XNPV(EqInv_ReqIRR,$C60:FZ60,$C$52:FZ$52))</f>
        <v>257695.30258276736</v>
      </c>
      <c r="GA61" s="293">
        <f ca="1">IF(EqInv_Pct=0,0,XNPV(EqInv_ReqIRR,$C60:GA60,$C$52:GA$52))</f>
        <v>257695.30258276736</v>
      </c>
    </row>
    <row r="62" spans="1:183" x14ac:dyDescent="0.15">
      <c r="A62" s="310" t="s">
        <v>314</v>
      </c>
      <c r="C62" s="300">
        <f>-C11+C24</f>
        <v>-257695.30258276765</v>
      </c>
      <c r="D62" s="277">
        <f ca="1">IF(EqInv_Pct=0,0,IF($C62+C61&gt;=0,0,IF($C62+D61&gt;=0,-XNPV(EqInv_ReqIRR,$C62:C62,$C$52:C$52)*FV(EqInv_ReqIRR,(D$52-$C$52)/365,0,-1),D60)))</f>
        <v>4121.1124995065393</v>
      </c>
      <c r="E62" s="277">
        <f ca="1">IF(EqInv_Pct=0,0,IF($C62+D61&gt;=0,0,IF($C62+E61&gt;=0,-XNPV(EqInv_ReqIRR,$C62:D62,$C$52:D$52)*FV(EqInv_ReqIRR,(E$52-$C$52)/365,0,-1),E60)))</f>
        <v>4121.1124995065393</v>
      </c>
      <c r="F62" s="277">
        <f ca="1">IF(EqInv_Pct=0,0,IF($C62+E61&gt;=0,0,IF($C62+F61&gt;=0,-XNPV(EqInv_ReqIRR,$C62:E62,$C$52:E$52)*FV(EqInv_ReqIRR,(F$52-$C$52)/365,0,-1),F60)))</f>
        <v>4121.1124995065393</v>
      </c>
      <c r="G62" s="277">
        <f ca="1">IF(EqInv_Pct=0,0,IF($C62+F61&gt;=0,0,IF($C62+G61&gt;=0,-XNPV(EqInv_ReqIRR,$C62:F62,$C$52:F$52)*FV(EqInv_ReqIRR,(G$52-$C$52)/365,0,-1),G60)))</f>
        <v>4121.1124995065393</v>
      </c>
      <c r="H62" s="277">
        <f ca="1">IF(EqInv_Pct=0,0,IF($C62+G61&gt;=0,0,IF($C62+H61&gt;=0,-XNPV(EqInv_ReqIRR,$C62:G62,$C$52:G$52)*FV(EqInv_ReqIRR,(H$52-$C$52)/365,0,-1),H60)))</f>
        <v>4121.1124995065393</v>
      </c>
      <c r="I62" s="277">
        <f ca="1">IF(EqInv_Pct=0,0,IF($C62+H61&gt;=0,0,IF($C62+I61&gt;=0,-XNPV(EqInv_ReqIRR,$C62:H62,$C$52:H$52)*FV(EqInv_ReqIRR,(I$52-$C$52)/365,0,-1),I60)))</f>
        <v>4121.1124995065393</v>
      </c>
      <c r="J62" s="277">
        <f ca="1">IF(EqInv_Pct=0,0,IF($C62+I61&gt;=0,0,IF($C62+J61&gt;=0,-XNPV(EqInv_ReqIRR,$C62:I62,$C$52:I$52)*FV(EqInv_ReqIRR,(J$52-$C$52)/365,0,-1),J60)))</f>
        <v>4121.1124995065393</v>
      </c>
      <c r="K62" s="277">
        <f ca="1">IF(EqInv_Pct=0,0,IF($C62+J61&gt;=0,0,IF($C62+K61&gt;=0,-XNPV(EqInv_ReqIRR,$C62:J62,$C$52:J$52)*FV(EqInv_ReqIRR,(K$52-$C$52)/365,0,-1),K60)))</f>
        <v>4121.1124995065393</v>
      </c>
      <c r="L62" s="277">
        <f ca="1">IF(EqInv_Pct=0,0,IF($C62+K61&gt;=0,0,IF($C62+L61&gt;=0,-XNPV(EqInv_ReqIRR,$C62:K62,$C$52:K$52)*FV(EqInv_ReqIRR,(L$52-$C$52)/365,0,-1),L60)))</f>
        <v>4121.1124995065393</v>
      </c>
      <c r="M62" s="277">
        <f ca="1">IF(EqInv_Pct=0,0,IF($C62+L61&gt;=0,0,IF($C62+M61&gt;=0,-XNPV(EqInv_ReqIRR,$C62:L62,$C$52:L$52)*FV(EqInv_ReqIRR,(M$52-$C$52)/365,0,-1),M60)))</f>
        <v>4121.1124995065393</v>
      </c>
      <c r="N62" s="277">
        <f ca="1">IF(EqInv_Pct=0,0,IF($C62+M61&gt;=0,0,IF($C62+N61&gt;=0,-XNPV(EqInv_ReqIRR,$C62:M62,$C$52:M$52)*FV(EqInv_ReqIRR,(N$52-$C$52)/365,0,-1),N60)))</f>
        <v>4121.1124995065393</v>
      </c>
      <c r="O62" s="277">
        <f ca="1">IF(EqInv_Pct=0,0,IF($C62+N61&gt;=0,0,IF($C62+O61&gt;=0,-XNPV(EqInv_ReqIRR,$C62:N62,$C$52:N$52)*FV(EqInv_ReqIRR,(O$52-$C$52)/365,0,-1),O60)))</f>
        <v>4121.1124995065393</v>
      </c>
      <c r="P62" s="277">
        <f ca="1">IF(EqInv_Pct=0,0,IF($C62+O61&gt;=0,0,IF($C62+P61&gt;=0,-XNPV(EqInv_ReqIRR,$C62:O62,$C$52:O$52)*FV(EqInv_ReqIRR,(P$52-$C$52)/365,0,-1),P60)))</f>
        <v>3570.0665612042885</v>
      </c>
      <c r="Q62" s="277">
        <f ca="1">IF(EqInv_Pct=0,0,IF($C62+P61&gt;=0,0,IF($C62+Q61&gt;=0,-XNPV(EqInv_ReqIRR,$C62:P62,$C$52:P$52)*FV(EqInv_ReqIRR,(Q$52-$C$52)/365,0,-1),Q60)))</f>
        <v>3570.0665612042885</v>
      </c>
      <c r="R62" s="277">
        <f ca="1">IF(EqInv_Pct=0,0,IF($C62+Q61&gt;=0,0,IF($C62+R61&gt;=0,-XNPV(EqInv_ReqIRR,$C62:Q62,$C$52:Q$52)*FV(EqInv_ReqIRR,(R$52-$C$52)/365,0,-1),R60)))</f>
        <v>3570.0665612042885</v>
      </c>
      <c r="S62" s="277">
        <f ca="1">IF(EqInv_Pct=0,0,IF($C62+R61&gt;=0,0,IF($C62+S61&gt;=0,-XNPV(EqInv_ReqIRR,$C62:R62,$C$52:R$52)*FV(EqInv_ReqIRR,(S$52-$C$52)/365,0,-1),S60)))</f>
        <v>3570.0665612042885</v>
      </c>
      <c r="T62" s="277">
        <f ca="1">IF(EqInv_Pct=0,0,IF($C62+S61&gt;=0,0,IF($C62+T61&gt;=0,-XNPV(EqInv_ReqIRR,$C62:S62,$C$52:S$52)*FV(EqInv_ReqIRR,(T$52-$C$52)/365,0,-1),T60)))</f>
        <v>3570.0665612042885</v>
      </c>
      <c r="U62" s="277">
        <f ca="1">IF(EqInv_Pct=0,0,IF($C62+T61&gt;=0,0,IF($C62+U61&gt;=0,-XNPV(EqInv_ReqIRR,$C62:T62,$C$52:T$52)*FV(EqInv_ReqIRR,(U$52-$C$52)/365,0,-1),U60)))</f>
        <v>3570.0665612042885</v>
      </c>
      <c r="V62" s="277">
        <f ca="1">IF(EqInv_Pct=0,0,IF($C62+U61&gt;=0,0,IF($C62+V61&gt;=0,-XNPV(EqInv_ReqIRR,$C62:U62,$C$52:U$52)*FV(EqInv_ReqIRR,(V$52-$C$52)/365,0,-1),V60)))</f>
        <v>3570.0665612042885</v>
      </c>
      <c r="W62" s="277">
        <f ca="1">IF(EqInv_Pct=0,0,IF($C62+V61&gt;=0,0,IF($C62+W61&gt;=0,-XNPV(EqInv_ReqIRR,$C62:V62,$C$52:V$52)*FV(EqInv_ReqIRR,(W$52-$C$52)/365,0,-1),W60)))</f>
        <v>3570.0665612042885</v>
      </c>
      <c r="X62" s="277">
        <f ca="1">IF(EqInv_Pct=0,0,IF($C62+W61&gt;=0,0,IF($C62+X61&gt;=0,-XNPV(EqInv_ReqIRR,$C62:W62,$C$52:W$52)*FV(EqInv_ReqIRR,(X$52-$C$52)/365,0,-1),X60)))</f>
        <v>3570.0665612042885</v>
      </c>
      <c r="Y62" s="277">
        <f ca="1">IF(EqInv_Pct=0,0,IF($C62+X61&gt;=0,0,IF($C62+Y61&gt;=0,-XNPV(EqInv_ReqIRR,$C62:X62,$C$52:X$52)*FV(EqInv_ReqIRR,(Y$52-$C$52)/365,0,-1),Y60)))</f>
        <v>3570.0665612042885</v>
      </c>
      <c r="Z62" s="277">
        <f ca="1">IF(EqInv_Pct=0,0,IF($C62+Y61&gt;=0,0,IF($C62+Z61&gt;=0,-XNPV(EqInv_ReqIRR,$C62:Y62,$C$52:Y$52)*FV(EqInv_ReqIRR,(Z$52-$C$52)/365,0,-1),Z60)))</f>
        <v>3570.0665612042885</v>
      </c>
      <c r="AA62" s="277">
        <f ca="1">IF(EqInv_Pct=0,0,IF($C62+Z61&gt;=0,0,IF($C62+AA61&gt;=0,-XNPV(EqInv_ReqIRR,$C62:Z62,$C$52:Z$52)*FV(EqInv_ReqIRR,(AA$52-$C$52)/365,0,-1),AA60)))</f>
        <v>3570.0665612042885</v>
      </c>
      <c r="AB62" s="277">
        <f ca="1">IF(EqInv_Pct=0,0,IF($C62+AA61&gt;=0,0,IF($C62+AB61&gt;=0,-XNPV(EqInv_ReqIRR,$C62:AA62,$C$52:AA$52)*FV(EqInv_ReqIRR,(AB$52-$C$52)/365,0,-1),AB60)))</f>
        <v>3695.5199714264377</v>
      </c>
      <c r="AC62" s="277">
        <f ca="1">IF(EqInv_Pct=0,0,IF($C62+AB61&gt;=0,0,IF($C62+AC61&gt;=0,-XNPV(EqInv_ReqIRR,$C62:AB62,$C$52:AB$52)*FV(EqInv_ReqIRR,(AC$52-$C$52)/365,0,-1),AC60)))</f>
        <v>3695.5199714264377</v>
      </c>
      <c r="AD62" s="277">
        <f ca="1">IF(EqInv_Pct=0,0,IF($C62+AC61&gt;=0,0,IF($C62+AD61&gt;=0,-XNPV(EqInv_ReqIRR,$C62:AC62,$C$52:AC$52)*FV(EqInv_ReqIRR,(AD$52-$C$52)/365,0,-1),AD60)))</f>
        <v>3695.5199714264377</v>
      </c>
      <c r="AE62" s="277">
        <f ca="1">IF(EqInv_Pct=0,0,IF($C62+AD61&gt;=0,0,IF($C62+AE61&gt;=0,-XNPV(EqInv_ReqIRR,$C62:AD62,$C$52:AD$52)*FV(EqInv_ReqIRR,(AE$52-$C$52)/365,0,-1),AE60)))</f>
        <v>3695.5199714264377</v>
      </c>
      <c r="AF62" s="277">
        <f ca="1">IF(EqInv_Pct=0,0,IF($C62+AE61&gt;=0,0,IF($C62+AF61&gt;=0,-XNPV(EqInv_ReqIRR,$C62:AE62,$C$52:AE$52)*FV(EqInv_ReqIRR,(AF$52-$C$52)/365,0,-1),AF60)))</f>
        <v>3695.5199714264377</v>
      </c>
      <c r="AG62" s="277">
        <f ca="1">IF(EqInv_Pct=0,0,IF($C62+AF61&gt;=0,0,IF($C62+AG61&gt;=0,-XNPV(EqInv_ReqIRR,$C62:AF62,$C$52:AF$52)*FV(EqInv_ReqIRR,(AG$52-$C$52)/365,0,-1),AG60)))</f>
        <v>3695.5199714264377</v>
      </c>
      <c r="AH62" s="277">
        <f ca="1">IF(EqInv_Pct=0,0,IF($C62+AG61&gt;=0,0,IF($C62+AH61&gt;=0,-XNPV(EqInv_ReqIRR,$C62:AG62,$C$52:AG$52)*FV(EqInv_ReqIRR,(AH$52-$C$52)/365,0,-1),AH60)))</f>
        <v>3695.5199714264377</v>
      </c>
      <c r="AI62" s="277">
        <f ca="1">IF(EqInv_Pct=0,0,IF($C62+AH61&gt;=0,0,IF($C62+AI61&gt;=0,-XNPV(EqInv_ReqIRR,$C62:AH62,$C$52:AH$52)*FV(EqInv_ReqIRR,(AI$52-$C$52)/365,0,-1),AI60)))</f>
        <v>3695.5199714264377</v>
      </c>
      <c r="AJ62" s="277">
        <f ca="1">IF(EqInv_Pct=0,0,IF($C62+AI61&gt;=0,0,IF($C62+AJ61&gt;=0,-XNPV(EqInv_ReqIRR,$C62:AI62,$C$52:AI$52)*FV(EqInv_ReqIRR,(AJ$52-$C$52)/365,0,-1),AJ60)))</f>
        <v>3695.5199714264377</v>
      </c>
      <c r="AK62" s="277">
        <f ca="1">IF(EqInv_Pct=0,0,IF($C62+AJ61&gt;=0,0,IF($C62+AK61&gt;=0,-XNPV(EqInv_ReqIRR,$C62:AJ62,$C$52:AJ$52)*FV(EqInv_ReqIRR,(AK$52-$C$52)/365,0,-1),AK60)))</f>
        <v>3695.5199714264377</v>
      </c>
      <c r="AL62" s="277">
        <f ca="1">IF(EqInv_Pct=0,0,IF($C62+AK61&gt;=0,0,IF($C62+AL61&gt;=0,-XNPV(EqInv_ReqIRR,$C62:AK62,$C$52:AK$52)*FV(EqInv_ReqIRR,(AL$52-$C$52)/365,0,-1),AL60)))</f>
        <v>3695.5199714264377</v>
      </c>
      <c r="AM62" s="277">
        <f ca="1">IF(EqInv_Pct=0,0,IF($C62+AL61&gt;=0,0,IF($C62+AM61&gt;=0,-XNPV(EqInv_ReqIRR,$C62:AL62,$C$52:AL$52)*FV(EqInv_ReqIRR,(AM$52-$C$52)/365,0,-1),AM60)))</f>
        <v>3695.5199714264377</v>
      </c>
      <c r="AN62" s="277">
        <f ca="1">IF(EqInv_Pct=0,0,IF($C62+AM61&gt;=0,0,IF($C62+AN61&gt;=0,-XNPV(EqInv_ReqIRR,$C62:AM62,$C$52:AM$52)*FV(EqInv_ReqIRR,(AN$52-$C$52)/365,0,-1),AN60)))</f>
        <v>3825.3792834237624</v>
      </c>
      <c r="AO62" s="277">
        <f ca="1">IF(EqInv_Pct=0,0,IF($C62+AN61&gt;=0,0,IF($C62+AO61&gt;=0,-XNPV(EqInv_ReqIRR,$C62:AN62,$C$52:AN$52)*FV(EqInv_ReqIRR,(AO$52-$C$52)/365,0,-1),AO60)))</f>
        <v>3825.3792834237624</v>
      </c>
      <c r="AP62" s="277">
        <f ca="1">IF(EqInv_Pct=0,0,IF($C62+AO61&gt;=0,0,IF($C62+AP61&gt;=0,-XNPV(EqInv_ReqIRR,$C62:AO62,$C$52:AO$52)*FV(EqInv_ReqIRR,(AP$52-$C$52)/365,0,-1),AP60)))</f>
        <v>3825.3792834237624</v>
      </c>
      <c r="AQ62" s="277">
        <f ca="1">IF(EqInv_Pct=0,0,IF($C62+AP61&gt;=0,0,IF($C62+AQ61&gt;=0,-XNPV(EqInv_ReqIRR,$C62:AP62,$C$52:AP$52)*FV(EqInv_ReqIRR,(AQ$52-$C$52)/365,0,-1),AQ60)))</f>
        <v>3825.3792834237624</v>
      </c>
      <c r="AR62" s="277">
        <f ca="1">IF(EqInv_Pct=0,0,IF($C62+AQ61&gt;=0,0,IF($C62+AR61&gt;=0,-XNPV(EqInv_ReqIRR,$C62:AQ62,$C$52:AQ$52)*FV(EqInv_ReqIRR,(AR$52-$C$52)/365,0,-1),AR60)))</f>
        <v>3825.3792834237624</v>
      </c>
      <c r="AS62" s="277">
        <f ca="1">IF(EqInv_Pct=0,0,IF($C62+AR61&gt;=0,0,IF($C62+AS61&gt;=0,-XNPV(EqInv_ReqIRR,$C62:AR62,$C$52:AR$52)*FV(EqInv_ReqIRR,(AS$52-$C$52)/365,0,-1),AS60)))</f>
        <v>3825.3792834237624</v>
      </c>
      <c r="AT62" s="277">
        <f ca="1">IF(EqInv_Pct=0,0,IF($C62+AS61&gt;=0,0,IF($C62+AT61&gt;=0,-XNPV(EqInv_ReqIRR,$C62:AS62,$C$52:AS$52)*FV(EqInv_ReqIRR,(AT$52-$C$52)/365,0,-1),AT60)))</f>
        <v>3825.3792834237624</v>
      </c>
      <c r="AU62" s="277">
        <f ca="1">IF(EqInv_Pct=0,0,IF($C62+AT61&gt;=0,0,IF($C62+AU61&gt;=0,-XNPV(EqInv_ReqIRR,$C62:AT62,$C$52:AT$52)*FV(EqInv_ReqIRR,(AU$52-$C$52)/365,0,-1),AU60)))</f>
        <v>3825.3792834237624</v>
      </c>
      <c r="AV62" s="277">
        <f ca="1">IF(EqInv_Pct=0,0,IF($C62+AU61&gt;=0,0,IF($C62+AV61&gt;=0,-XNPV(EqInv_ReqIRR,$C62:AU62,$C$52:AU$52)*FV(EqInv_ReqIRR,(AV$52-$C$52)/365,0,-1),AV60)))</f>
        <v>3825.3792834237624</v>
      </c>
      <c r="AW62" s="277">
        <f ca="1">IF(EqInv_Pct=0,0,IF($C62+AV61&gt;=0,0,IF($C62+AW61&gt;=0,-XNPV(EqInv_ReqIRR,$C62:AV62,$C$52:AV$52)*FV(EqInv_ReqIRR,(AW$52-$C$52)/365,0,-1),AW60)))</f>
        <v>3825.3792834237624</v>
      </c>
      <c r="AX62" s="277">
        <f ca="1">IF(EqInv_Pct=0,0,IF($C62+AW61&gt;=0,0,IF($C62+AX61&gt;=0,-XNPV(EqInv_ReqIRR,$C62:AW62,$C$52:AW$52)*FV(EqInv_ReqIRR,(AX$52-$C$52)/365,0,-1),AX60)))</f>
        <v>3825.3792834237624</v>
      </c>
      <c r="AY62" s="277">
        <f ca="1">IF(EqInv_Pct=0,0,IF($C62+AX61&gt;=0,0,IF($C62+AY61&gt;=0,-XNPV(EqInv_ReqIRR,$C62:AX62,$C$52:AX$52)*FV(EqInv_ReqIRR,(AY$52-$C$52)/365,0,-1),AY60)))</f>
        <v>3825.3792834237624</v>
      </c>
      <c r="AZ62" s="277">
        <f ca="1">IF(EqInv_Pct=0,0,IF($C62+AY61&gt;=0,0,IF($C62+AZ61&gt;=0,-XNPV(EqInv_ReqIRR,$C62:AY62,$C$52:AY$52)*FV(EqInv_ReqIRR,(AZ$52-$C$52)/365,0,-1),AZ60)))</f>
        <v>3959.7991547309157</v>
      </c>
      <c r="BA62" s="277">
        <f ca="1">IF(EqInv_Pct=0,0,IF($C62+AZ61&gt;=0,0,IF($C62+BA61&gt;=0,-XNPV(EqInv_ReqIRR,$C62:AZ62,$C$52:AZ$52)*FV(EqInv_ReqIRR,(BA$52-$C$52)/365,0,-1),BA60)))</f>
        <v>3959.7991547309157</v>
      </c>
      <c r="BB62" s="277">
        <f ca="1">IF(EqInv_Pct=0,0,IF($C62+BA61&gt;=0,0,IF($C62+BB61&gt;=0,-XNPV(EqInv_ReqIRR,$C62:BA62,$C$52:BA$52)*FV(EqInv_ReqIRR,(BB$52-$C$52)/365,0,-1),BB60)))</f>
        <v>3959.7991547309157</v>
      </c>
      <c r="BC62" s="277">
        <f ca="1">IF(EqInv_Pct=0,0,IF($C62+BB61&gt;=0,0,IF($C62+BC61&gt;=0,-XNPV(EqInv_ReqIRR,$C62:BB62,$C$52:BB$52)*FV(EqInv_ReqIRR,(BC$52-$C$52)/365,0,-1),BC60)))</f>
        <v>3959.7991547309157</v>
      </c>
      <c r="BD62" s="277">
        <f ca="1">IF(EqInv_Pct=0,0,IF($C62+BC61&gt;=0,0,IF($C62+BD61&gt;=0,-XNPV(EqInv_ReqIRR,$C62:BC62,$C$52:BC$52)*FV(EqInv_ReqIRR,(BD$52-$C$52)/365,0,-1),BD60)))</f>
        <v>3959.7991547309157</v>
      </c>
      <c r="BE62" s="277">
        <f ca="1">IF(EqInv_Pct=0,0,IF($C62+BD61&gt;=0,0,IF($C62+BE61&gt;=0,-XNPV(EqInv_ReqIRR,$C62:BD62,$C$52:BD$52)*FV(EqInv_ReqIRR,(BE$52-$C$52)/365,0,-1),BE60)))</f>
        <v>3959.7991547309157</v>
      </c>
      <c r="BF62" s="277">
        <f ca="1">IF(EqInv_Pct=0,0,IF($C62+BE61&gt;=0,0,IF($C62+BF61&gt;=0,-XNPV(EqInv_ReqIRR,$C62:BE62,$C$52:BE$52)*FV(EqInv_ReqIRR,(BF$52-$C$52)/365,0,-1),BF60)))</f>
        <v>3959.7991547309157</v>
      </c>
      <c r="BG62" s="277">
        <f ca="1">IF(EqInv_Pct=0,0,IF($C62+BF61&gt;=0,0,IF($C62+BG61&gt;=0,-XNPV(EqInv_ReqIRR,$C62:BF62,$C$52:BF$52)*FV(EqInv_ReqIRR,(BG$52-$C$52)/365,0,-1),BG60)))</f>
        <v>3959.7991547309157</v>
      </c>
      <c r="BH62" s="277">
        <f ca="1">IF(EqInv_Pct=0,0,IF($C62+BG61&gt;=0,0,IF($C62+BH61&gt;=0,-XNPV(EqInv_ReqIRR,$C62:BG62,$C$52:BG$52)*FV(EqInv_ReqIRR,(BH$52-$C$52)/365,0,-1),BH60)))</f>
        <v>3959.7991547309157</v>
      </c>
      <c r="BI62" s="277">
        <f ca="1">IF(EqInv_Pct=0,0,IF($C62+BH61&gt;=0,0,IF($C62+BI61&gt;=0,-XNPV(EqInv_ReqIRR,$C62:BH62,$C$52:BH$52)*FV(EqInv_ReqIRR,(BI$52-$C$52)/365,0,-1),BI60)))</f>
        <v>3959.7991547309157</v>
      </c>
      <c r="BJ62" s="277">
        <f ca="1">IF(EqInv_Pct=0,0,IF($C62+BI61&gt;=0,0,IF($C62+BJ61&gt;=0,-XNPV(EqInv_ReqIRR,$C62:BI62,$C$52:BI$52)*FV(EqInv_ReqIRR,(BJ$52-$C$52)/365,0,-1),BJ60)))</f>
        <v>3959.7991547309157</v>
      </c>
      <c r="BK62" s="277">
        <f ca="1">IF(EqInv_Pct=0,0,IF($C62+BJ61&gt;=0,0,IF($C62+BK61&gt;=0,-XNPV(EqInv_ReqIRR,$C62:BJ62,$C$52:BJ$52)*FV(EqInv_ReqIRR,(BK$52-$C$52)/365,0,-1),BK60)))</f>
        <v>3959.7991547309157</v>
      </c>
      <c r="BL62" s="277">
        <f ca="1">IF(EqInv_Pct=0,0,IF($C62+BK61&gt;=0,0,IF($C62+BL61&gt;=0,-XNPV(EqInv_ReqIRR,$C62:BK62,$C$52:BK$52)*FV(EqInv_ReqIRR,(BL$52-$C$52)/365,0,-1),BL60)))</f>
        <v>4098.9396694254392</v>
      </c>
      <c r="BM62" s="277">
        <f ca="1">IF(EqInv_Pct=0,0,IF($C62+BL61&gt;=0,0,IF($C62+BM61&gt;=0,-XNPV(EqInv_ReqIRR,$C62:BL62,$C$52:BL$52)*FV(EqInv_ReqIRR,(BM$52-$C$52)/365,0,-1),BM60)))</f>
        <v>4098.9396694254392</v>
      </c>
      <c r="BN62" s="277">
        <f ca="1">IF(EqInv_Pct=0,0,IF($C62+BM61&gt;=0,0,IF($C62+BN61&gt;=0,-XNPV(EqInv_ReqIRR,$C62:BM62,$C$52:BM$52)*FV(EqInv_ReqIRR,(BN$52-$C$52)/365,0,-1),BN60)))</f>
        <v>4098.9396694254392</v>
      </c>
      <c r="BO62" s="277">
        <f ca="1">IF(EqInv_Pct=0,0,IF($C62+BN61&gt;=0,0,IF($C62+BO61&gt;=0,-XNPV(EqInv_ReqIRR,$C62:BN62,$C$52:BN$52)*FV(EqInv_ReqIRR,(BO$52-$C$52)/365,0,-1),BO60)))</f>
        <v>4098.9396694254392</v>
      </c>
      <c r="BP62" s="277">
        <f ca="1">IF(EqInv_Pct=0,0,IF($C62+BO61&gt;=0,0,IF($C62+BP61&gt;=0,-XNPV(EqInv_ReqIRR,$C62:BO62,$C$52:BO$52)*FV(EqInv_ReqIRR,(BP$52-$C$52)/365,0,-1),BP60)))</f>
        <v>4098.9396694254392</v>
      </c>
      <c r="BQ62" s="277">
        <f ca="1">IF(EqInv_Pct=0,0,IF($C62+BP61&gt;=0,0,IF($C62+BQ61&gt;=0,-XNPV(EqInv_ReqIRR,$C62:BP62,$C$52:BP$52)*FV(EqInv_ReqIRR,(BQ$52-$C$52)/365,0,-1),BQ60)))</f>
        <v>4098.9396694254392</v>
      </c>
      <c r="BR62" s="277">
        <f ca="1">IF(EqInv_Pct=0,0,IF($C62+BQ61&gt;=0,0,IF($C62+BR61&gt;=0,-XNPV(EqInv_ReqIRR,$C62:BQ62,$C$52:BQ$52)*FV(EqInv_ReqIRR,(BR$52-$C$52)/365,0,-1),BR60)))</f>
        <v>4098.9396694254392</v>
      </c>
      <c r="BS62" s="277">
        <f ca="1">IF(EqInv_Pct=0,0,IF($C62+BR61&gt;=0,0,IF($C62+BS61&gt;=0,-XNPV(EqInv_ReqIRR,$C62:BR62,$C$52:BR$52)*FV(EqInv_ReqIRR,(BS$52-$C$52)/365,0,-1),BS60)))</f>
        <v>4098.9396694254392</v>
      </c>
      <c r="BT62" s="277">
        <f ca="1">IF(EqInv_Pct=0,0,IF($C62+BS61&gt;=0,0,IF($C62+BT61&gt;=0,-XNPV(EqInv_ReqIRR,$C62:BS62,$C$52:BS$52)*FV(EqInv_ReqIRR,(BT$52-$C$52)/365,0,-1),BT60)))</f>
        <v>4098.9396694254392</v>
      </c>
      <c r="BU62" s="277">
        <f ca="1">IF(EqInv_Pct=0,0,IF($C62+BT61&gt;=0,0,IF($C62+BU61&gt;=0,-XNPV(EqInv_ReqIRR,$C62:BT62,$C$52:BT$52)*FV(EqInv_ReqIRR,(BU$52-$C$52)/365,0,-1),BU60)))</f>
        <v>4098.9396694254392</v>
      </c>
      <c r="BV62" s="277">
        <f ca="1">IF(EqInv_Pct=0,0,IF($C62+BU61&gt;=0,0,IF($C62+BV61&gt;=0,-XNPV(EqInv_ReqIRR,$C62:BU62,$C$52:BU$52)*FV(EqInv_ReqIRR,(BV$52-$C$52)/365,0,-1),BV60)))</f>
        <v>4098.9396694254392</v>
      </c>
      <c r="BW62" s="277">
        <f ca="1">IF(EqInv_Pct=0,0,IF($C62+BV61&gt;=0,0,IF($C62+BW61&gt;=0,-XNPV(EqInv_ReqIRR,$C62:BV62,$C$52:BV$52)*FV(EqInv_ReqIRR,(BW$52-$C$52)/365,0,-1),BW60)))</f>
        <v>4098.9396694254392</v>
      </c>
      <c r="BX62" s="277">
        <f ca="1">IF(EqInv_Pct=0,0,IF($C62+BW61&gt;=0,0,IF($C62+BX61&gt;=0,-XNPV(EqInv_ReqIRR,$C62:BW62,$C$52:BW$52)*FV(EqInv_ReqIRR,(BX$52-$C$52)/365,0,-1),BX60)))</f>
        <v>4242.966528462639</v>
      </c>
      <c r="BY62" s="277">
        <f ca="1">IF(EqInv_Pct=0,0,IF($C62+BX61&gt;=0,0,IF($C62+BY61&gt;=0,-XNPV(EqInv_ReqIRR,$C62:BX62,$C$52:BX$52)*FV(EqInv_ReqIRR,(BY$52-$C$52)/365,0,-1),BY60)))</f>
        <v>4242.966528462639</v>
      </c>
      <c r="BZ62" s="277">
        <f ca="1">IF(EqInv_Pct=0,0,IF($C62+BY61&gt;=0,0,IF($C62+BZ61&gt;=0,-XNPV(EqInv_ReqIRR,$C62:BY62,$C$52:BY$52)*FV(EqInv_ReqIRR,(BZ$52-$C$52)/365,0,-1),BZ60)))</f>
        <v>4242.966528462639</v>
      </c>
      <c r="CA62" s="277">
        <f ca="1">IF(EqInv_Pct=0,0,IF($C62+BZ61&gt;=0,0,IF($C62+CA61&gt;=0,-XNPV(EqInv_ReqIRR,$C62:BZ62,$C$52:BZ$52)*FV(EqInv_ReqIRR,(CA$52-$C$52)/365,0,-1),CA60)))</f>
        <v>4242.966528462639</v>
      </c>
      <c r="CB62" s="277">
        <f ca="1">IF(EqInv_Pct=0,0,IF($C62+CA61&gt;=0,0,IF($C62+CB61&gt;=0,-XNPV(EqInv_ReqIRR,$C62:CA62,$C$52:CA$52)*FV(EqInv_ReqIRR,(CB$52-$C$52)/365,0,-1),CB60)))</f>
        <v>4242.966528462639</v>
      </c>
      <c r="CC62" s="277">
        <f ca="1">IF(EqInv_Pct=0,0,IF($C62+CB61&gt;=0,0,IF($C62+CC61&gt;=0,-XNPV(EqInv_ReqIRR,$C62:CB62,$C$52:CB$52)*FV(EqInv_ReqIRR,(CC$52-$C$52)/365,0,-1),CC60)))</f>
        <v>4242.966528462639</v>
      </c>
      <c r="CD62" s="277">
        <f ca="1">IF(EqInv_Pct=0,0,IF($C62+CC61&gt;=0,0,IF($C62+CD61&gt;=0,-XNPV(EqInv_ReqIRR,$C62:CC62,$C$52:CC$52)*FV(EqInv_ReqIRR,(CD$52-$C$52)/365,0,-1),CD60)))</f>
        <v>4242.966528462639</v>
      </c>
      <c r="CE62" s="277">
        <f ca="1">IF(EqInv_Pct=0,0,IF($C62+CD61&gt;=0,0,IF($C62+CE61&gt;=0,-XNPV(EqInv_ReqIRR,$C62:CD62,$C$52:CD$52)*FV(EqInv_ReqIRR,(CE$52-$C$52)/365,0,-1),CE60)))</f>
        <v>4242.966528462639</v>
      </c>
      <c r="CF62" s="277">
        <f ca="1">IF(EqInv_Pct=0,0,IF($C62+CE61&gt;=0,0,IF($C62+CF61&gt;=0,-XNPV(EqInv_ReqIRR,$C62:CE62,$C$52:CE$52)*FV(EqInv_ReqIRR,(CF$52-$C$52)/365,0,-1),CF60)))</f>
        <v>4242.966528462639</v>
      </c>
      <c r="CG62" s="277">
        <f ca="1">IF(EqInv_Pct=0,0,IF($C62+CF61&gt;=0,0,IF($C62+CG61&gt;=0,-XNPV(EqInv_ReqIRR,$C62:CF62,$C$52:CF$52)*FV(EqInv_ReqIRR,(CG$52-$C$52)/365,0,-1),CG60)))</f>
        <v>4242.966528462639</v>
      </c>
      <c r="CH62" s="277">
        <f ca="1">IF(EqInv_Pct=0,0,IF($C62+CG61&gt;=0,0,IF($C62+CH61&gt;=0,-XNPV(EqInv_ReqIRR,$C62:CG62,$C$52:CG$52)*FV(EqInv_ReqIRR,(CH$52-$C$52)/365,0,-1),CH60)))</f>
        <v>4242.966528462639</v>
      </c>
      <c r="CI62" s="277">
        <f ca="1">IF(EqInv_Pct=0,0,IF($C62+CH61&gt;=0,0,IF($C62+CI61&gt;=0,-XNPV(EqInv_ReqIRR,$C62:CH62,$C$52:CH$52)*FV(EqInv_ReqIRR,(CI$52-$C$52)/365,0,-1),CI60)))</f>
        <v>4242.966528462639</v>
      </c>
      <c r="CJ62" s="277">
        <f ca="1">IF(EqInv_Pct=0,0,IF($C62+CI61&gt;=0,0,IF($C62+CJ61&gt;=0,-XNPV(EqInv_ReqIRR,$C62:CI62,$C$52:CI$52)*FV(EqInv_ReqIRR,(CJ$52-$C$52)/365,0,-1),CJ60)))</f>
        <v>4392.0512466843611</v>
      </c>
      <c r="CK62" s="277">
        <f ca="1">IF(EqInv_Pct=0,0,IF($C62+CJ61&gt;=0,0,IF($C62+CK61&gt;=0,-XNPV(EqInv_ReqIRR,$C62:CJ62,$C$52:CJ$52)*FV(EqInv_ReqIRR,(CK$52-$C$52)/365,0,-1),CK60)))</f>
        <v>4392.0512466843611</v>
      </c>
      <c r="CL62" s="277">
        <f ca="1">IF(EqInv_Pct=0,0,IF($C62+CK61&gt;=0,0,IF($C62+CL61&gt;=0,-XNPV(EqInv_ReqIRR,$C62:CK62,$C$52:CK$52)*FV(EqInv_ReqIRR,(CL$52-$C$52)/365,0,-1),CL60)))</f>
        <v>4392.0512466843611</v>
      </c>
      <c r="CM62" s="277">
        <f ca="1">IF(EqInv_Pct=0,0,IF($C62+CL61&gt;=0,0,IF($C62+CM61&gt;=0,-XNPV(EqInv_ReqIRR,$C62:CL62,$C$52:CL$52)*FV(EqInv_ReqIRR,(CM$52-$C$52)/365,0,-1),CM60)))</f>
        <v>4392.0512466843611</v>
      </c>
      <c r="CN62" s="277">
        <f ca="1">IF(EqInv_Pct=0,0,IF($C62+CM61&gt;=0,0,IF($C62+CN61&gt;=0,-XNPV(EqInv_ReqIRR,$C62:CM62,$C$52:CM$52)*FV(EqInv_ReqIRR,(CN$52-$C$52)/365,0,-1),CN60)))</f>
        <v>4392.0512466843611</v>
      </c>
      <c r="CO62" s="277">
        <f ca="1">IF(EqInv_Pct=0,0,IF($C62+CN61&gt;=0,0,IF($C62+CO61&gt;=0,-XNPV(EqInv_ReqIRR,$C62:CN62,$C$52:CN$52)*FV(EqInv_ReqIRR,(CO$52-$C$52)/365,0,-1),CO60)))</f>
        <v>4392.0512466843611</v>
      </c>
      <c r="CP62" s="277">
        <f ca="1">IF(EqInv_Pct=0,0,IF($C62+CO61&gt;=0,0,IF($C62+CP61&gt;=0,-XNPV(EqInv_ReqIRR,$C62:CO62,$C$52:CO$52)*FV(EqInv_ReqIRR,(CP$52-$C$52)/365,0,-1),CP60)))</f>
        <v>4392.0512466843611</v>
      </c>
      <c r="CQ62" s="277">
        <f ca="1">IF(EqInv_Pct=0,0,IF($C62+CP61&gt;=0,0,IF($C62+CQ61&gt;=0,-XNPV(EqInv_ReqIRR,$C62:CP62,$C$52:CP$52)*FV(EqInv_ReqIRR,(CQ$52-$C$52)/365,0,-1),CQ60)))</f>
        <v>4392.0512466843611</v>
      </c>
      <c r="CR62" s="277">
        <f ca="1">IF(EqInv_Pct=0,0,IF($C62+CQ61&gt;=0,0,IF($C62+CR61&gt;=0,-XNPV(EqInv_ReqIRR,$C62:CQ62,$C$52:CQ$52)*FV(EqInv_ReqIRR,(CR$52-$C$52)/365,0,-1),CR60)))</f>
        <v>4392.0512466843611</v>
      </c>
      <c r="CS62" s="277">
        <f ca="1">IF(EqInv_Pct=0,0,IF($C62+CR61&gt;=0,0,IF($C62+CS61&gt;=0,-XNPV(EqInv_ReqIRR,$C62:CR62,$C$52:CR$52)*FV(EqInv_ReqIRR,(CS$52-$C$52)/365,0,-1),CS60)))</f>
        <v>4392.0512466843611</v>
      </c>
      <c r="CT62" s="277">
        <f ca="1">IF(EqInv_Pct=0,0,IF($C62+CS61&gt;=0,0,IF($C62+CT61&gt;=0,-XNPV(EqInv_ReqIRR,$C62:CS62,$C$52:CS$52)*FV(EqInv_ReqIRR,(CT$52-$C$52)/365,0,-1),CT60)))</f>
        <v>4392.0512466843611</v>
      </c>
      <c r="CU62" s="277">
        <f ca="1">IF(EqInv_Pct=0,0,IF($C62+CT61&gt;=0,0,IF($C62+CU61&gt;=0,-XNPV(EqInv_ReqIRR,$C62:CT62,$C$52:CT$52)*FV(EqInv_ReqIRR,(CU$52-$C$52)/365,0,-1),CU60)))</f>
        <v>4392.0512466843611</v>
      </c>
      <c r="CV62" s="277">
        <f ca="1">IF(EqInv_Pct=0,0,IF($C62+CU61&gt;=0,0,IF($C62+CV61&gt;=0,-XNPV(EqInv_ReqIRR,$C62:CU62,$C$52:CU$52)*FV(EqInv_ReqIRR,(CV$52-$C$52)/365,0,-1),CV60)))</f>
        <v>4546.3713567356072</v>
      </c>
      <c r="CW62" s="277">
        <f ca="1">IF(EqInv_Pct=0,0,IF($C62+CV61&gt;=0,0,IF($C62+CW61&gt;=0,-XNPV(EqInv_ReqIRR,$C62:CV62,$C$52:CV$52)*FV(EqInv_ReqIRR,(CW$52-$C$52)/365,0,-1),CW60)))</f>
        <v>4546.3713567356072</v>
      </c>
      <c r="CX62" s="277">
        <f ca="1">IF(EqInv_Pct=0,0,IF($C62+CW61&gt;=0,0,IF($C62+CX61&gt;=0,-XNPV(EqInv_ReqIRR,$C62:CW62,$C$52:CW$52)*FV(EqInv_ReqIRR,(CX$52-$C$52)/365,0,-1),CX60)))</f>
        <v>4546.3713567356072</v>
      </c>
      <c r="CY62" s="277">
        <f ca="1">IF(EqInv_Pct=0,0,IF($C62+CX61&gt;=0,0,IF($C62+CY61&gt;=0,-XNPV(EqInv_ReqIRR,$C62:CX62,$C$52:CX$52)*FV(EqInv_ReqIRR,(CY$52-$C$52)/365,0,-1),CY60)))</f>
        <v>4546.3713567356072</v>
      </c>
      <c r="CZ62" s="277">
        <f ca="1">IF(EqInv_Pct=0,0,IF($C62+CY61&gt;=0,0,IF($C62+CZ61&gt;=0,-XNPV(EqInv_ReqIRR,$C62:CY62,$C$52:CY$52)*FV(EqInv_ReqIRR,(CZ$52-$C$52)/365,0,-1),CZ60)))</f>
        <v>4546.3713567356072</v>
      </c>
      <c r="DA62" s="277">
        <f ca="1">IF(EqInv_Pct=0,0,IF($C62+CZ61&gt;=0,0,IF($C62+DA61&gt;=0,-XNPV(EqInv_ReqIRR,$C62:CZ62,$C$52:CZ$52)*FV(EqInv_ReqIRR,(DA$52-$C$52)/365,0,-1),DA60)))</f>
        <v>4546.3713567356072</v>
      </c>
      <c r="DB62" s="277">
        <f ca="1">IF(EqInv_Pct=0,0,IF($C62+DA61&gt;=0,0,IF($C62+DB61&gt;=0,-XNPV(EqInv_ReqIRR,$C62:DA62,$C$52:DA$52)*FV(EqInv_ReqIRR,(DB$52-$C$52)/365,0,-1),DB60)))</f>
        <v>4546.3713567356072</v>
      </c>
      <c r="DC62" s="277">
        <f ca="1">IF(EqInv_Pct=0,0,IF($C62+DB61&gt;=0,0,IF($C62+DC61&gt;=0,-XNPV(EqInv_ReqIRR,$C62:DB62,$C$52:DB$52)*FV(EqInv_ReqIRR,(DC$52-$C$52)/365,0,-1),DC60)))</f>
        <v>4546.3713567356072</v>
      </c>
      <c r="DD62" s="277">
        <f ca="1">IF(EqInv_Pct=0,0,IF($C62+DC61&gt;=0,0,IF($C62+DD61&gt;=0,-XNPV(EqInv_ReqIRR,$C62:DC62,$C$52:DC$52)*FV(EqInv_ReqIRR,(DD$52-$C$52)/365,0,-1),DD60)))</f>
        <v>4546.3713567356072</v>
      </c>
      <c r="DE62" s="277">
        <f ca="1">IF(EqInv_Pct=0,0,IF($C62+DD61&gt;=0,0,IF($C62+DE61&gt;=0,-XNPV(EqInv_ReqIRR,$C62:DD62,$C$52:DD$52)*FV(EqInv_ReqIRR,(DE$52-$C$52)/365,0,-1),DE60)))</f>
        <v>4546.3713567356072</v>
      </c>
      <c r="DF62" s="277">
        <f ca="1">IF(EqInv_Pct=0,0,IF($C62+DE61&gt;=0,0,IF($C62+DF61&gt;=0,-XNPV(EqInv_ReqIRR,$C62:DE62,$C$52:DE$52)*FV(EqInv_ReqIRR,(DF$52-$C$52)/365,0,-1),DF60)))</f>
        <v>4546.3713567356072</v>
      </c>
      <c r="DG62" s="277">
        <f ca="1">IF(EqInv_Pct=0,0,IF($C62+DF61&gt;=0,0,IF($C62+DG61&gt;=0,-XNPV(EqInv_ReqIRR,$C62:DF62,$C$52:DF$52)*FV(EqInv_ReqIRR,(DG$52-$C$52)/365,0,-1),DG60)))</f>
        <v>4546.3713567356072</v>
      </c>
      <c r="DH62" s="277">
        <f ca="1">IF(EqInv_Pct=0,0,IF($C62+DG61&gt;=0,0,IF($C62+DH61&gt;=0,-XNPV(EqInv_ReqIRR,$C62:DG62,$C$52:DG$52)*FV(EqInv_ReqIRR,(DH$52-$C$52)/365,0,-1),DH60)))</f>
        <v>4706.1106201311677</v>
      </c>
      <c r="DI62" s="277">
        <f ca="1">IF(EqInv_Pct=0,0,IF($C62+DH61&gt;=0,0,IF($C62+DI61&gt;=0,-XNPV(EqInv_ReqIRR,$C62:DH62,$C$52:DH$52)*FV(EqInv_ReqIRR,(DI$52-$C$52)/365,0,-1),DI60)))</f>
        <v>4706.1106201311677</v>
      </c>
      <c r="DJ62" s="277">
        <f ca="1">IF(EqInv_Pct=0,0,IF($C62+DI61&gt;=0,0,IF($C62+DJ61&gt;=0,-XNPV(EqInv_ReqIRR,$C62:DI62,$C$52:DI$52)*FV(EqInv_ReqIRR,(DJ$52-$C$52)/365,0,-1),DJ60)))</f>
        <v>4706.1106201311677</v>
      </c>
      <c r="DK62" s="277">
        <f ca="1">IF(EqInv_Pct=0,0,IF($C62+DJ61&gt;=0,0,IF($C62+DK61&gt;=0,-XNPV(EqInv_ReqIRR,$C62:DJ62,$C$52:DJ$52)*FV(EqInv_ReqIRR,(DK$52-$C$52)/365,0,-1),DK60)))</f>
        <v>4706.1106201311677</v>
      </c>
      <c r="DL62" s="277">
        <f ca="1">IF(EqInv_Pct=0,0,IF($C62+DK61&gt;=0,0,IF($C62+DL61&gt;=0,-XNPV(EqInv_ReqIRR,$C62:DK62,$C$52:DK$52)*FV(EqInv_ReqIRR,(DL$52-$C$52)/365,0,-1),DL60)))</f>
        <v>4706.1106201311677</v>
      </c>
      <c r="DM62" s="277">
        <f ca="1">IF(EqInv_Pct=0,0,IF($C62+DL61&gt;=0,0,IF($C62+DM61&gt;=0,-XNPV(EqInv_ReqIRR,$C62:DL62,$C$52:DL$52)*FV(EqInv_ReqIRR,(DM$52-$C$52)/365,0,-1),DM60)))</f>
        <v>4706.1106201311677</v>
      </c>
      <c r="DN62" s="277">
        <f ca="1">IF(EqInv_Pct=0,0,IF($C62+DM61&gt;=0,0,IF($C62+DN61&gt;=0,-XNPV(EqInv_ReqIRR,$C62:DM62,$C$52:DM$52)*FV(EqInv_ReqIRR,(DN$52-$C$52)/365,0,-1),DN60)))</f>
        <v>4706.1106201311677</v>
      </c>
      <c r="DO62" s="277">
        <f ca="1">IF(EqInv_Pct=0,0,IF($C62+DN61&gt;=0,0,IF($C62+DO61&gt;=0,-XNPV(EqInv_ReqIRR,$C62:DN62,$C$52:DN$52)*FV(EqInv_ReqIRR,(DO$52-$C$52)/365,0,-1),DO60)))</f>
        <v>4706.1106201311677</v>
      </c>
      <c r="DP62" s="277">
        <f ca="1">IF(EqInv_Pct=0,0,IF($C62+DO61&gt;=0,0,IF($C62+DP61&gt;=0,-XNPV(EqInv_ReqIRR,$C62:DO62,$C$52:DO$52)*FV(EqInv_ReqIRR,(DP$52-$C$52)/365,0,-1),DP60)))</f>
        <v>4706.1106201311677</v>
      </c>
      <c r="DQ62" s="277">
        <f ca="1">IF(EqInv_Pct=0,0,IF($C62+DP61&gt;=0,0,IF($C62+DQ61&gt;=0,-XNPV(EqInv_ReqIRR,$C62:DP62,$C$52:DP$52)*FV(EqInv_ReqIRR,(DQ$52-$C$52)/365,0,-1),DQ60)))</f>
        <v>4706.1106201311677</v>
      </c>
      <c r="DR62" s="277">
        <f ca="1">IF(EqInv_Pct=0,0,IF($C62+DQ61&gt;=0,0,IF($C62+DR61&gt;=0,-XNPV(EqInv_ReqIRR,$C62:DQ62,$C$52:DQ$52)*FV(EqInv_ReqIRR,(DR$52-$C$52)/365,0,-1),DR60)))</f>
        <v>4706.1106201311677</v>
      </c>
      <c r="DS62" s="277">
        <f ca="1">IF(EqInv_Pct=0,0,IF($C62+DR61&gt;=0,0,IF($C62+DS61&gt;=0,-XNPV(EqInv_ReqIRR,$C62:DR62,$C$52:DR$52)*FV(EqInv_ReqIRR,(DS$52-$C$52)/365,0,-1),DS60)))</f>
        <v>4796.1106201311677</v>
      </c>
      <c r="DT62" s="277">
        <f ca="1">IF(EqInv_Pct=0,0,IF($C62+DS61&gt;=0,0,IF($C62+DT61&gt;=0,-XNPV(EqInv_ReqIRR,$C62:DS62,$C$52:DS$52)*FV(EqInv_ReqIRR,(DT$52-$C$52)/365,0,-1),DT60)))</f>
        <v>0</v>
      </c>
      <c r="DU62" s="277">
        <f ca="1">IF(EqInv_Pct=0,0,IF($C62+DT61&gt;=0,0,IF($C62+DU61&gt;=0,-XNPV(EqInv_ReqIRR,$C62:DT62,$C$52:DT$52)*FV(EqInv_ReqIRR,(DU$52-$C$52)/365,0,-1),DU60)))</f>
        <v>0</v>
      </c>
      <c r="DV62" s="277">
        <f ca="1">IF(EqInv_Pct=0,0,IF($C62+DU61&gt;=0,0,IF($C62+DV61&gt;=0,-XNPV(EqInv_ReqIRR,$C62:DU62,$C$52:DU$52)*FV(EqInv_ReqIRR,(DV$52-$C$52)/365,0,-1),DV60)))</f>
        <v>0</v>
      </c>
      <c r="DW62" s="277">
        <f ca="1">IF(EqInv_Pct=0,0,IF($C62+DV61&gt;=0,0,IF($C62+DW61&gt;=0,-XNPV(EqInv_ReqIRR,$C62:DV62,$C$52:DV$52)*FV(EqInv_ReqIRR,(DW$52-$C$52)/365,0,-1),DW60)))</f>
        <v>0</v>
      </c>
      <c r="DX62" s="277">
        <f ca="1">IF(EqInv_Pct=0,0,IF($C62+DW61&gt;=0,0,IF($C62+DX61&gt;=0,-XNPV(EqInv_ReqIRR,$C62:DW62,$C$52:DW$52)*FV(EqInv_ReqIRR,(DX$52-$C$52)/365,0,-1),DX60)))</f>
        <v>0</v>
      </c>
      <c r="DY62" s="277">
        <f ca="1">IF(EqInv_Pct=0,0,IF($C62+DX61&gt;=0,0,IF($C62+DY61&gt;=0,-XNPV(EqInv_ReqIRR,$C62:DX62,$C$52:DX$52)*FV(EqInv_ReqIRR,(DY$52-$C$52)/365,0,-1),DY60)))</f>
        <v>0</v>
      </c>
      <c r="DZ62" s="277">
        <f ca="1">IF(EqInv_Pct=0,0,IF($C62+DY61&gt;=0,0,IF($C62+DZ61&gt;=0,-XNPV(EqInv_ReqIRR,$C62:DY62,$C$52:DY$52)*FV(EqInv_ReqIRR,(DZ$52-$C$52)/365,0,-1),DZ60)))</f>
        <v>0</v>
      </c>
      <c r="EA62" s="277">
        <f ca="1">IF(EqInv_Pct=0,0,IF($C62+DZ61&gt;=0,0,IF($C62+EA61&gt;=0,-XNPV(EqInv_ReqIRR,$C62:DZ62,$C$52:DZ$52)*FV(EqInv_ReqIRR,(EA$52-$C$52)/365,0,-1),EA60)))</f>
        <v>0</v>
      </c>
      <c r="EB62" s="277">
        <f ca="1">IF(EqInv_Pct=0,0,IF($C62+EA61&gt;=0,0,IF($C62+EB61&gt;=0,-XNPV(EqInv_ReqIRR,$C62:EA62,$C$52:EA$52)*FV(EqInv_ReqIRR,(EB$52-$C$52)/365,0,-1),EB60)))</f>
        <v>0</v>
      </c>
      <c r="EC62" s="277">
        <f ca="1">IF(EqInv_Pct=0,0,IF($C62+EB61&gt;=0,0,IF($C62+EC61&gt;=0,-XNPV(EqInv_ReqIRR,$C62:EB62,$C$52:EB$52)*FV(EqInv_ReqIRR,(EC$52-$C$52)/365,0,-1),EC60)))</f>
        <v>0</v>
      </c>
      <c r="ED62" s="277">
        <f ca="1">IF(EqInv_Pct=0,0,IF($C62+EC61&gt;=0,0,IF($C62+ED61&gt;=0,-XNPV(EqInv_ReqIRR,$C62:EC62,$C$52:EC$52)*FV(EqInv_ReqIRR,(ED$52-$C$52)/365,0,-1),ED60)))</f>
        <v>0</v>
      </c>
      <c r="EE62" s="277">
        <f ca="1">IF(EqInv_Pct=0,0,IF($C62+ED61&gt;=0,0,IF($C62+EE61&gt;=0,-XNPV(EqInv_ReqIRR,$C62:ED62,$C$52:ED$52)*FV(EqInv_ReqIRR,(EE$52-$C$52)/365,0,-1),EE60)))</f>
        <v>0</v>
      </c>
      <c r="EF62" s="277">
        <f ca="1">IF(EqInv_Pct=0,0,IF($C62+EE61&gt;=0,0,IF($C62+EF61&gt;=0,-XNPV(EqInv_ReqIRR,$C62:EE62,$C$52:EE$52)*FV(EqInv_ReqIRR,(EF$52-$C$52)/365,0,-1),EF60)))</f>
        <v>0</v>
      </c>
      <c r="EG62" s="277">
        <f ca="1">IF(EqInv_Pct=0,0,IF($C62+EF61&gt;=0,0,IF($C62+EG61&gt;=0,-XNPV(EqInv_ReqIRR,$C62:EF62,$C$52:EF$52)*FV(EqInv_ReqIRR,(EG$52-$C$52)/365,0,-1),EG60)))</f>
        <v>0</v>
      </c>
      <c r="EH62" s="277">
        <f ca="1">IF(EqInv_Pct=0,0,IF($C62+EG61&gt;=0,0,IF($C62+EH61&gt;=0,-XNPV(EqInv_ReqIRR,$C62:EG62,$C$52:EG$52)*FV(EqInv_ReqIRR,(EH$52-$C$52)/365,0,-1),EH60)))</f>
        <v>0</v>
      </c>
      <c r="EI62" s="277">
        <f ca="1">IF(EqInv_Pct=0,0,IF($C62+EH61&gt;=0,0,IF($C62+EI61&gt;=0,-XNPV(EqInv_ReqIRR,$C62:EH62,$C$52:EH$52)*FV(EqInv_ReqIRR,(EI$52-$C$52)/365,0,-1),EI60)))</f>
        <v>0</v>
      </c>
      <c r="EJ62" s="277">
        <f ca="1">IF(EqInv_Pct=0,0,IF($C62+EI61&gt;=0,0,IF($C62+EJ61&gt;=0,-XNPV(EqInv_ReqIRR,$C62:EI62,$C$52:EI$52)*FV(EqInv_ReqIRR,(EJ$52-$C$52)/365,0,-1),EJ60)))</f>
        <v>0</v>
      </c>
      <c r="EK62" s="277">
        <f ca="1">IF(EqInv_Pct=0,0,IF($C62+EJ61&gt;=0,0,IF($C62+EK61&gt;=0,-XNPV(EqInv_ReqIRR,$C62:EJ62,$C$52:EJ$52)*FV(EqInv_ReqIRR,(EK$52-$C$52)/365,0,-1),EK60)))</f>
        <v>0</v>
      </c>
      <c r="EL62" s="277">
        <f ca="1">IF(EqInv_Pct=0,0,IF($C62+EK61&gt;=0,0,IF($C62+EL61&gt;=0,-XNPV(EqInv_ReqIRR,$C62:EK62,$C$52:EK$52)*FV(EqInv_ReqIRR,(EL$52-$C$52)/365,0,-1),EL60)))</f>
        <v>0</v>
      </c>
      <c r="EM62" s="277">
        <f ca="1">IF(EqInv_Pct=0,0,IF($C62+EL61&gt;=0,0,IF($C62+EM61&gt;=0,-XNPV(EqInv_ReqIRR,$C62:EL62,$C$52:EL$52)*FV(EqInv_ReqIRR,(EM$52-$C$52)/365,0,-1),EM60)))</f>
        <v>0</v>
      </c>
      <c r="EN62" s="277">
        <f ca="1">IF(EqInv_Pct=0,0,IF($C62+EM61&gt;=0,0,IF($C62+EN61&gt;=0,-XNPV(EqInv_ReqIRR,$C62:EM62,$C$52:EM$52)*FV(EqInv_ReqIRR,(EN$52-$C$52)/365,0,-1),EN60)))</f>
        <v>0</v>
      </c>
      <c r="EO62" s="277">
        <f ca="1">IF(EqInv_Pct=0,0,IF($C62+EN61&gt;=0,0,IF($C62+EO61&gt;=0,-XNPV(EqInv_ReqIRR,$C62:EN62,$C$52:EN$52)*FV(EqInv_ReqIRR,(EO$52-$C$52)/365,0,-1),EO60)))</f>
        <v>0</v>
      </c>
      <c r="EP62" s="277">
        <f ca="1">IF(EqInv_Pct=0,0,IF($C62+EO61&gt;=0,0,IF($C62+EP61&gt;=0,-XNPV(EqInv_ReqIRR,$C62:EO62,$C$52:EO$52)*FV(EqInv_ReqIRR,(EP$52-$C$52)/365,0,-1),EP60)))</f>
        <v>0</v>
      </c>
      <c r="EQ62" s="277">
        <f ca="1">IF(EqInv_Pct=0,0,IF($C62+EP61&gt;=0,0,IF($C62+EQ61&gt;=0,-XNPV(EqInv_ReqIRR,$C62:EP62,$C$52:EP$52)*FV(EqInv_ReqIRR,(EQ$52-$C$52)/365,0,-1),EQ60)))</f>
        <v>0</v>
      </c>
      <c r="ER62" s="277">
        <f ca="1">IF(EqInv_Pct=0,0,IF($C62+EQ61&gt;=0,0,IF($C62+ER61&gt;=0,-XNPV(EqInv_ReqIRR,$C62:EQ62,$C$52:EQ$52)*FV(EqInv_ReqIRR,(ER$52-$C$52)/365,0,-1),ER60)))</f>
        <v>0</v>
      </c>
      <c r="ES62" s="277">
        <f ca="1">IF(EqInv_Pct=0,0,IF($C62+ER61&gt;=0,0,IF($C62+ES61&gt;=0,-XNPV(EqInv_ReqIRR,$C62:ER62,$C$52:ER$52)*FV(EqInv_ReqIRR,(ES$52-$C$52)/365,0,-1),ES60)))</f>
        <v>0</v>
      </c>
      <c r="ET62" s="277">
        <f ca="1">IF(EqInv_Pct=0,0,IF($C62+ES61&gt;=0,0,IF($C62+ET61&gt;=0,-XNPV(EqInv_ReqIRR,$C62:ES62,$C$52:ES$52)*FV(EqInv_ReqIRR,(ET$52-$C$52)/365,0,-1),ET60)))</f>
        <v>0</v>
      </c>
      <c r="EU62" s="277">
        <f ca="1">IF(EqInv_Pct=0,0,IF($C62+ET61&gt;=0,0,IF($C62+EU61&gt;=0,-XNPV(EqInv_ReqIRR,$C62:ET62,$C$52:ET$52)*FV(EqInv_ReqIRR,(EU$52-$C$52)/365,0,-1),EU60)))</f>
        <v>0</v>
      </c>
      <c r="EV62" s="277">
        <f ca="1">IF(EqInv_Pct=0,0,IF($C62+EU61&gt;=0,0,IF($C62+EV61&gt;=0,-XNPV(EqInv_ReqIRR,$C62:EU62,$C$52:EU$52)*FV(EqInv_ReqIRR,(EV$52-$C$52)/365,0,-1),EV60)))</f>
        <v>0</v>
      </c>
      <c r="EW62" s="277">
        <f ca="1">IF(EqInv_Pct=0,0,IF($C62+EV61&gt;=0,0,IF($C62+EW61&gt;=0,-XNPV(EqInv_ReqIRR,$C62:EV62,$C$52:EV$52)*FV(EqInv_ReqIRR,(EW$52-$C$52)/365,0,-1),EW60)))</f>
        <v>0</v>
      </c>
      <c r="EX62" s="277">
        <f ca="1">IF(EqInv_Pct=0,0,IF($C62+EW61&gt;=0,0,IF($C62+EX61&gt;=0,-XNPV(EqInv_ReqIRR,$C62:EW62,$C$52:EW$52)*FV(EqInv_ReqIRR,(EX$52-$C$52)/365,0,-1),EX60)))</f>
        <v>0</v>
      </c>
      <c r="EY62" s="277">
        <f ca="1">IF(EqInv_Pct=0,0,IF($C62+EX61&gt;=0,0,IF($C62+EY61&gt;=0,-XNPV(EqInv_ReqIRR,$C62:EX62,$C$52:EX$52)*FV(EqInv_ReqIRR,(EY$52-$C$52)/365,0,-1),EY60)))</f>
        <v>0</v>
      </c>
      <c r="EZ62" s="277">
        <f ca="1">IF(EqInv_Pct=0,0,IF($C62+EY61&gt;=0,0,IF($C62+EZ61&gt;=0,-XNPV(EqInv_ReqIRR,$C62:EY62,$C$52:EY$52)*FV(EqInv_ReqIRR,(EZ$52-$C$52)/365,0,-1),EZ60)))</f>
        <v>0</v>
      </c>
      <c r="FA62" s="277">
        <f ca="1">IF(EqInv_Pct=0,0,IF($C62+EZ61&gt;=0,0,IF($C62+FA61&gt;=0,-XNPV(EqInv_ReqIRR,$C62:EZ62,$C$52:EZ$52)*FV(EqInv_ReqIRR,(FA$52-$C$52)/365,0,-1),FA60)))</f>
        <v>0</v>
      </c>
      <c r="FB62" s="277">
        <f ca="1">IF(EqInv_Pct=0,0,IF($C62+FA61&gt;=0,0,IF($C62+FB61&gt;=0,-XNPV(EqInv_ReqIRR,$C62:FA62,$C$52:FA$52)*FV(EqInv_ReqIRR,(FB$52-$C$52)/365,0,-1),FB60)))</f>
        <v>0</v>
      </c>
      <c r="FC62" s="277">
        <f ca="1">IF(EqInv_Pct=0,0,IF($C62+FB61&gt;=0,0,IF($C62+FC61&gt;=0,-XNPV(EqInv_ReqIRR,$C62:FB62,$C$52:FB$52)*FV(EqInv_ReqIRR,(FC$52-$C$52)/365,0,-1),FC60)))</f>
        <v>0</v>
      </c>
      <c r="FD62" s="277">
        <f ca="1">IF(EqInv_Pct=0,0,IF($C62+FC61&gt;=0,0,IF($C62+FD61&gt;=0,-XNPV(EqInv_ReqIRR,$C62:FC62,$C$52:FC$52)*FV(EqInv_ReqIRR,(FD$52-$C$52)/365,0,-1),FD60)))</f>
        <v>0</v>
      </c>
      <c r="FE62" s="277">
        <f ca="1">IF(EqInv_Pct=0,0,IF($C62+FD61&gt;=0,0,IF($C62+FE61&gt;=0,-XNPV(EqInv_ReqIRR,$C62:FD62,$C$52:FD$52)*FV(EqInv_ReqIRR,(FE$52-$C$52)/365,0,-1),FE60)))</f>
        <v>0</v>
      </c>
      <c r="FF62" s="277">
        <f ca="1">IF(EqInv_Pct=0,0,IF($C62+FE61&gt;=0,0,IF($C62+FF61&gt;=0,-XNPV(EqInv_ReqIRR,$C62:FE62,$C$52:FE$52)*FV(EqInv_ReqIRR,(FF$52-$C$52)/365,0,-1),FF60)))</f>
        <v>0</v>
      </c>
      <c r="FG62" s="277">
        <f ca="1">IF(EqInv_Pct=0,0,IF($C62+FF61&gt;=0,0,IF($C62+FG61&gt;=0,-XNPV(EqInv_ReqIRR,$C62:FF62,$C$52:FF$52)*FV(EqInv_ReqIRR,(FG$52-$C$52)/365,0,-1),FG60)))</f>
        <v>0</v>
      </c>
      <c r="FH62" s="277">
        <f ca="1">IF(EqInv_Pct=0,0,IF($C62+FG61&gt;=0,0,IF($C62+FH61&gt;=0,-XNPV(EqInv_ReqIRR,$C62:FG62,$C$52:FG$52)*FV(EqInv_ReqIRR,(FH$52-$C$52)/365,0,-1),FH60)))</f>
        <v>0</v>
      </c>
      <c r="FI62" s="277">
        <f ca="1">IF(EqInv_Pct=0,0,IF($C62+FH61&gt;=0,0,IF($C62+FI61&gt;=0,-XNPV(EqInv_ReqIRR,$C62:FH62,$C$52:FH$52)*FV(EqInv_ReqIRR,(FI$52-$C$52)/365,0,-1),FI60)))</f>
        <v>0</v>
      </c>
      <c r="FJ62" s="277">
        <f ca="1">IF(EqInv_Pct=0,0,IF($C62+FI61&gt;=0,0,IF($C62+FJ61&gt;=0,-XNPV(EqInv_ReqIRR,$C62:FI62,$C$52:FI$52)*FV(EqInv_ReqIRR,(FJ$52-$C$52)/365,0,-1),FJ60)))</f>
        <v>0</v>
      </c>
      <c r="FK62" s="277">
        <f ca="1">IF(EqInv_Pct=0,0,IF($C62+FJ61&gt;=0,0,IF($C62+FK61&gt;=0,-XNPV(EqInv_ReqIRR,$C62:FJ62,$C$52:FJ$52)*FV(EqInv_ReqIRR,(FK$52-$C$52)/365,0,-1),FK60)))</f>
        <v>0</v>
      </c>
      <c r="FL62" s="277">
        <f ca="1">IF(EqInv_Pct=0,0,IF($C62+FK61&gt;=0,0,IF($C62+FL61&gt;=0,-XNPV(EqInv_ReqIRR,$C62:FK62,$C$52:FK$52)*FV(EqInv_ReqIRR,(FL$52-$C$52)/365,0,-1),FL60)))</f>
        <v>0</v>
      </c>
      <c r="FM62" s="277">
        <f ca="1">IF(EqInv_Pct=0,0,IF($C62+FL61&gt;=0,0,IF($C62+FM61&gt;=0,-XNPV(EqInv_ReqIRR,$C62:FL62,$C$52:FL$52)*FV(EqInv_ReqIRR,(FM$52-$C$52)/365,0,-1),FM60)))</f>
        <v>0</v>
      </c>
      <c r="FN62" s="277">
        <f ca="1">IF(EqInv_Pct=0,0,IF($C62+FM61&gt;=0,0,IF($C62+FN61&gt;=0,-XNPV(EqInv_ReqIRR,$C62:FM62,$C$52:FM$52)*FV(EqInv_ReqIRR,(FN$52-$C$52)/365,0,-1),FN60)))</f>
        <v>0</v>
      </c>
      <c r="FO62" s="277">
        <f ca="1">IF(EqInv_Pct=0,0,IF($C62+FN61&gt;=0,0,IF($C62+FO61&gt;=0,-XNPV(EqInv_ReqIRR,$C62:FN62,$C$52:FN$52)*FV(EqInv_ReqIRR,(FO$52-$C$52)/365,0,-1),FO60)))</f>
        <v>0</v>
      </c>
      <c r="FP62" s="277">
        <f ca="1">IF(EqInv_Pct=0,0,IF($C62+FO61&gt;=0,0,IF($C62+FP61&gt;=0,-XNPV(EqInv_ReqIRR,$C62:FO62,$C$52:FO$52)*FV(EqInv_ReqIRR,(FP$52-$C$52)/365,0,-1),FP60)))</f>
        <v>0</v>
      </c>
      <c r="FQ62" s="277">
        <f ca="1">IF(EqInv_Pct=0,0,IF($C62+FP61&gt;=0,0,IF($C62+FQ61&gt;=0,-XNPV(EqInv_ReqIRR,$C62:FP62,$C$52:FP$52)*FV(EqInv_ReqIRR,(FQ$52-$C$52)/365,0,-1),FQ60)))</f>
        <v>0</v>
      </c>
      <c r="FR62" s="277">
        <f ca="1">IF(EqInv_Pct=0,0,IF($C62+FQ61&gt;=0,0,IF($C62+FR61&gt;=0,-XNPV(EqInv_ReqIRR,$C62:FQ62,$C$52:FQ$52)*FV(EqInv_ReqIRR,(FR$52-$C$52)/365,0,-1),FR60)))</f>
        <v>0</v>
      </c>
      <c r="FS62" s="277">
        <f ca="1">IF(EqInv_Pct=0,0,IF($C62+FR61&gt;=0,0,IF($C62+FS61&gt;=0,-XNPV(EqInv_ReqIRR,$C62:FR62,$C$52:FR$52)*FV(EqInv_ReqIRR,(FS$52-$C$52)/365,0,-1),FS60)))</f>
        <v>0</v>
      </c>
      <c r="FT62" s="277">
        <f ca="1">IF(EqInv_Pct=0,0,IF($C62+FS61&gt;=0,0,IF($C62+FT61&gt;=0,-XNPV(EqInv_ReqIRR,$C62:FS62,$C$52:FS$52)*FV(EqInv_ReqIRR,(FT$52-$C$52)/365,0,-1),FT60)))</f>
        <v>0</v>
      </c>
      <c r="FU62" s="277">
        <f ca="1">IF(EqInv_Pct=0,0,IF($C62+FT61&gt;=0,0,IF($C62+FU61&gt;=0,-XNPV(EqInv_ReqIRR,$C62:FT62,$C$52:FT$52)*FV(EqInv_ReqIRR,(FU$52-$C$52)/365,0,-1),FU60)))</f>
        <v>0</v>
      </c>
      <c r="FV62" s="277">
        <f ca="1">IF(EqInv_Pct=0,0,IF($C62+FU61&gt;=0,0,IF($C62+FV61&gt;=0,-XNPV(EqInv_ReqIRR,$C62:FU62,$C$52:FU$52)*FV(EqInv_ReqIRR,(FV$52-$C$52)/365,0,-1),FV60)))</f>
        <v>0</v>
      </c>
      <c r="FW62" s="277">
        <f ca="1">IF(EqInv_Pct=0,0,IF($C62+FV61&gt;=0,0,IF($C62+FW61&gt;=0,-XNPV(EqInv_ReqIRR,$C62:FV62,$C$52:FV$52)*FV(EqInv_ReqIRR,(FW$52-$C$52)/365,0,-1),FW60)))</f>
        <v>0</v>
      </c>
      <c r="FX62" s="277">
        <f ca="1">IF(EqInv_Pct=0,0,IF($C62+FW61&gt;=0,0,IF($C62+FX61&gt;=0,-XNPV(EqInv_ReqIRR,$C62:FW62,$C$52:FW$52)*FV(EqInv_ReqIRR,(FX$52-$C$52)/365,0,-1),FX60)))</f>
        <v>0</v>
      </c>
      <c r="FY62" s="277">
        <f ca="1">IF(EqInv_Pct=0,0,IF($C62+FX61&gt;=0,0,IF($C62+FY61&gt;=0,-XNPV(EqInv_ReqIRR,$C62:FX62,$C$52:FX$52)*FV(EqInv_ReqIRR,(FY$52-$C$52)/365,0,-1),FY60)))</f>
        <v>0</v>
      </c>
      <c r="FZ62" s="277">
        <f ca="1">IF(EqInv_Pct=0,0,IF($C62+FY61&gt;=0,0,IF($C62+FZ61&gt;=0,-XNPV(EqInv_ReqIRR,$C62:FY62,$C$52:FY$52)*FV(EqInv_ReqIRR,(FZ$52-$C$52)/365,0,-1),FZ60)))</f>
        <v>0</v>
      </c>
      <c r="GA62" s="293">
        <f ca="1">IF(EqInv_Pct=0,0,IF($C62+FZ61&gt;=0,0,IF($C62+GA61&gt;=0,-XNPV(EqInv_ReqIRR,$C62:FZ62,$C$52:FZ$52)*FV(EqInv_ReqIRR,(GA$52-$C$52)/365,0,-1),GA60)))</f>
        <v>0</v>
      </c>
    </row>
    <row r="63" spans="1:183" x14ac:dyDescent="0.15">
      <c r="A63" s="310"/>
      <c r="C63" s="300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  <c r="CK63" s="277"/>
      <c r="CL63" s="277"/>
      <c r="CM63" s="277"/>
      <c r="CN63" s="277"/>
      <c r="CO63" s="277"/>
      <c r="CP63" s="277"/>
      <c r="CQ63" s="277"/>
      <c r="CR63" s="277"/>
      <c r="CS63" s="277"/>
      <c r="CT63" s="277"/>
      <c r="CU63" s="277"/>
      <c r="CV63" s="277"/>
      <c r="CW63" s="277"/>
      <c r="CX63" s="277"/>
      <c r="CY63" s="277"/>
      <c r="CZ63" s="277"/>
      <c r="DA63" s="277"/>
      <c r="DB63" s="277"/>
      <c r="DC63" s="277"/>
      <c r="DD63" s="277"/>
      <c r="DE63" s="277"/>
      <c r="DF63" s="277"/>
      <c r="DG63" s="277"/>
      <c r="DH63" s="277"/>
      <c r="DI63" s="277"/>
      <c r="DJ63" s="277"/>
      <c r="DK63" s="277"/>
      <c r="DL63" s="277"/>
      <c r="DM63" s="277"/>
      <c r="DN63" s="277"/>
      <c r="DO63" s="277"/>
      <c r="DP63" s="277"/>
      <c r="DQ63" s="277"/>
      <c r="DR63" s="277"/>
      <c r="DS63" s="277"/>
      <c r="DT63" s="277"/>
      <c r="DU63" s="277"/>
      <c r="DV63" s="277"/>
      <c r="DW63" s="277"/>
      <c r="DX63" s="277"/>
      <c r="DY63" s="277"/>
      <c r="DZ63" s="277"/>
      <c r="EA63" s="277"/>
      <c r="EB63" s="277"/>
      <c r="EC63" s="277"/>
      <c r="ED63" s="277"/>
      <c r="EE63" s="277"/>
      <c r="EF63" s="277"/>
      <c r="EG63" s="277"/>
      <c r="EH63" s="277"/>
      <c r="EI63" s="277"/>
      <c r="EJ63" s="277"/>
      <c r="EK63" s="277"/>
      <c r="EL63" s="277"/>
      <c r="EM63" s="277"/>
      <c r="EN63" s="277"/>
      <c r="EO63" s="277"/>
      <c r="EP63" s="277"/>
      <c r="EQ63" s="277"/>
      <c r="ER63" s="277"/>
      <c r="ES63" s="277"/>
      <c r="ET63" s="277"/>
      <c r="EU63" s="277"/>
      <c r="EV63" s="277"/>
      <c r="EW63" s="277"/>
      <c r="EX63" s="277"/>
      <c r="EY63" s="277"/>
      <c r="EZ63" s="277"/>
      <c r="FA63" s="277"/>
      <c r="FB63" s="277"/>
      <c r="FC63" s="277"/>
      <c r="FD63" s="277"/>
      <c r="FE63" s="277"/>
      <c r="FF63" s="277"/>
      <c r="FG63" s="277"/>
      <c r="FH63" s="277"/>
      <c r="FI63" s="277"/>
      <c r="FJ63" s="277"/>
      <c r="FK63" s="277"/>
      <c r="FL63" s="277"/>
      <c r="FM63" s="277"/>
      <c r="FN63" s="277"/>
      <c r="FO63" s="277"/>
      <c r="FP63" s="277"/>
      <c r="FQ63" s="277"/>
      <c r="FR63" s="277"/>
      <c r="FS63" s="277"/>
      <c r="FT63" s="277"/>
      <c r="FU63" s="277"/>
      <c r="FV63" s="277"/>
      <c r="FW63" s="277"/>
      <c r="FX63" s="277"/>
      <c r="FY63" s="277"/>
      <c r="FZ63" s="277"/>
      <c r="GA63" s="293"/>
    </row>
    <row r="64" spans="1:183" x14ac:dyDescent="0.15">
      <c r="A64" s="310" t="s">
        <v>853</v>
      </c>
      <c r="C64" s="300">
        <v>0</v>
      </c>
      <c r="D64" s="277">
        <f t="shared" ref="D64:BO64" si="29">D$58*DebtInv_PctCashFlow</f>
        <v>0</v>
      </c>
      <c r="E64" s="277">
        <f t="shared" si="29"/>
        <v>0</v>
      </c>
      <c r="F64" s="277">
        <f t="shared" si="29"/>
        <v>0</v>
      </c>
      <c r="G64" s="277">
        <f t="shared" si="29"/>
        <v>0</v>
      </c>
      <c r="H64" s="277">
        <f t="shared" si="29"/>
        <v>0</v>
      </c>
      <c r="I64" s="277">
        <f t="shared" si="29"/>
        <v>0</v>
      </c>
      <c r="J64" s="277">
        <f t="shared" si="29"/>
        <v>0</v>
      </c>
      <c r="K64" s="277">
        <f t="shared" si="29"/>
        <v>0</v>
      </c>
      <c r="L64" s="277">
        <f t="shared" si="29"/>
        <v>0</v>
      </c>
      <c r="M64" s="277">
        <f t="shared" si="29"/>
        <v>0</v>
      </c>
      <c r="N64" s="277">
        <f t="shared" si="29"/>
        <v>0</v>
      </c>
      <c r="O64" s="277">
        <f t="shared" si="29"/>
        <v>0</v>
      </c>
      <c r="P64" s="277">
        <f t="shared" si="29"/>
        <v>0</v>
      </c>
      <c r="Q64" s="277">
        <f t="shared" si="29"/>
        <v>0</v>
      </c>
      <c r="R64" s="277">
        <f t="shared" si="29"/>
        <v>0</v>
      </c>
      <c r="S64" s="277">
        <f t="shared" si="29"/>
        <v>0</v>
      </c>
      <c r="T64" s="277">
        <f t="shared" si="29"/>
        <v>0</v>
      </c>
      <c r="U64" s="277">
        <f t="shared" si="29"/>
        <v>0</v>
      </c>
      <c r="V64" s="277">
        <f t="shared" si="29"/>
        <v>0</v>
      </c>
      <c r="W64" s="277">
        <f t="shared" si="29"/>
        <v>0</v>
      </c>
      <c r="X64" s="277">
        <f t="shared" si="29"/>
        <v>0</v>
      </c>
      <c r="Y64" s="277">
        <f t="shared" si="29"/>
        <v>0</v>
      </c>
      <c r="Z64" s="277">
        <f t="shared" si="29"/>
        <v>0</v>
      </c>
      <c r="AA64" s="277">
        <f t="shared" si="29"/>
        <v>0</v>
      </c>
      <c r="AB64" s="277">
        <f t="shared" si="29"/>
        <v>0</v>
      </c>
      <c r="AC64" s="277">
        <f t="shared" si="29"/>
        <v>0</v>
      </c>
      <c r="AD64" s="277">
        <f t="shared" si="29"/>
        <v>0</v>
      </c>
      <c r="AE64" s="277">
        <f t="shared" si="29"/>
        <v>0</v>
      </c>
      <c r="AF64" s="277">
        <f t="shared" si="29"/>
        <v>0</v>
      </c>
      <c r="AG64" s="277">
        <f t="shared" si="29"/>
        <v>0</v>
      </c>
      <c r="AH64" s="277">
        <f t="shared" si="29"/>
        <v>0</v>
      </c>
      <c r="AI64" s="277">
        <f t="shared" si="29"/>
        <v>0</v>
      </c>
      <c r="AJ64" s="277">
        <f t="shared" si="29"/>
        <v>0</v>
      </c>
      <c r="AK64" s="277">
        <f t="shared" si="29"/>
        <v>0</v>
      </c>
      <c r="AL64" s="277">
        <f t="shared" si="29"/>
        <v>0</v>
      </c>
      <c r="AM64" s="277">
        <f t="shared" si="29"/>
        <v>0</v>
      </c>
      <c r="AN64" s="277">
        <f t="shared" si="29"/>
        <v>0</v>
      </c>
      <c r="AO64" s="277">
        <f t="shared" si="29"/>
        <v>0</v>
      </c>
      <c r="AP64" s="277">
        <f t="shared" si="29"/>
        <v>0</v>
      </c>
      <c r="AQ64" s="277">
        <f t="shared" si="29"/>
        <v>0</v>
      </c>
      <c r="AR64" s="277">
        <f t="shared" si="29"/>
        <v>0</v>
      </c>
      <c r="AS64" s="277">
        <f t="shared" si="29"/>
        <v>0</v>
      </c>
      <c r="AT64" s="277">
        <f t="shared" si="29"/>
        <v>0</v>
      </c>
      <c r="AU64" s="277">
        <f t="shared" si="29"/>
        <v>0</v>
      </c>
      <c r="AV64" s="277">
        <f t="shared" si="29"/>
        <v>0</v>
      </c>
      <c r="AW64" s="277">
        <f t="shared" si="29"/>
        <v>0</v>
      </c>
      <c r="AX64" s="277">
        <f t="shared" si="29"/>
        <v>0</v>
      </c>
      <c r="AY64" s="277">
        <f t="shared" si="29"/>
        <v>0</v>
      </c>
      <c r="AZ64" s="277">
        <f t="shared" si="29"/>
        <v>0</v>
      </c>
      <c r="BA64" s="277">
        <f t="shared" si="29"/>
        <v>0</v>
      </c>
      <c r="BB64" s="277">
        <f t="shared" si="29"/>
        <v>0</v>
      </c>
      <c r="BC64" s="277">
        <f t="shared" si="29"/>
        <v>0</v>
      </c>
      <c r="BD64" s="277">
        <f t="shared" si="29"/>
        <v>0</v>
      </c>
      <c r="BE64" s="277">
        <f t="shared" si="29"/>
        <v>0</v>
      </c>
      <c r="BF64" s="277">
        <f t="shared" si="29"/>
        <v>0</v>
      </c>
      <c r="BG64" s="277">
        <f t="shared" si="29"/>
        <v>0</v>
      </c>
      <c r="BH64" s="277">
        <f t="shared" si="29"/>
        <v>0</v>
      </c>
      <c r="BI64" s="277">
        <f t="shared" si="29"/>
        <v>0</v>
      </c>
      <c r="BJ64" s="277">
        <f t="shared" si="29"/>
        <v>0</v>
      </c>
      <c r="BK64" s="277">
        <f t="shared" si="29"/>
        <v>0</v>
      </c>
      <c r="BL64" s="277">
        <f t="shared" si="29"/>
        <v>0</v>
      </c>
      <c r="BM64" s="277">
        <f t="shared" si="29"/>
        <v>0</v>
      </c>
      <c r="BN64" s="277">
        <f t="shared" si="29"/>
        <v>0</v>
      </c>
      <c r="BO64" s="277">
        <f t="shared" si="29"/>
        <v>0</v>
      </c>
      <c r="BP64" s="277">
        <f t="shared" ref="BP64:EA64" si="30">BP$58*DebtInv_PctCashFlow</f>
        <v>0</v>
      </c>
      <c r="BQ64" s="277">
        <f t="shared" si="30"/>
        <v>0</v>
      </c>
      <c r="BR64" s="277">
        <f t="shared" si="30"/>
        <v>0</v>
      </c>
      <c r="BS64" s="277">
        <f t="shared" si="30"/>
        <v>0</v>
      </c>
      <c r="BT64" s="277">
        <f t="shared" si="30"/>
        <v>0</v>
      </c>
      <c r="BU64" s="277">
        <f t="shared" si="30"/>
        <v>0</v>
      </c>
      <c r="BV64" s="277">
        <f t="shared" si="30"/>
        <v>0</v>
      </c>
      <c r="BW64" s="277">
        <f t="shared" si="30"/>
        <v>0</v>
      </c>
      <c r="BX64" s="277">
        <f t="shared" si="30"/>
        <v>0</v>
      </c>
      <c r="BY64" s="277">
        <f t="shared" si="30"/>
        <v>0</v>
      </c>
      <c r="BZ64" s="277">
        <f t="shared" si="30"/>
        <v>0</v>
      </c>
      <c r="CA64" s="277">
        <f t="shared" si="30"/>
        <v>0</v>
      </c>
      <c r="CB64" s="277">
        <f t="shared" si="30"/>
        <v>0</v>
      </c>
      <c r="CC64" s="277">
        <f t="shared" si="30"/>
        <v>0</v>
      </c>
      <c r="CD64" s="277">
        <f t="shared" si="30"/>
        <v>0</v>
      </c>
      <c r="CE64" s="277">
        <f t="shared" si="30"/>
        <v>0</v>
      </c>
      <c r="CF64" s="277">
        <f t="shared" si="30"/>
        <v>0</v>
      </c>
      <c r="CG64" s="277">
        <f t="shared" si="30"/>
        <v>0</v>
      </c>
      <c r="CH64" s="277">
        <f t="shared" si="30"/>
        <v>0</v>
      </c>
      <c r="CI64" s="277">
        <f t="shared" si="30"/>
        <v>0</v>
      </c>
      <c r="CJ64" s="277">
        <f t="shared" si="30"/>
        <v>0</v>
      </c>
      <c r="CK64" s="277">
        <f t="shared" si="30"/>
        <v>0</v>
      </c>
      <c r="CL64" s="277">
        <f t="shared" si="30"/>
        <v>0</v>
      </c>
      <c r="CM64" s="277">
        <f t="shared" si="30"/>
        <v>0</v>
      </c>
      <c r="CN64" s="277">
        <f t="shared" si="30"/>
        <v>0</v>
      </c>
      <c r="CO64" s="277">
        <f t="shared" si="30"/>
        <v>0</v>
      </c>
      <c r="CP64" s="277">
        <f t="shared" si="30"/>
        <v>0</v>
      </c>
      <c r="CQ64" s="277">
        <f t="shared" si="30"/>
        <v>0</v>
      </c>
      <c r="CR64" s="277">
        <f t="shared" si="30"/>
        <v>0</v>
      </c>
      <c r="CS64" s="277">
        <f t="shared" si="30"/>
        <v>0</v>
      </c>
      <c r="CT64" s="277">
        <f t="shared" si="30"/>
        <v>0</v>
      </c>
      <c r="CU64" s="277">
        <f t="shared" si="30"/>
        <v>0</v>
      </c>
      <c r="CV64" s="277">
        <f t="shared" si="30"/>
        <v>0</v>
      </c>
      <c r="CW64" s="277">
        <f t="shared" si="30"/>
        <v>0</v>
      </c>
      <c r="CX64" s="277">
        <f t="shared" si="30"/>
        <v>0</v>
      </c>
      <c r="CY64" s="277">
        <f t="shared" si="30"/>
        <v>0</v>
      </c>
      <c r="CZ64" s="277">
        <f t="shared" si="30"/>
        <v>0</v>
      </c>
      <c r="DA64" s="277">
        <f t="shared" si="30"/>
        <v>0</v>
      </c>
      <c r="DB64" s="277">
        <f t="shared" si="30"/>
        <v>0</v>
      </c>
      <c r="DC64" s="277">
        <f t="shared" si="30"/>
        <v>0</v>
      </c>
      <c r="DD64" s="277">
        <f t="shared" si="30"/>
        <v>0</v>
      </c>
      <c r="DE64" s="277">
        <f t="shared" si="30"/>
        <v>0</v>
      </c>
      <c r="DF64" s="277">
        <f t="shared" si="30"/>
        <v>0</v>
      </c>
      <c r="DG64" s="277">
        <f t="shared" si="30"/>
        <v>0</v>
      </c>
      <c r="DH64" s="277">
        <f t="shared" si="30"/>
        <v>0</v>
      </c>
      <c r="DI64" s="277">
        <f t="shared" si="30"/>
        <v>0</v>
      </c>
      <c r="DJ64" s="277">
        <f t="shared" si="30"/>
        <v>0</v>
      </c>
      <c r="DK64" s="277">
        <f t="shared" si="30"/>
        <v>0</v>
      </c>
      <c r="DL64" s="277">
        <f t="shared" si="30"/>
        <v>0</v>
      </c>
      <c r="DM64" s="277">
        <f t="shared" si="30"/>
        <v>0</v>
      </c>
      <c r="DN64" s="277">
        <f t="shared" si="30"/>
        <v>0</v>
      </c>
      <c r="DO64" s="277">
        <f t="shared" si="30"/>
        <v>0</v>
      </c>
      <c r="DP64" s="277">
        <f t="shared" si="30"/>
        <v>0</v>
      </c>
      <c r="DQ64" s="277">
        <f t="shared" si="30"/>
        <v>0</v>
      </c>
      <c r="DR64" s="277">
        <f t="shared" si="30"/>
        <v>0</v>
      </c>
      <c r="DS64" s="277">
        <f t="shared" si="30"/>
        <v>0</v>
      </c>
      <c r="DT64" s="277">
        <f t="shared" si="30"/>
        <v>0</v>
      </c>
      <c r="DU64" s="277">
        <f t="shared" si="30"/>
        <v>0</v>
      </c>
      <c r="DV64" s="277">
        <f t="shared" si="30"/>
        <v>0</v>
      </c>
      <c r="DW64" s="277">
        <f t="shared" si="30"/>
        <v>0</v>
      </c>
      <c r="DX64" s="277">
        <f t="shared" si="30"/>
        <v>0</v>
      </c>
      <c r="DY64" s="277">
        <f t="shared" si="30"/>
        <v>0</v>
      </c>
      <c r="DZ64" s="277">
        <f t="shared" si="30"/>
        <v>0</v>
      </c>
      <c r="EA64" s="277">
        <f t="shared" si="30"/>
        <v>0</v>
      </c>
      <c r="EB64" s="277">
        <f t="shared" ref="EB64:GA64" si="31">EB$58*DebtInv_PctCashFlow</f>
        <v>0</v>
      </c>
      <c r="EC64" s="277">
        <f t="shared" si="31"/>
        <v>0</v>
      </c>
      <c r="ED64" s="277">
        <f t="shared" si="31"/>
        <v>0</v>
      </c>
      <c r="EE64" s="277">
        <f t="shared" si="31"/>
        <v>0</v>
      </c>
      <c r="EF64" s="277">
        <f t="shared" si="31"/>
        <v>0</v>
      </c>
      <c r="EG64" s="277">
        <f t="shared" si="31"/>
        <v>0</v>
      </c>
      <c r="EH64" s="277">
        <f t="shared" si="31"/>
        <v>0</v>
      </c>
      <c r="EI64" s="277">
        <f t="shared" si="31"/>
        <v>0</v>
      </c>
      <c r="EJ64" s="277">
        <f t="shared" si="31"/>
        <v>0</v>
      </c>
      <c r="EK64" s="277">
        <f t="shared" si="31"/>
        <v>0</v>
      </c>
      <c r="EL64" s="277">
        <f t="shared" si="31"/>
        <v>0</v>
      </c>
      <c r="EM64" s="277">
        <f t="shared" si="31"/>
        <v>0</v>
      </c>
      <c r="EN64" s="277">
        <f t="shared" si="31"/>
        <v>0</v>
      </c>
      <c r="EO64" s="277">
        <f t="shared" si="31"/>
        <v>0</v>
      </c>
      <c r="EP64" s="277">
        <f t="shared" si="31"/>
        <v>0</v>
      </c>
      <c r="EQ64" s="277">
        <f t="shared" si="31"/>
        <v>0</v>
      </c>
      <c r="ER64" s="277">
        <f t="shared" si="31"/>
        <v>0</v>
      </c>
      <c r="ES64" s="277">
        <f t="shared" si="31"/>
        <v>0</v>
      </c>
      <c r="ET64" s="277">
        <f t="shared" si="31"/>
        <v>0</v>
      </c>
      <c r="EU64" s="277">
        <f t="shared" si="31"/>
        <v>0</v>
      </c>
      <c r="EV64" s="277">
        <f t="shared" si="31"/>
        <v>0</v>
      </c>
      <c r="EW64" s="277">
        <f t="shared" si="31"/>
        <v>0</v>
      </c>
      <c r="EX64" s="277">
        <f t="shared" si="31"/>
        <v>0</v>
      </c>
      <c r="EY64" s="277">
        <f t="shared" si="31"/>
        <v>0</v>
      </c>
      <c r="EZ64" s="277">
        <f t="shared" si="31"/>
        <v>0</v>
      </c>
      <c r="FA64" s="277">
        <f t="shared" si="31"/>
        <v>0</v>
      </c>
      <c r="FB64" s="277">
        <f t="shared" si="31"/>
        <v>0</v>
      </c>
      <c r="FC64" s="277">
        <f t="shared" si="31"/>
        <v>0</v>
      </c>
      <c r="FD64" s="277">
        <f t="shared" si="31"/>
        <v>0</v>
      </c>
      <c r="FE64" s="277">
        <f t="shared" si="31"/>
        <v>0</v>
      </c>
      <c r="FF64" s="277">
        <f t="shared" si="31"/>
        <v>0</v>
      </c>
      <c r="FG64" s="277">
        <f t="shared" si="31"/>
        <v>0</v>
      </c>
      <c r="FH64" s="277">
        <f t="shared" si="31"/>
        <v>0</v>
      </c>
      <c r="FI64" s="277">
        <f t="shared" si="31"/>
        <v>0</v>
      </c>
      <c r="FJ64" s="277">
        <f t="shared" si="31"/>
        <v>0</v>
      </c>
      <c r="FK64" s="277">
        <f t="shared" si="31"/>
        <v>0</v>
      </c>
      <c r="FL64" s="277">
        <f t="shared" si="31"/>
        <v>0</v>
      </c>
      <c r="FM64" s="277">
        <f t="shared" si="31"/>
        <v>0</v>
      </c>
      <c r="FN64" s="277">
        <f t="shared" si="31"/>
        <v>0</v>
      </c>
      <c r="FO64" s="277">
        <f t="shared" si="31"/>
        <v>0</v>
      </c>
      <c r="FP64" s="277">
        <f t="shared" si="31"/>
        <v>0</v>
      </c>
      <c r="FQ64" s="277">
        <f t="shared" si="31"/>
        <v>0</v>
      </c>
      <c r="FR64" s="277">
        <f t="shared" si="31"/>
        <v>0</v>
      </c>
      <c r="FS64" s="277">
        <f t="shared" si="31"/>
        <v>0</v>
      </c>
      <c r="FT64" s="277">
        <f t="shared" si="31"/>
        <v>0</v>
      </c>
      <c r="FU64" s="277">
        <f t="shared" si="31"/>
        <v>0</v>
      </c>
      <c r="FV64" s="277">
        <f t="shared" si="31"/>
        <v>0</v>
      </c>
      <c r="FW64" s="277">
        <f t="shared" si="31"/>
        <v>0</v>
      </c>
      <c r="FX64" s="277">
        <f t="shared" si="31"/>
        <v>0</v>
      </c>
      <c r="FY64" s="277">
        <f t="shared" si="31"/>
        <v>0</v>
      </c>
      <c r="FZ64" s="277">
        <f t="shared" si="31"/>
        <v>0</v>
      </c>
      <c r="GA64" s="293">
        <f t="shared" si="31"/>
        <v>0</v>
      </c>
    </row>
    <row r="65" spans="1:183" x14ac:dyDescent="0.15">
      <c r="A65" s="310" t="s">
        <v>854</v>
      </c>
      <c r="C65" s="300"/>
      <c r="D65" s="277">
        <f>IF(DebtInv_Pct=0,0,XNPV(DebtInv_ReqIRR,$C64:D64,$C$52:D$52))</f>
        <v>0</v>
      </c>
      <c r="E65" s="277">
        <f>IF(DebtInv_Pct=0,0,XNPV(DebtInv_ReqIRR,$C64:E64,$C$52:E$52))</f>
        <v>0</v>
      </c>
      <c r="F65" s="277">
        <f>IF(DebtInv_Pct=0,0,XNPV(DebtInv_ReqIRR,$C64:F64,$C$52:F$52))</f>
        <v>0</v>
      </c>
      <c r="G65" s="277">
        <f>IF(DebtInv_Pct=0,0,XNPV(DebtInv_ReqIRR,$C64:G64,$C$52:G$52))</f>
        <v>0</v>
      </c>
      <c r="H65" s="277">
        <f>IF(DebtInv_Pct=0,0,XNPV(DebtInv_ReqIRR,$C64:H64,$C$52:H$52))</f>
        <v>0</v>
      </c>
      <c r="I65" s="277">
        <f>IF(DebtInv_Pct=0,0,XNPV(DebtInv_ReqIRR,$C64:I64,$C$52:I$52))</f>
        <v>0</v>
      </c>
      <c r="J65" s="277">
        <f>IF(DebtInv_Pct=0,0,XNPV(DebtInv_ReqIRR,$C64:J64,$C$52:J$52))</f>
        <v>0</v>
      </c>
      <c r="K65" s="277">
        <f>IF(DebtInv_Pct=0,0,XNPV(DebtInv_ReqIRR,$C64:K64,$C$52:K$52))</f>
        <v>0</v>
      </c>
      <c r="L65" s="277">
        <f>IF(DebtInv_Pct=0,0,XNPV(DebtInv_ReqIRR,$C64:L64,$C$52:L$52))</f>
        <v>0</v>
      </c>
      <c r="M65" s="277">
        <f>IF(DebtInv_Pct=0,0,XNPV(DebtInv_ReqIRR,$C64:M64,$C$52:M$52))</f>
        <v>0</v>
      </c>
      <c r="N65" s="277">
        <f>IF(DebtInv_Pct=0,0,XNPV(DebtInv_ReqIRR,$C64:N64,$C$52:N$52))</f>
        <v>0</v>
      </c>
      <c r="O65" s="277">
        <f>IF(DebtInv_Pct=0,0,XNPV(DebtInv_ReqIRR,$C64:O64,$C$52:O$52))</f>
        <v>0</v>
      </c>
      <c r="P65" s="277">
        <f>IF(DebtInv_Pct=0,0,XNPV(DebtInv_ReqIRR,$C64:P64,$C$52:P$52))</f>
        <v>0</v>
      </c>
      <c r="Q65" s="277">
        <f>IF(DebtInv_Pct=0,0,XNPV(DebtInv_ReqIRR,$C64:Q64,$C$52:Q$52))</f>
        <v>0</v>
      </c>
      <c r="R65" s="277">
        <f>IF(DebtInv_Pct=0,0,XNPV(DebtInv_ReqIRR,$C64:R64,$C$52:R$52))</f>
        <v>0</v>
      </c>
      <c r="S65" s="277">
        <f>IF(DebtInv_Pct=0,0,XNPV(DebtInv_ReqIRR,$C64:S64,$C$52:S$52))</f>
        <v>0</v>
      </c>
      <c r="T65" s="277">
        <f>IF(DebtInv_Pct=0,0,XNPV(DebtInv_ReqIRR,$C64:T64,$C$52:T$52))</f>
        <v>0</v>
      </c>
      <c r="U65" s="277">
        <f>IF(DebtInv_Pct=0,0,XNPV(DebtInv_ReqIRR,$C64:U64,$C$52:U$52))</f>
        <v>0</v>
      </c>
      <c r="V65" s="277">
        <f>IF(DebtInv_Pct=0,0,XNPV(DebtInv_ReqIRR,$C64:V64,$C$52:V$52))</f>
        <v>0</v>
      </c>
      <c r="W65" s="277">
        <f>IF(DebtInv_Pct=0,0,XNPV(DebtInv_ReqIRR,$C64:W64,$C$52:W$52))</f>
        <v>0</v>
      </c>
      <c r="X65" s="277">
        <f>IF(DebtInv_Pct=0,0,XNPV(DebtInv_ReqIRR,$C64:X64,$C$52:X$52))</f>
        <v>0</v>
      </c>
      <c r="Y65" s="277">
        <f>IF(DebtInv_Pct=0,0,XNPV(DebtInv_ReqIRR,$C64:Y64,$C$52:Y$52))</f>
        <v>0</v>
      </c>
      <c r="Z65" s="277">
        <f>IF(DebtInv_Pct=0,0,XNPV(DebtInv_ReqIRR,$C64:Z64,$C$52:Z$52))</f>
        <v>0</v>
      </c>
      <c r="AA65" s="277">
        <f>IF(DebtInv_Pct=0,0,XNPV(DebtInv_ReqIRR,$C64:AA64,$C$52:AA$52))</f>
        <v>0</v>
      </c>
      <c r="AB65" s="277">
        <f>IF(DebtInv_Pct=0,0,XNPV(DebtInv_ReqIRR,$C64:AB64,$C$52:AB$52))</f>
        <v>0</v>
      </c>
      <c r="AC65" s="277">
        <f>IF(DebtInv_Pct=0,0,XNPV(DebtInv_ReqIRR,$C64:AC64,$C$52:AC$52))</f>
        <v>0</v>
      </c>
      <c r="AD65" s="277">
        <f>IF(DebtInv_Pct=0,0,XNPV(DebtInv_ReqIRR,$C64:AD64,$C$52:AD$52))</f>
        <v>0</v>
      </c>
      <c r="AE65" s="277">
        <f>IF(DebtInv_Pct=0,0,XNPV(DebtInv_ReqIRR,$C64:AE64,$C$52:AE$52))</f>
        <v>0</v>
      </c>
      <c r="AF65" s="277">
        <f>IF(DebtInv_Pct=0,0,XNPV(DebtInv_ReqIRR,$C64:AF64,$C$52:AF$52))</f>
        <v>0</v>
      </c>
      <c r="AG65" s="277">
        <f>IF(DebtInv_Pct=0,0,XNPV(DebtInv_ReqIRR,$C64:AG64,$C$52:AG$52))</f>
        <v>0</v>
      </c>
      <c r="AH65" s="277">
        <f>IF(DebtInv_Pct=0,0,XNPV(DebtInv_ReqIRR,$C64:AH64,$C$52:AH$52))</f>
        <v>0</v>
      </c>
      <c r="AI65" s="277">
        <f>IF(DebtInv_Pct=0,0,XNPV(DebtInv_ReqIRR,$C64:AI64,$C$52:AI$52))</f>
        <v>0</v>
      </c>
      <c r="AJ65" s="277">
        <f>IF(DebtInv_Pct=0,0,XNPV(DebtInv_ReqIRR,$C64:AJ64,$C$52:AJ$52))</f>
        <v>0</v>
      </c>
      <c r="AK65" s="277">
        <f>IF(DebtInv_Pct=0,0,XNPV(DebtInv_ReqIRR,$C64:AK64,$C$52:AK$52))</f>
        <v>0</v>
      </c>
      <c r="AL65" s="277">
        <f>IF(DebtInv_Pct=0,0,XNPV(DebtInv_ReqIRR,$C64:AL64,$C$52:AL$52))</f>
        <v>0</v>
      </c>
      <c r="AM65" s="277">
        <f>IF(DebtInv_Pct=0,0,XNPV(DebtInv_ReqIRR,$C64:AM64,$C$52:AM$52))</f>
        <v>0</v>
      </c>
      <c r="AN65" s="277">
        <f>IF(DebtInv_Pct=0,0,XNPV(DebtInv_ReqIRR,$C64:AN64,$C$52:AN$52))</f>
        <v>0</v>
      </c>
      <c r="AO65" s="277">
        <f>IF(DebtInv_Pct=0,0,XNPV(DebtInv_ReqIRR,$C64:AO64,$C$52:AO$52))</f>
        <v>0</v>
      </c>
      <c r="AP65" s="277">
        <f>IF(DebtInv_Pct=0,0,XNPV(DebtInv_ReqIRR,$C64:AP64,$C$52:AP$52))</f>
        <v>0</v>
      </c>
      <c r="AQ65" s="277">
        <f>IF(DebtInv_Pct=0,0,XNPV(DebtInv_ReqIRR,$C64:AQ64,$C$52:AQ$52))</f>
        <v>0</v>
      </c>
      <c r="AR65" s="277">
        <f>IF(DebtInv_Pct=0,0,XNPV(DebtInv_ReqIRR,$C64:AR64,$C$52:AR$52))</f>
        <v>0</v>
      </c>
      <c r="AS65" s="277">
        <f>IF(DebtInv_Pct=0,0,XNPV(DebtInv_ReqIRR,$C64:AS64,$C$52:AS$52))</f>
        <v>0</v>
      </c>
      <c r="AT65" s="277">
        <f>IF(DebtInv_Pct=0,0,XNPV(DebtInv_ReqIRR,$C64:AT64,$C$52:AT$52))</f>
        <v>0</v>
      </c>
      <c r="AU65" s="277">
        <f>IF(DebtInv_Pct=0,0,XNPV(DebtInv_ReqIRR,$C64:AU64,$C$52:AU$52))</f>
        <v>0</v>
      </c>
      <c r="AV65" s="277">
        <f>IF(DebtInv_Pct=0,0,XNPV(DebtInv_ReqIRR,$C64:AV64,$C$52:AV$52))</f>
        <v>0</v>
      </c>
      <c r="AW65" s="277">
        <f>IF(DebtInv_Pct=0,0,XNPV(DebtInv_ReqIRR,$C64:AW64,$C$52:AW$52))</f>
        <v>0</v>
      </c>
      <c r="AX65" s="277">
        <f>IF(DebtInv_Pct=0,0,XNPV(DebtInv_ReqIRR,$C64:AX64,$C$52:AX$52))</f>
        <v>0</v>
      </c>
      <c r="AY65" s="277">
        <f>IF(DebtInv_Pct=0,0,XNPV(DebtInv_ReqIRR,$C64:AY64,$C$52:AY$52))</f>
        <v>0</v>
      </c>
      <c r="AZ65" s="277">
        <f>IF(DebtInv_Pct=0,0,XNPV(DebtInv_ReqIRR,$C64:AZ64,$C$52:AZ$52))</f>
        <v>0</v>
      </c>
      <c r="BA65" s="277">
        <f>IF(DebtInv_Pct=0,0,XNPV(DebtInv_ReqIRR,$C64:BA64,$C$52:BA$52))</f>
        <v>0</v>
      </c>
      <c r="BB65" s="277">
        <f>IF(DebtInv_Pct=0,0,XNPV(DebtInv_ReqIRR,$C64:BB64,$C$52:BB$52))</f>
        <v>0</v>
      </c>
      <c r="BC65" s="277">
        <f>IF(DebtInv_Pct=0,0,XNPV(DebtInv_ReqIRR,$C64:BC64,$C$52:BC$52))</f>
        <v>0</v>
      </c>
      <c r="BD65" s="277">
        <f>IF(DebtInv_Pct=0,0,XNPV(DebtInv_ReqIRR,$C64:BD64,$C$52:BD$52))</f>
        <v>0</v>
      </c>
      <c r="BE65" s="277">
        <f>IF(DebtInv_Pct=0,0,XNPV(DebtInv_ReqIRR,$C64:BE64,$C$52:BE$52))</f>
        <v>0</v>
      </c>
      <c r="BF65" s="277">
        <f>IF(DebtInv_Pct=0,0,XNPV(DebtInv_ReqIRR,$C64:BF64,$C$52:BF$52))</f>
        <v>0</v>
      </c>
      <c r="BG65" s="277">
        <f>IF(DebtInv_Pct=0,0,XNPV(DebtInv_ReqIRR,$C64:BG64,$C$52:BG$52))</f>
        <v>0</v>
      </c>
      <c r="BH65" s="277">
        <f>IF(DebtInv_Pct=0,0,XNPV(DebtInv_ReqIRR,$C64:BH64,$C$52:BH$52))</f>
        <v>0</v>
      </c>
      <c r="BI65" s="277">
        <f>IF(DebtInv_Pct=0,0,XNPV(DebtInv_ReqIRR,$C64:BI64,$C$52:BI$52))</f>
        <v>0</v>
      </c>
      <c r="BJ65" s="277">
        <f>IF(DebtInv_Pct=0,0,XNPV(DebtInv_ReqIRR,$C64:BJ64,$C$52:BJ$52))</f>
        <v>0</v>
      </c>
      <c r="BK65" s="277">
        <f>IF(DebtInv_Pct=0,0,XNPV(DebtInv_ReqIRR,$C64:BK64,$C$52:BK$52))</f>
        <v>0</v>
      </c>
      <c r="BL65" s="277">
        <f>IF(DebtInv_Pct=0,0,XNPV(DebtInv_ReqIRR,$C64:BL64,$C$52:BL$52))</f>
        <v>0</v>
      </c>
      <c r="BM65" s="277">
        <f>IF(DebtInv_Pct=0,0,XNPV(DebtInv_ReqIRR,$C64:BM64,$C$52:BM$52))</f>
        <v>0</v>
      </c>
      <c r="BN65" s="277">
        <f>IF(DebtInv_Pct=0,0,XNPV(DebtInv_ReqIRR,$C64:BN64,$C$52:BN$52))</f>
        <v>0</v>
      </c>
      <c r="BO65" s="277">
        <f>IF(DebtInv_Pct=0,0,XNPV(DebtInv_ReqIRR,$C64:BO64,$C$52:BO$52))</f>
        <v>0</v>
      </c>
      <c r="BP65" s="277">
        <f>IF(DebtInv_Pct=0,0,XNPV(DebtInv_ReqIRR,$C64:BP64,$C$52:BP$52))</f>
        <v>0</v>
      </c>
      <c r="BQ65" s="277">
        <f>IF(DebtInv_Pct=0,0,XNPV(DebtInv_ReqIRR,$C64:BQ64,$C$52:BQ$52))</f>
        <v>0</v>
      </c>
      <c r="BR65" s="277">
        <f>IF(DebtInv_Pct=0,0,XNPV(DebtInv_ReqIRR,$C64:BR64,$C$52:BR$52))</f>
        <v>0</v>
      </c>
      <c r="BS65" s="277">
        <f>IF(DebtInv_Pct=0,0,XNPV(DebtInv_ReqIRR,$C64:BS64,$C$52:BS$52))</f>
        <v>0</v>
      </c>
      <c r="BT65" s="277">
        <f>IF(DebtInv_Pct=0,0,XNPV(DebtInv_ReqIRR,$C64:BT64,$C$52:BT$52))</f>
        <v>0</v>
      </c>
      <c r="BU65" s="277">
        <f>IF(DebtInv_Pct=0,0,XNPV(DebtInv_ReqIRR,$C64:BU64,$C$52:BU$52))</f>
        <v>0</v>
      </c>
      <c r="BV65" s="277">
        <f>IF(DebtInv_Pct=0,0,XNPV(DebtInv_ReqIRR,$C64:BV64,$C$52:BV$52))</f>
        <v>0</v>
      </c>
      <c r="BW65" s="277">
        <f>IF(DebtInv_Pct=0,0,XNPV(DebtInv_ReqIRR,$C64:BW64,$C$52:BW$52))</f>
        <v>0</v>
      </c>
      <c r="BX65" s="277">
        <f>IF(DebtInv_Pct=0,0,XNPV(DebtInv_ReqIRR,$C64:BX64,$C$52:BX$52))</f>
        <v>0</v>
      </c>
      <c r="BY65" s="277">
        <f>IF(DebtInv_Pct=0,0,XNPV(DebtInv_ReqIRR,$C64:BY64,$C$52:BY$52))</f>
        <v>0</v>
      </c>
      <c r="BZ65" s="277">
        <f>IF(DebtInv_Pct=0,0,XNPV(DebtInv_ReqIRR,$C64:BZ64,$C$52:BZ$52))</f>
        <v>0</v>
      </c>
      <c r="CA65" s="277">
        <f>IF(DebtInv_Pct=0,0,XNPV(DebtInv_ReqIRR,$C64:CA64,$C$52:CA$52))</f>
        <v>0</v>
      </c>
      <c r="CB65" s="277">
        <f>IF(DebtInv_Pct=0,0,XNPV(DebtInv_ReqIRR,$C64:CB64,$C$52:CB$52))</f>
        <v>0</v>
      </c>
      <c r="CC65" s="277">
        <f>IF(DebtInv_Pct=0,0,XNPV(DebtInv_ReqIRR,$C64:CC64,$C$52:CC$52))</f>
        <v>0</v>
      </c>
      <c r="CD65" s="277">
        <f>IF(DebtInv_Pct=0,0,XNPV(DebtInv_ReqIRR,$C64:CD64,$C$52:CD$52))</f>
        <v>0</v>
      </c>
      <c r="CE65" s="277">
        <f>IF(DebtInv_Pct=0,0,XNPV(DebtInv_ReqIRR,$C64:CE64,$C$52:CE$52))</f>
        <v>0</v>
      </c>
      <c r="CF65" s="277">
        <f>IF(DebtInv_Pct=0,0,XNPV(DebtInv_ReqIRR,$C64:CF64,$C$52:CF$52))</f>
        <v>0</v>
      </c>
      <c r="CG65" s="277">
        <f>IF(DebtInv_Pct=0,0,XNPV(DebtInv_ReqIRR,$C64:CG64,$C$52:CG$52))</f>
        <v>0</v>
      </c>
      <c r="CH65" s="277">
        <f>IF(DebtInv_Pct=0,0,XNPV(DebtInv_ReqIRR,$C64:CH64,$C$52:CH$52))</f>
        <v>0</v>
      </c>
      <c r="CI65" s="277">
        <f>IF(DebtInv_Pct=0,0,XNPV(DebtInv_ReqIRR,$C64:CI64,$C$52:CI$52))</f>
        <v>0</v>
      </c>
      <c r="CJ65" s="277">
        <f>IF(DebtInv_Pct=0,0,XNPV(DebtInv_ReqIRR,$C64:CJ64,$C$52:CJ$52))</f>
        <v>0</v>
      </c>
      <c r="CK65" s="277">
        <f>IF(DebtInv_Pct=0,0,XNPV(DebtInv_ReqIRR,$C64:CK64,$C$52:CK$52))</f>
        <v>0</v>
      </c>
      <c r="CL65" s="277">
        <f>IF(DebtInv_Pct=0,0,XNPV(DebtInv_ReqIRR,$C64:CL64,$C$52:CL$52))</f>
        <v>0</v>
      </c>
      <c r="CM65" s="277">
        <f>IF(DebtInv_Pct=0,0,XNPV(DebtInv_ReqIRR,$C64:CM64,$C$52:CM$52))</f>
        <v>0</v>
      </c>
      <c r="CN65" s="277">
        <f>IF(DebtInv_Pct=0,0,XNPV(DebtInv_ReqIRR,$C64:CN64,$C$52:CN$52))</f>
        <v>0</v>
      </c>
      <c r="CO65" s="277">
        <f>IF(DebtInv_Pct=0,0,XNPV(DebtInv_ReqIRR,$C64:CO64,$C$52:CO$52))</f>
        <v>0</v>
      </c>
      <c r="CP65" s="277">
        <f>IF(DebtInv_Pct=0,0,XNPV(DebtInv_ReqIRR,$C64:CP64,$C$52:CP$52))</f>
        <v>0</v>
      </c>
      <c r="CQ65" s="277">
        <f>IF(DebtInv_Pct=0,0,XNPV(DebtInv_ReqIRR,$C64:CQ64,$C$52:CQ$52))</f>
        <v>0</v>
      </c>
      <c r="CR65" s="277">
        <f>IF(DebtInv_Pct=0,0,XNPV(DebtInv_ReqIRR,$C64:CR64,$C$52:CR$52))</f>
        <v>0</v>
      </c>
      <c r="CS65" s="277">
        <f>IF(DebtInv_Pct=0,0,XNPV(DebtInv_ReqIRR,$C64:CS64,$C$52:CS$52))</f>
        <v>0</v>
      </c>
      <c r="CT65" s="277">
        <f>IF(DebtInv_Pct=0,0,XNPV(DebtInv_ReqIRR,$C64:CT64,$C$52:CT$52))</f>
        <v>0</v>
      </c>
      <c r="CU65" s="277">
        <f>IF(DebtInv_Pct=0,0,XNPV(DebtInv_ReqIRR,$C64:CU64,$C$52:CU$52))</f>
        <v>0</v>
      </c>
      <c r="CV65" s="277">
        <f>IF(DebtInv_Pct=0,0,XNPV(DebtInv_ReqIRR,$C64:CV64,$C$52:CV$52))</f>
        <v>0</v>
      </c>
      <c r="CW65" s="277">
        <f>IF(DebtInv_Pct=0,0,XNPV(DebtInv_ReqIRR,$C64:CW64,$C$52:CW$52))</f>
        <v>0</v>
      </c>
      <c r="CX65" s="277">
        <f>IF(DebtInv_Pct=0,0,XNPV(DebtInv_ReqIRR,$C64:CX64,$C$52:CX$52))</f>
        <v>0</v>
      </c>
      <c r="CY65" s="277">
        <f>IF(DebtInv_Pct=0,0,XNPV(DebtInv_ReqIRR,$C64:CY64,$C$52:CY$52))</f>
        <v>0</v>
      </c>
      <c r="CZ65" s="277">
        <f>IF(DebtInv_Pct=0,0,XNPV(DebtInv_ReqIRR,$C64:CZ64,$C$52:CZ$52))</f>
        <v>0</v>
      </c>
      <c r="DA65" s="277">
        <f>IF(DebtInv_Pct=0,0,XNPV(DebtInv_ReqIRR,$C64:DA64,$C$52:DA$52))</f>
        <v>0</v>
      </c>
      <c r="DB65" s="277">
        <f>IF(DebtInv_Pct=0,0,XNPV(DebtInv_ReqIRR,$C64:DB64,$C$52:DB$52))</f>
        <v>0</v>
      </c>
      <c r="DC65" s="277">
        <f>IF(DebtInv_Pct=0,0,XNPV(DebtInv_ReqIRR,$C64:DC64,$C$52:DC$52))</f>
        <v>0</v>
      </c>
      <c r="DD65" s="277">
        <f>IF(DebtInv_Pct=0,0,XNPV(DebtInv_ReqIRR,$C64:DD64,$C$52:DD$52))</f>
        <v>0</v>
      </c>
      <c r="DE65" s="277">
        <f>IF(DebtInv_Pct=0,0,XNPV(DebtInv_ReqIRR,$C64:DE64,$C$52:DE$52))</f>
        <v>0</v>
      </c>
      <c r="DF65" s="277">
        <f>IF(DebtInv_Pct=0,0,XNPV(DebtInv_ReqIRR,$C64:DF64,$C$52:DF$52))</f>
        <v>0</v>
      </c>
      <c r="DG65" s="277">
        <f>IF(DebtInv_Pct=0,0,XNPV(DebtInv_ReqIRR,$C64:DG64,$C$52:DG$52))</f>
        <v>0</v>
      </c>
      <c r="DH65" s="277">
        <f>IF(DebtInv_Pct=0,0,XNPV(DebtInv_ReqIRR,$C64:DH64,$C$52:DH$52))</f>
        <v>0</v>
      </c>
      <c r="DI65" s="277">
        <f>IF(DebtInv_Pct=0,0,XNPV(DebtInv_ReqIRR,$C64:DI64,$C$52:DI$52))</f>
        <v>0</v>
      </c>
      <c r="DJ65" s="277">
        <f>IF(DebtInv_Pct=0,0,XNPV(DebtInv_ReqIRR,$C64:DJ64,$C$52:DJ$52))</f>
        <v>0</v>
      </c>
      <c r="DK65" s="277">
        <f>IF(DebtInv_Pct=0,0,XNPV(DebtInv_ReqIRR,$C64:DK64,$C$52:DK$52))</f>
        <v>0</v>
      </c>
      <c r="DL65" s="277">
        <f>IF(DebtInv_Pct=0,0,XNPV(DebtInv_ReqIRR,$C64:DL64,$C$52:DL$52))</f>
        <v>0</v>
      </c>
      <c r="DM65" s="277">
        <f>IF(DebtInv_Pct=0,0,XNPV(DebtInv_ReqIRR,$C64:DM64,$C$52:DM$52))</f>
        <v>0</v>
      </c>
      <c r="DN65" s="277">
        <f>IF(DebtInv_Pct=0,0,XNPV(DebtInv_ReqIRR,$C64:DN64,$C$52:DN$52))</f>
        <v>0</v>
      </c>
      <c r="DO65" s="277">
        <f>IF(DebtInv_Pct=0,0,XNPV(DebtInv_ReqIRR,$C64:DO64,$C$52:DO$52))</f>
        <v>0</v>
      </c>
      <c r="DP65" s="277">
        <f>IF(DebtInv_Pct=0,0,XNPV(DebtInv_ReqIRR,$C64:DP64,$C$52:DP$52))</f>
        <v>0</v>
      </c>
      <c r="DQ65" s="277">
        <f>IF(DebtInv_Pct=0,0,XNPV(DebtInv_ReqIRR,$C64:DQ64,$C$52:DQ$52))</f>
        <v>0</v>
      </c>
      <c r="DR65" s="277">
        <f>IF(DebtInv_Pct=0,0,XNPV(DebtInv_ReqIRR,$C64:DR64,$C$52:DR$52))</f>
        <v>0</v>
      </c>
      <c r="DS65" s="277">
        <f>IF(DebtInv_Pct=0,0,XNPV(DebtInv_ReqIRR,$C64:DS64,$C$52:DS$52))</f>
        <v>0</v>
      </c>
      <c r="DT65" s="277">
        <f>IF(DebtInv_Pct=0,0,XNPV(DebtInv_ReqIRR,$C64:DT64,$C$52:DT$52))</f>
        <v>0</v>
      </c>
      <c r="DU65" s="277">
        <f>IF(DebtInv_Pct=0,0,XNPV(DebtInv_ReqIRR,$C64:DU64,$C$52:DU$52))</f>
        <v>0</v>
      </c>
      <c r="DV65" s="277">
        <f>IF(DebtInv_Pct=0,0,XNPV(DebtInv_ReqIRR,$C64:DV64,$C$52:DV$52))</f>
        <v>0</v>
      </c>
      <c r="DW65" s="277">
        <f>IF(DebtInv_Pct=0,0,XNPV(DebtInv_ReqIRR,$C64:DW64,$C$52:DW$52))</f>
        <v>0</v>
      </c>
      <c r="DX65" s="277">
        <f>IF(DebtInv_Pct=0,0,XNPV(DebtInv_ReqIRR,$C64:DX64,$C$52:DX$52))</f>
        <v>0</v>
      </c>
      <c r="DY65" s="277">
        <f>IF(DebtInv_Pct=0,0,XNPV(DebtInv_ReqIRR,$C64:DY64,$C$52:DY$52))</f>
        <v>0</v>
      </c>
      <c r="DZ65" s="277">
        <f>IF(DebtInv_Pct=0,0,XNPV(DebtInv_ReqIRR,$C64:DZ64,$C$52:DZ$52))</f>
        <v>0</v>
      </c>
      <c r="EA65" s="277">
        <f>IF(DebtInv_Pct=0,0,XNPV(DebtInv_ReqIRR,$C64:EA64,$C$52:EA$52))</f>
        <v>0</v>
      </c>
      <c r="EB65" s="277">
        <f>IF(DebtInv_Pct=0,0,XNPV(DebtInv_ReqIRR,$C64:EB64,$C$52:EB$52))</f>
        <v>0</v>
      </c>
      <c r="EC65" s="277">
        <f>IF(DebtInv_Pct=0,0,XNPV(DebtInv_ReqIRR,$C64:EC64,$C$52:EC$52))</f>
        <v>0</v>
      </c>
      <c r="ED65" s="277">
        <f>IF(DebtInv_Pct=0,0,XNPV(DebtInv_ReqIRR,$C64:ED64,$C$52:ED$52))</f>
        <v>0</v>
      </c>
      <c r="EE65" s="277">
        <f>IF(DebtInv_Pct=0,0,XNPV(DebtInv_ReqIRR,$C64:EE64,$C$52:EE$52))</f>
        <v>0</v>
      </c>
      <c r="EF65" s="277">
        <f>IF(DebtInv_Pct=0,0,XNPV(DebtInv_ReqIRR,$C64:EF64,$C$52:EF$52))</f>
        <v>0</v>
      </c>
      <c r="EG65" s="277">
        <f>IF(DebtInv_Pct=0,0,XNPV(DebtInv_ReqIRR,$C64:EG64,$C$52:EG$52))</f>
        <v>0</v>
      </c>
      <c r="EH65" s="277">
        <f>IF(DebtInv_Pct=0,0,XNPV(DebtInv_ReqIRR,$C64:EH64,$C$52:EH$52))</f>
        <v>0</v>
      </c>
      <c r="EI65" s="277">
        <f>IF(DebtInv_Pct=0,0,XNPV(DebtInv_ReqIRR,$C64:EI64,$C$52:EI$52))</f>
        <v>0</v>
      </c>
      <c r="EJ65" s="277">
        <f>IF(DebtInv_Pct=0,0,XNPV(DebtInv_ReqIRR,$C64:EJ64,$C$52:EJ$52))</f>
        <v>0</v>
      </c>
      <c r="EK65" s="277">
        <f>IF(DebtInv_Pct=0,0,XNPV(DebtInv_ReqIRR,$C64:EK64,$C$52:EK$52))</f>
        <v>0</v>
      </c>
      <c r="EL65" s="277">
        <f>IF(DebtInv_Pct=0,0,XNPV(DebtInv_ReqIRR,$C64:EL64,$C$52:EL$52))</f>
        <v>0</v>
      </c>
      <c r="EM65" s="277">
        <f>IF(DebtInv_Pct=0,0,XNPV(DebtInv_ReqIRR,$C64:EM64,$C$52:EM$52))</f>
        <v>0</v>
      </c>
      <c r="EN65" s="277">
        <f>IF(DebtInv_Pct=0,0,XNPV(DebtInv_ReqIRR,$C64:EN64,$C$52:EN$52))</f>
        <v>0</v>
      </c>
      <c r="EO65" s="277">
        <f>IF(DebtInv_Pct=0,0,XNPV(DebtInv_ReqIRR,$C64:EO64,$C$52:EO$52))</f>
        <v>0</v>
      </c>
      <c r="EP65" s="277">
        <f>IF(DebtInv_Pct=0,0,XNPV(DebtInv_ReqIRR,$C64:EP64,$C$52:EP$52))</f>
        <v>0</v>
      </c>
      <c r="EQ65" s="277">
        <f>IF(DebtInv_Pct=0,0,XNPV(DebtInv_ReqIRR,$C64:EQ64,$C$52:EQ$52))</f>
        <v>0</v>
      </c>
      <c r="ER65" s="277">
        <f>IF(DebtInv_Pct=0,0,XNPV(DebtInv_ReqIRR,$C64:ER64,$C$52:ER$52))</f>
        <v>0</v>
      </c>
      <c r="ES65" s="277">
        <f>IF(DebtInv_Pct=0,0,XNPV(DebtInv_ReqIRR,$C64:ES64,$C$52:ES$52))</f>
        <v>0</v>
      </c>
      <c r="ET65" s="277">
        <f>IF(DebtInv_Pct=0,0,XNPV(DebtInv_ReqIRR,$C64:ET64,$C$52:ET$52))</f>
        <v>0</v>
      </c>
      <c r="EU65" s="277">
        <f>IF(DebtInv_Pct=0,0,XNPV(DebtInv_ReqIRR,$C64:EU64,$C$52:EU$52))</f>
        <v>0</v>
      </c>
      <c r="EV65" s="277">
        <f>IF(DebtInv_Pct=0,0,XNPV(DebtInv_ReqIRR,$C64:EV64,$C$52:EV$52))</f>
        <v>0</v>
      </c>
      <c r="EW65" s="277">
        <f>IF(DebtInv_Pct=0,0,XNPV(DebtInv_ReqIRR,$C64:EW64,$C$52:EW$52))</f>
        <v>0</v>
      </c>
      <c r="EX65" s="277">
        <f>IF(DebtInv_Pct=0,0,XNPV(DebtInv_ReqIRR,$C64:EX64,$C$52:EX$52))</f>
        <v>0</v>
      </c>
      <c r="EY65" s="277">
        <f>IF(DebtInv_Pct=0,0,XNPV(DebtInv_ReqIRR,$C64:EY64,$C$52:EY$52))</f>
        <v>0</v>
      </c>
      <c r="EZ65" s="277">
        <f>IF(DebtInv_Pct=0,0,XNPV(DebtInv_ReqIRR,$C64:EZ64,$C$52:EZ$52))</f>
        <v>0</v>
      </c>
      <c r="FA65" s="277">
        <f>IF(DebtInv_Pct=0,0,XNPV(DebtInv_ReqIRR,$C64:FA64,$C$52:FA$52))</f>
        <v>0</v>
      </c>
      <c r="FB65" s="277">
        <f>IF(DebtInv_Pct=0,0,XNPV(DebtInv_ReqIRR,$C64:FB64,$C$52:FB$52))</f>
        <v>0</v>
      </c>
      <c r="FC65" s="277">
        <f>IF(DebtInv_Pct=0,0,XNPV(DebtInv_ReqIRR,$C64:FC64,$C$52:FC$52))</f>
        <v>0</v>
      </c>
      <c r="FD65" s="277">
        <f>IF(DebtInv_Pct=0,0,XNPV(DebtInv_ReqIRR,$C64:FD64,$C$52:FD$52))</f>
        <v>0</v>
      </c>
      <c r="FE65" s="277">
        <f>IF(DebtInv_Pct=0,0,XNPV(DebtInv_ReqIRR,$C64:FE64,$C$52:FE$52))</f>
        <v>0</v>
      </c>
      <c r="FF65" s="277">
        <f>IF(DebtInv_Pct=0,0,XNPV(DebtInv_ReqIRR,$C64:FF64,$C$52:FF$52))</f>
        <v>0</v>
      </c>
      <c r="FG65" s="277">
        <f>IF(DebtInv_Pct=0,0,XNPV(DebtInv_ReqIRR,$C64:FG64,$C$52:FG$52))</f>
        <v>0</v>
      </c>
      <c r="FH65" s="277">
        <f>IF(DebtInv_Pct=0,0,XNPV(DebtInv_ReqIRR,$C64:FH64,$C$52:FH$52))</f>
        <v>0</v>
      </c>
      <c r="FI65" s="277">
        <f>IF(DebtInv_Pct=0,0,XNPV(DebtInv_ReqIRR,$C64:FI64,$C$52:FI$52))</f>
        <v>0</v>
      </c>
      <c r="FJ65" s="277">
        <f>IF(DebtInv_Pct=0,0,XNPV(DebtInv_ReqIRR,$C64:FJ64,$C$52:FJ$52))</f>
        <v>0</v>
      </c>
      <c r="FK65" s="277">
        <f>IF(DebtInv_Pct=0,0,XNPV(DebtInv_ReqIRR,$C64:FK64,$C$52:FK$52))</f>
        <v>0</v>
      </c>
      <c r="FL65" s="277">
        <f>IF(DebtInv_Pct=0,0,XNPV(DebtInv_ReqIRR,$C64:FL64,$C$52:FL$52))</f>
        <v>0</v>
      </c>
      <c r="FM65" s="277">
        <f>IF(DebtInv_Pct=0,0,XNPV(DebtInv_ReqIRR,$C64:FM64,$C$52:FM$52))</f>
        <v>0</v>
      </c>
      <c r="FN65" s="277">
        <f>IF(DebtInv_Pct=0,0,XNPV(DebtInv_ReqIRR,$C64:FN64,$C$52:FN$52))</f>
        <v>0</v>
      </c>
      <c r="FO65" s="277">
        <f>IF(DebtInv_Pct=0,0,XNPV(DebtInv_ReqIRR,$C64:FO64,$C$52:FO$52))</f>
        <v>0</v>
      </c>
      <c r="FP65" s="277">
        <f>IF(DebtInv_Pct=0,0,XNPV(DebtInv_ReqIRR,$C64:FP64,$C$52:FP$52))</f>
        <v>0</v>
      </c>
      <c r="FQ65" s="277">
        <f>IF(DebtInv_Pct=0,0,XNPV(DebtInv_ReqIRR,$C64:FQ64,$C$52:FQ$52))</f>
        <v>0</v>
      </c>
      <c r="FR65" s="277">
        <f>IF(DebtInv_Pct=0,0,XNPV(DebtInv_ReqIRR,$C64:FR64,$C$52:FR$52))</f>
        <v>0</v>
      </c>
      <c r="FS65" s="277">
        <f>IF(DebtInv_Pct=0,0,XNPV(DebtInv_ReqIRR,$C64:FS64,$C$52:FS$52))</f>
        <v>0</v>
      </c>
      <c r="FT65" s="277">
        <f>IF(DebtInv_Pct=0,0,XNPV(DebtInv_ReqIRR,$C64:FT64,$C$52:FT$52))</f>
        <v>0</v>
      </c>
      <c r="FU65" s="277">
        <f>IF(DebtInv_Pct=0,0,XNPV(DebtInv_ReqIRR,$C64:FU64,$C$52:FU$52))</f>
        <v>0</v>
      </c>
      <c r="FV65" s="277">
        <f>IF(DebtInv_Pct=0,0,XNPV(DebtInv_ReqIRR,$C64:FV64,$C$52:FV$52))</f>
        <v>0</v>
      </c>
      <c r="FW65" s="277">
        <f>IF(DebtInv_Pct=0,0,XNPV(DebtInv_ReqIRR,$C64:FW64,$C$52:FW$52))</f>
        <v>0</v>
      </c>
      <c r="FX65" s="277">
        <f>IF(DebtInv_Pct=0,0,XNPV(DebtInv_ReqIRR,$C64:FX64,$C$52:FX$52))</f>
        <v>0</v>
      </c>
      <c r="FY65" s="277">
        <f>IF(DebtInv_Pct=0,0,XNPV(DebtInv_ReqIRR,$C64:FY64,$C$52:FY$52))</f>
        <v>0</v>
      </c>
      <c r="FZ65" s="277">
        <f>IF(DebtInv_Pct=0,0,XNPV(DebtInv_ReqIRR,$C64:FZ64,$C$52:FZ$52))</f>
        <v>0</v>
      </c>
      <c r="GA65" s="293">
        <f>IF(DebtInv_Pct=0,0,XNPV(DebtInv_ReqIRR,$C64:GA64,$C$52:GA$52))</f>
        <v>0</v>
      </c>
    </row>
    <row r="66" spans="1:183" x14ac:dyDescent="0.15">
      <c r="A66" s="310" t="s">
        <v>847</v>
      </c>
      <c r="C66" s="300">
        <f>-C12+C25</f>
        <v>0</v>
      </c>
      <c r="D66" s="277">
        <f>IF(DebtInv_Pct=0,0,IF($C66+C65&gt;=0,0,IF($C66+D65&gt;=0,-XNPV(DebtInv_ReqIRR,$C66:C66,$C$52:C$52)*FV(DebtInv_ReqIRR,(D$52-$C$52)/365,0,-1),D64)))</f>
        <v>0</v>
      </c>
      <c r="E66" s="277">
        <f>IF(DebtInv_Pct=0,0,IF($C66+D65&gt;=0,0,IF($C66+E65&gt;=0,-XNPV(DebtInv_ReqIRR,$C66:D66,$C$52:D$52)*FV(DebtInv_ReqIRR,(E$52-$C$52)/365,0,-1),E64)))</f>
        <v>0</v>
      </c>
      <c r="F66" s="277">
        <f>IF(DebtInv_Pct=0,0,IF($C66+E65&gt;=0,0,IF($C66+F65&gt;=0,-XNPV(DebtInv_ReqIRR,$C66:E66,$C$52:E$52)*FV(DebtInv_ReqIRR,(F$52-$C$52)/365,0,-1),F64)))</f>
        <v>0</v>
      </c>
      <c r="G66" s="277">
        <f>IF(DebtInv_Pct=0,0,IF($C66+F65&gt;=0,0,IF($C66+G65&gt;=0,-XNPV(DebtInv_ReqIRR,$C66:F66,$C$52:F$52)*FV(DebtInv_ReqIRR,(G$52-$C$52)/365,0,-1),G64)))</f>
        <v>0</v>
      </c>
      <c r="H66" s="277">
        <f>IF(DebtInv_Pct=0,0,IF($C66+G65&gt;=0,0,IF($C66+H65&gt;=0,-XNPV(DebtInv_ReqIRR,$C66:G66,$C$52:G$52)*FV(DebtInv_ReqIRR,(H$52-$C$52)/365,0,-1),H64)))</f>
        <v>0</v>
      </c>
      <c r="I66" s="277">
        <f>IF(DebtInv_Pct=0,0,IF($C66+H65&gt;=0,0,IF($C66+I65&gt;=0,-XNPV(DebtInv_ReqIRR,$C66:H66,$C$52:H$52)*FV(DebtInv_ReqIRR,(I$52-$C$52)/365,0,-1),I64)))</f>
        <v>0</v>
      </c>
      <c r="J66" s="277">
        <f>IF(DebtInv_Pct=0,0,IF($C66+I65&gt;=0,0,IF($C66+J65&gt;=0,-XNPV(DebtInv_ReqIRR,$C66:I66,$C$52:I$52)*FV(DebtInv_ReqIRR,(J$52-$C$52)/365,0,-1),J64)))</f>
        <v>0</v>
      </c>
      <c r="K66" s="277">
        <f>IF(DebtInv_Pct=0,0,IF($C66+J65&gt;=0,0,IF($C66+K65&gt;=0,-XNPV(DebtInv_ReqIRR,$C66:J66,$C$52:J$52)*FV(DebtInv_ReqIRR,(K$52-$C$52)/365,0,-1),K64)))</f>
        <v>0</v>
      </c>
      <c r="L66" s="277">
        <f>IF(DebtInv_Pct=0,0,IF($C66+K65&gt;=0,0,IF($C66+L65&gt;=0,-XNPV(DebtInv_ReqIRR,$C66:K66,$C$52:K$52)*FV(DebtInv_ReqIRR,(L$52-$C$52)/365,0,-1),L64)))</f>
        <v>0</v>
      </c>
      <c r="M66" s="277">
        <f>IF(DebtInv_Pct=0,0,IF($C66+L65&gt;=0,0,IF($C66+M65&gt;=0,-XNPV(DebtInv_ReqIRR,$C66:L66,$C$52:L$52)*FV(DebtInv_ReqIRR,(M$52-$C$52)/365,0,-1),M64)))</f>
        <v>0</v>
      </c>
      <c r="N66" s="277">
        <f>IF(DebtInv_Pct=0,0,IF($C66+M65&gt;=0,0,IF($C66+N65&gt;=0,-XNPV(DebtInv_ReqIRR,$C66:M66,$C$52:M$52)*FV(DebtInv_ReqIRR,(N$52-$C$52)/365,0,-1),N64)))</f>
        <v>0</v>
      </c>
      <c r="O66" s="277">
        <f>IF(DebtInv_Pct=0,0,IF($C66+N65&gt;=0,0,IF($C66+O65&gt;=0,-XNPV(DebtInv_ReqIRR,$C66:N66,$C$52:N$52)*FV(DebtInv_ReqIRR,(O$52-$C$52)/365,0,-1),O64)))</f>
        <v>0</v>
      </c>
      <c r="P66" s="277">
        <f>IF(DebtInv_Pct=0,0,IF($C66+O65&gt;=0,0,IF($C66+P65&gt;=0,-XNPV(DebtInv_ReqIRR,$C66:O66,$C$52:O$52)*FV(DebtInv_ReqIRR,(P$52-$C$52)/365,0,-1),P64)))</f>
        <v>0</v>
      </c>
      <c r="Q66" s="277">
        <f>IF(DebtInv_Pct=0,0,IF($C66+P65&gt;=0,0,IF($C66+Q65&gt;=0,-XNPV(DebtInv_ReqIRR,$C66:P66,$C$52:P$52)*FV(DebtInv_ReqIRR,(Q$52-$C$52)/365,0,-1),Q64)))</f>
        <v>0</v>
      </c>
      <c r="R66" s="277">
        <f>IF(DebtInv_Pct=0,0,IF($C66+Q65&gt;=0,0,IF($C66+R65&gt;=0,-XNPV(DebtInv_ReqIRR,$C66:Q66,$C$52:Q$52)*FV(DebtInv_ReqIRR,(R$52-$C$52)/365,0,-1),R64)))</f>
        <v>0</v>
      </c>
      <c r="S66" s="277">
        <f>IF(DebtInv_Pct=0,0,IF($C66+R65&gt;=0,0,IF($C66+S65&gt;=0,-XNPV(DebtInv_ReqIRR,$C66:R66,$C$52:R$52)*FV(DebtInv_ReqIRR,(S$52-$C$52)/365,0,-1),S64)))</f>
        <v>0</v>
      </c>
      <c r="T66" s="277">
        <f>IF(DebtInv_Pct=0,0,IF($C66+S65&gt;=0,0,IF($C66+T65&gt;=0,-XNPV(DebtInv_ReqIRR,$C66:S66,$C$52:S$52)*FV(DebtInv_ReqIRR,(T$52-$C$52)/365,0,-1),T64)))</f>
        <v>0</v>
      </c>
      <c r="U66" s="277">
        <f>IF(DebtInv_Pct=0,0,IF($C66+T65&gt;=0,0,IF($C66+U65&gt;=0,-XNPV(DebtInv_ReqIRR,$C66:T66,$C$52:T$52)*FV(DebtInv_ReqIRR,(U$52-$C$52)/365,0,-1),U64)))</f>
        <v>0</v>
      </c>
      <c r="V66" s="277">
        <f>IF(DebtInv_Pct=0,0,IF($C66+U65&gt;=0,0,IF($C66+V65&gt;=0,-XNPV(DebtInv_ReqIRR,$C66:U66,$C$52:U$52)*FV(DebtInv_ReqIRR,(V$52-$C$52)/365,0,-1),V64)))</f>
        <v>0</v>
      </c>
      <c r="W66" s="277">
        <f>IF(DebtInv_Pct=0,0,IF($C66+V65&gt;=0,0,IF($C66+W65&gt;=0,-XNPV(DebtInv_ReqIRR,$C66:V66,$C$52:V$52)*FV(DebtInv_ReqIRR,(W$52-$C$52)/365,0,-1),W64)))</f>
        <v>0</v>
      </c>
      <c r="X66" s="277">
        <f>IF(DebtInv_Pct=0,0,IF($C66+W65&gt;=0,0,IF($C66+X65&gt;=0,-XNPV(DebtInv_ReqIRR,$C66:W66,$C$52:W$52)*FV(DebtInv_ReqIRR,(X$52-$C$52)/365,0,-1),X64)))</f>
        <v>0</v>
      </c>
      <c r="Y66" s="277">
        <f>IF(DebtInv_Pct=0,0,IF($C66+X65&gt;=0,0,IF($C66+Y65&gt;=0,-XNPV(DebtInv_ReqIRR,$C66:X66,$C$52:X$52)*FV(DebtInv_ReqIRR,(Y$52-$C$52)/365,0,-1),Y64)))</f>
        <v>0</v>
      </c>
      <c r="Z66" s="277">
        <f>IF(DebtInv_Pct=0,0,IF($C66+Y65&gt;=0,0,IF($C66+Z65&gt;=0,-XNPV(DebtInv_ReqIRR,$C66:Y66,$C$52:Y$52)*FV(DebtInv_ReqIRR,(Z$52-$C$52)/365,0,-1),Z64)))</f>
        <v>0</v>
      </c>
      <c r="AA66" s="277">
        <f>IF(DebtInv_Pct=0,0,IF($C66+Z65&gt;=0,0,IF($C66+AA65&gt;=0,-XNPV(DebtInv_ReqIRR,$C66:Z66,$C$52:Z$52)*FV(DebtInv_ReqIRR,(AA$52-$C$52)/365,0,-1),AA64)))</f>
        <v>0</v>
      </c>
      <c r="AB66" s="277">
        <f>IF(DebtInv_Pct=0,0,IF($C66+AA65&gt;=0,0,IF($C66+AB65&gt;=0,-XNPV(DebtInv_ReqIRR,$C66:AA66,$C$52:AA$52)*FV(DebtInv_ReqIRR,(AB$52-$C$52)/365,0,-1),AB64)))</f>
        <v>0</v>
      </c>
      <c r="AC66" s="277">
        <f>IF(DebtInv_Pct=0,0,IF($C66+AB65&gt;=0,0,IF($C66+AC65&gt;=0,-XNPV(DebtInv_ReqIRR,$C66:AB66,$C$52:AB$52)*FV(DebtInv_ReqIRR,(AC$52-$C$52)/365,0,-1),AC64)))</f>
        <v>0</v>
      </c>
      <c r="AD66" s="277">
        <f>IF(DebtInv_Pct=0,0,IF($C66+AC65&gt;=0,0,IF($C66+AD65&gt;=0,-XNPV(DebtInv_ReqIRR,$C66:AC66,$C$52:AC$52)*FV(DebtInv_ReqIRR,(AD$52-$C$52)/365,0,-1),AD64)))</f>
        <v>0</v>
      </c>
      <c r="AE66" s="277">
        <f>IF(DebtInv_Pct=0,0,IF($C66+AD65&gt;=0,0,IF($C66+AE65&gt;=0,-XNPV(DebtInv_ReqIRR,$C66:AD66,$C$52:AD$52)*FV(DebtInv_ReqIRR,(AE$52-$C$52)/365,0,-1),AE64)))</f>
        <v>0</v>
      </c>
      <c r="AF66" s="277">
        <f>IF(DebtInv_Pct=0,0,IF($C66+AE65&gt;=0,0,IF($C66+AF65&gt;=0,-XNPV(DebtInv_ReqIRR,$C66:AE66,$C$52:AE$52)*FV(DebtInv_ReqIRR,(AF$52-$C$52)/365,0,-1),AF64)))</f>
        <v>0</v>
      </c>
      <c r="AG66" s="277">
        <f>IF(DebtInv_Pct=0,0,IF($C66+AF65&gt;=0,0,IF($C66+AG65&gt;=0,-XNPV(DebtInv_ReqIRR,$C66:AF66,$C$52:AF$52)*FV(DebtInv_ReqIRR,(AG$52-$C$52)/365,0,-1),AG64)))</f>
        <v>0</v>
      </c>
      <c r="AH66" s="277">
        <f>IF(DebtInv_Pct=0,0,IF($C66+AG65&gt;=0,0,IF($C66+AH65&gt;=0,-XNPV(DebtInv_ReqIRR,$C66:AG66,$C$52:AG$52)*FV(DebtInv_ReqIRR,(AH$52-$C$52)/365,0,-1),AH64)))</f>
        <v>0</v>
      </c>
      <c r="AI66" s="277">
        <f>IF(DebtInv_Pct=0,0,IF($C66+AH65&gt;=0,0,IF($C66+AI65&gt;=0,-XNPV(DebtInv_ReqIRR,$C66:AH66,$C$52:AH$52)*FV(DebtInv_ReqIRR,(AI$52-$C$52)/365,0,-1),AI64)))</f>
        <v>0</v>
      </c>
      <c r="AJ66" s="277">
        <f>IF(DebtInv_Pct=0,0,IF($C66+AI65&gt;=0,0,IF($C66+AJ65&gt;=0,-XNPV(DebtInv_ReqIRR,$C66:AI66,$C$52:AI$52)*FV(DebtInv_ReqIRR,(AJ$52-$C$52)/365,0,-1),AJ64)))</f>
        <v>0</v>
      </c>
      <c r="AK66" s="277">
        <f>IF(DebtInv_Pct=0,0,IF($C66+AJ65&gt;=0,0,IF($C66+AK65&gt;=0,-XNPV(DebtInv_ReqIRR,$C66:AJ66,$C$52:AJ$52)*FV(DebtInv_ReqIRR,(AK$52-$C$52)/365,0,-1),AK64)))</f>
        <v>0</v>
      </c>
      <c r="AL66" s="277">
        <f>IF(DebtInv_Pct=0,0,IF($C66+AK65&gt;=0,0,IF($C66+AL65&gt;=0,-XNPV(DebtInv_ReqIRR,$C66:AK66,$C$52:AK$52)*FV(DebtInv_ReqIRR,(AL$52-$C$52)/365,0,-1),AL64)))</f>
        <v>0</v>
      </c>
      <c r="AM66" s="277">
        <f>IF(DebtInv_Pct=0,0,IF($C66+AL65&gt;=0,0,IF($C66+AM65&gt;=0,-XNPV(DebtInv_ReqIRR,$C66:AL66,$C$52:AL$52)*FV(DebtInv_ReqIRR,(AM$52-$C$52)/365,0,-1),AM64)))</f>
        <v>0</v>
      </c>
      <c r="AN66" s="277">
        <f>IF(DebtInv_Pct=0,0,IF($C66+AM65&gt;=0,0,IF($C66+AN65&gt;=0,-XNPV(DebtInv_ReqIRR,$C66:AM66,$C$52:AM$52)*FV(DebtInv_ReqIRR,(AN$52-$C$52)/365,0,-1),AN64)))</f>
        <v>0</v>
      </c>
      <c r="AO66" s="277">
        <f>IF(DebtInv_Pct=0,0,IF($C66+AN65&gt;=0,0,IF($C66+AO65&gt;=0,-XNPV(DebtInv_ReqIRR,$C66:AN66,$C$52:AN$52)*FV(DebtInv_ReqIRR,(AO$52-$C$52)/365,0,-1),AO64)))</f>
        <v>0</v>
      </c>
      <c r="AP66" s="277">
        <f>IF(DebtInv_Pct=0,0,IF($C66+AO65&gt;=0,0,IF($C66+AP65&gt;=0,-XNPV(DebtInv_ReqIRR,$C66:AO66,$C$52:AO$52)*FV(DebtInv_ReqIRR,(AP$52-$C$52)/365,0,-1),AP64)))</f>
        <v>0</v>
      </c>
      <c r="AQ66" s="277">
        <f>IF(DebtInv_Pct=0,0,IF($C66+AP65&gt;=0,0,IF($C66+AQ65&gt;=0,-XNPV(DebtInv_ReqIRR,$C66:AP66,$C$52:AP$52)*FV(DebtInv_ReqIRR,(AQ$52-$C$52)/365,0,-1),AQ64)))</f>
        <v>0</v>
      </c>
      <c r="AR66" s="277">
        <f>IF(DebtInv_Pct=0,0,IF($C66+AQ65&gt;=0,0,IF($C66+AR65&gt;=0,-XNPV(DebtInv_ReqIRR,$C66:AQ66,$C$52:AQ$52)*FV(DebtInv_ReqIRR,(AR$52-$C$52)/365,0,-1),AR64)))</f>
        <v>0</v>
      </c>
      <c r="AS66" s="277">
        <f>IF(DebtInv_Pct=0,0,IF($C66+AR65&gt;=0,0,IF($C66+AS65&gt;=0,-XNPV(DebtInv_ReqIRR,$C66:AR66,$C$52:AR$52)*FV(DebtInv_ReqIRR,(AS$52-$C$52)/365,0,-1),AS64)))</f>
        <v>0</v>
      </c>
      <c r="AT66" s="277">
        <f>IF(DebtInv_Pct=0,0,IF($C66+AS65&gt;=0,0,IF($C66+AT65&gt;=0,-XNPV(DebtInv_ReqIRR,$C66:AS66,$C$52:AS$52)*FV(DebtInv_ReqIRR,(AT$52-$C$52)/365,0,-1),AT64)))</f>
        <v>0</v>
      </c>
      <c r="AU66" s="277">
        <f>IF(DebtInv_Pct=0,0,IF($C66+AT65&gt;=0,0,IF($C66+AU65&gt;=0,-XNPV(DebtInv_ReqIRR,$C66:AT66,$C$52:AT$52)*FV(DebtInv_ReqIRR,(AU$52-$C$52)/365,0,-1),AU64)))</f>
        <v>0</v>
      </c>
      <c r="AV66" s="277">
        <f>IF(DebtInv_Pct=0,0,IF($C66+AU65&gt;=0,0,IF($C66+AV65&gt;=0,-XNPV(DebtInv_ReqIRR,$C66:AU66,$C$52:AU$52)*FV(DebtInv_ReqIRR,(AV$52-$C$52)/365,0,-1),AV64)))</f>
        <v>0</v>
      </c>
      <c r="AW66" s="277">
        <f>IF(DebtInv_Pct=0,0,IF($C66+AV65&gt;=0,0,IF($C66+AW65&gt;=0,-XNPV(DebtInv_ReqIRR,$C66:AV66,$C$52:AV$52)*FV(DebtInv_ReqIRR,(AW$52-$C$52)/365,0,-1),AW64)))</f>
        <v>0</v>
      </c>
      <c r="AX66" s="277">
        <f>IF(DebtInv_Pct=0,0,IF($C66+AW65&gt;=0,0,IF($C66+AX65&gt;=0,-XNPV(DebtInv_ReqIRR,$C66:AW66,$C$52:AW$52)*FV(DebtInv_ReqIRR,(AX$52-$C$52)/365,0,-1),AX64)))</f>
        <v>0</v>
      </c>
      <c r="AY66" s="277">
        <f>IF(DebtInv_Pct=0,0,IF($C66+AX65&gt;=0,0,IF($C66+AY65&gt;=0,-XNPV(DebtInv_ReqIRR,$C66:AX66,$C$52:AX$52)*FV(DebtInv_ReqIRR,(AY$52-$C$52)/365,0,-1),AY64)))</f>
        <v>0</v>
      </c>
      <c r="AZ66" s="277">
        <f>IF(DebtInv_Pct=0,0,IF($C66+AY65&gt;=0,0,IF($C66+AZ65&gt;=0,-XNPV(DebtInv_ReqIRR,$C66:AY66,$C$52:AY$52)*FV(DebtInv_ReqIRR,(AZ$52-$C$52)/365,0,-1),AZ64)))</f>
        <v>0</v>
      </c>
      <c r="BA66" s="277">
        <f>IF(DebtInv_Pct=0,0,IF($C66+AZ65&gt;=0,0,IF($C66+BA65&gt;=0,-XNPV(DebtInv_ReqIRR,$C66:AZ66,$C$52:AZ$52)*FV(DebtInv_ReqIRR,(BA$52-$C$52)/365,0,-1),BA64)))</f>
        <v>0</v>
      </c>
      <c r="BB66" s="277">
        <f>IF(DebtInv_Pct=0,0,IF($C66+BA65&gt;=0,0,IF($C66+BB65&gt;=0,-XNPV(DebtInv_ReqIRR,$C66:BA66,$C$52:BA$52)*FV(DebtInv_ReqIRR,(BB$52-$C$52)/365,0,-1),BB64)))</f>
        <v>0</v>
      </c>
      <c r="BC66" s="277">
        <f>IF(DebtInv_Pct=0,0,IF($C66+BB65&gt;=0,0,IF($C66+BC65&gt;=0,-XNPV(DebtInv_ReqIRR,$C66:BB66,$C$52:BB$52)*FV(DebtInv_ReqIRR,(BC$52-$C$52)/365,0,-1),BC64)))</f>
        <v>0</v>
      </c>
      <c r="BD66" s="277">
        <f>IF(DebtInv_Pct=0,0,IF($C66+BC65&gt;=0,0,IF($C66+BD65&gt;=0,-XNPV(DebtInv_ReqIRR,$C66:BC66,$C$52:BC$52)*FV(DebtInv_ReqIRR,(BD$52-$C$52)/365,0,-1),BD64)))</f>
        <v>0</v>
      </c>
      <c r="BE66" s="277">
        <f>IF(DebtInv_Pct=0,0,IF($C66+BD65&gt;=0,0,IF($C66+BE65&gt;=0,-XNPV(DebtInv_ReqIRR,$C66:BD66,$C$52:BD$52)*FV(DebtInv_ReqIRR,(BE$52-$C$52)/365,0,-1),BE64)))</f>
        <v>0</v>
      </c>
      <c r="BF66" s="277">
        <f>IF(DebtInv_Pct=0,0,IF($C66+BE65&gt;=0,0,IF($C66+BF65&gt;=0,-XNPV(DebtInv_ReqIRR,$C66:BE66,$C$52:BE$52)*FV(DebtInv_ReqIRR,(BF$52-$C$52)/365,0,-1),BF64)))</f>
        <v>0</v>
      </c>
      <c r="BG66" s="277">
        <f>IF(DebtInv_Pct=0,0,IF($C66+BF65&gt;=0,0,IF($C66+BG65&gt;=0,-XNPV(DebtInv_ReqIRR,$C66:BF66,$C$52:BF$52)*FV(DebtInv_ReqIRR,(BG$52-$C$52)/365,0,-1),BG64)))</f>
        <v>0</v>
      </c>
      <c r="BH66" s="277">
        <f>IF(DebtInv_Pct=0,0,IF($C66+BG65&gt;=0,0,IF($C66+BH65&gt;=0,-XNPV(DebtInv_ReqIRR,$C66:BG66,$C$52:BG$52)*FV(DebtInv_ReqIRR,(BH$52-$C$52)/365,0,-1),BH64)))</f>
        <v>0</v>
      </c>
      <c r="BI66" s="277">
        <f>IF(DebtInv_Pct=0,0,IF($C66+BH65&gt;=0,0,IF($C66+BI65&gt;=0,-XNPV(DebtInv_ReqIRR,$C66:BH66,$C$52:BH$52)*FV(DebtInv_ReqIRR,(BI$52-$C$52)/365,0,-1),BI64)))</f>
        <v>0</v>
      </c>
      <c r="BJ66" s="277">
        <f>IF(DebtInv_Pct=0,0,IF($C66+BI65&gt;=0,0,IF($C66+BJ65&gt;=0,-XNPV(DebtInv_ReqIRR,$C66:BI66,$C$52:BI$52)*FV(DebtInv_ReqIRR,(BJ$52-$C$52)/365,0,-1),BJ64)))</f>
        <v>0</v>
      </c>
      <c r="BK66" s="277">
        <f>IF(DebtInv_Pct=0,0,IF($C66+BJ65&gt;=0,0,IF($C66+BK65&gt;=0,-XNPV(DebtInv_ReqIRR,$C66:BJ66,$C$52:BJ$52)*FV(DebtInv_ReqIRR,(BK$52-$C$52)/365,0,-1),BK64)))</f>
        <v>0</v>
      </c>
      <c r="BL66" s="277">
        <f>IF(DebtInv_Pct=0,0,IF($C66+BK65&gt;=0,0,IF($C66+BL65&gt;=0,-XNPV(DebtInv_ReqIRR,$C66:BK66,$C$52:BK$52)*FV(DebtInv_ReqIRR,(BL$52-$C$52)/365,0,-1),BL64)))</f>
        <v>0</v>
      </c>
      <c r="BM66" s="277">
        <f>IF(DebtInv_Pct=0,0,IF($C66+BL65&gt;=0,0,IF($C66+BM65&gt;=0,-XNPV(DebtInv_ReqIRR,$C66:BL66,$C$52:BL$52)*FV(DebtInv_ReqIRR,(BM$52-$C$52)/365,0,-1),BM64)))</f>
        <v>0</v>
      </c>
      <c r="BN66" s="277">
        <f>IF(DebtInv_Pct=0,0,IF($C66+BM65&gt;=0,0,IF($C66+BN65&gt;=0,-XNPV(DebtInv_ReqIRR,$C66:BM66,$C$52:BM$52)*FV(DebtInv_ReqIRR,(BN$52-$C$52)/365,0,-1),BN64)))</f>
        <v>0</v>
      </c>
      <c r="BO66" s="277">
        <f>IF(DebtInv_Pct=0,0,IF($C66+BN65&gt;=0,0,IF($C66+BO65&gt;=0,-XNPV(DebtInv_ReqIRR,$C66:BN66,$C$52:BN$52)*FV(DebtInv_ReqIRR,(BO$52-$C$52)/365,0,-1),BO64)))</f>
        <v>0</v>
      </c>
      <c r="BP66" s="277">
        <f>IF(DebtInv_Pct=0,0,IF($C66+BO65&gt;=0,0,IF($C66+BP65&gt;=0,-XNPV(DebtInv_ReqIRR,$C66:BO66,$C$52:BO$52)*FV(DebtInv_ReqIRR,(BP$52-$C$52)/365,0,-1),BP64)))</f>
        <v>0</v>
      </c>
      <c r="BQ66" s="277">
        <f>IF(DebtInv_Pct=0,0,IF($C66+BP65&gt;=0,0,IF($C66+BQ65&gt;=0,-XNPV(DebtInv_ReqIRR,$C66:BP66,$C$52:BP$52)*FV(DebtInv_ReqIRR,(BQ$52-$C$52)/365,0,-1),BQ64)))</f>
        <v>0</v>
      </c>
      <c r="BR66" s="277">
        <f>IF(DebtInv_Pct=0,0,IF($C66+BQ65&gt;=0,0,IF($C66+BR65&gt;=0,-XNPV(DebtInv_ReqIRR,$C66:BQ66,$C$52:BQ$52)*FV(DebtInv_ReqIRR,(BR$52-$C$52)/365,0,-1),BR64)))</f>
        <v>0</v>
      </c>
      <c r="BS66" s="277">
        <f>IF(DebtInv_Pct=0,0,IF($C66+BR65&gt;=0,0,IF($C66+BS65&gt;=0,-XNPV(DebtInv_ReqIRR,$C66:BR66,$C$52:BR$52)*FV(DebtInv_ReqIRR,(BS$52-$C$52)/365,0,-1),BS64)))</f>
        <v>0</v>
      </c>
      <c r="BT66" s="277">
        <f>IF(DebtInv_Pct=0,0,IF($C66+BS65&gt;=0,0,IF($C66+BT65&gt;=0,-XNPV(DebtInv_ReqIRR,$C66:BS66,$C$52:BS$52)*FV(DebtInv_ReqIRR,(BT$52-$C$52)/365,0,-1),BT64)))</f>
        <v>0</v>
      </c>
      <c r="BU66" s="277">
        <f>IF(DebtInv_Pct=0,0,IF($C66+BT65&gt;=0,0,IF($C66+BU65&gt;=0,-XNPV(DebtInv_ReqIRR,$C66:BT66,$C$52:BT$52)*FV(DebtInv_ReqIRR,(BU$52-$C$52)/365,0,-1),BU64)))</f>
        <v>0</v>
      </c>
      <c r="BV66" s="277">
        <f>IF(DebtInv_Pct=0,0,IF($C66+BU65&gt;=0,0,IF($C66+BV65&gt;=0,-XNPV(DebtInv_ReqIRR,$C66:BU66,$C$52:BU$52)*FV(DebtInv_ReqIRR,(BV$52-$C$52)/365,0,-1),BV64)))</f>
        <v>0</v>
      </c>
      <c r="BW66" s="277">
        <f>IF(DebtInv_Pct=0,0,IF($C66+BV65&gt;=0,0,IF($C66+BW65&gt;=0,-XNPV(DebtInv_ReqIRR,$C66:BV66,$C$52:BV$52)*FV(DebtInv_ReqIRR,(BW$52-$C$52)/365,0,-1),BW64)))</f>
        <v>0</v>
      </c>
      <c r="BX66" s="277">
        <f>IF(DebtInv_Pct=0,0,IF($C66+BW65&gt;=0,0,IF($C66+BX65&gt;=0,-XNPV(DebtInv_ReqIRR,$C66:BW66,$C$52:BW$52)*FV(DebtInv_ReqIRR,(BX$52-$C$52)/365,0,-1),BX64)))</f>
        <v>0</v>
      </c>
      <c r="BY66" s="277">
        <f>IF(DebtInv_Pct=0,0,IF($C66+BX65&gt;=0,0,IF($C66+BY65&gt;=0,-XNPV(DebtInv_ReqIRR,$C66:BX66,$C$52:BX$52)*FV(DebtInv_ReqIRR,(BY$52-$C$52)/365,0,-1),BY64)))</f>
        <v>0</v>
      </c>
      <c r="BZ66" s="277">
        <f>IF(DebtInv_Pct=0,0,IF($C66+BY65&gt;=0,0,IF($C66+BZ65&gt;=0,-XNPV(DebtInv_ReqIRR,$C66:BY66,$C$52:BY$52)*FV(DebtInv_ReqIRR,(BZ$52-$C$52)/365,0,-1),BZ64)))</f>
        <v>0</v>
      </c>
      <c r="CA66" s="277">
        <f>IF(DebtInv_Pct=0,0,IF($C66+BZ65&gt;=0,0,IF($C66+CA65&gt;=0,-XNPV(DebtInv_ReqIRR,$C66:BZ66,$C$52:BZ$52)*FV(DebtInv_ReqIRR,(CA$52-$C$52)/365,0,-1),CA64)))</f>
        <v>0</v>
      </c>
      <c r="CB66" s="277">
        <f>IF(DebtInv_Pct=0,0,IF($C66+CA65&gt;=0,0,IF($C66+CB65&gt;=0,-XNPV(DebtInv_ReqIRR,$C66:CA66,$C$52:CA$52)*FV(DebtInv_ReqIRR,(CB$52-$C$52)/365,0,-1),CB64)))</f>
        <v>0</v>
      </c>
      <c r="CC66" s="277">
        <f>IF(DebtInv_Pct=0,0,IF($C66+CB65&gt;=0,0,IF($C66+CC65&gt;=0,-XNPV(DebtInv_ReqIRR,$C66:CB66,$C$52:CB$52)*FV(DebtInv_ReqIRR,(CC$52-$C$52)/365,0,-1),CC64)))</f>
        <v>0</v>
      </c>
      <c r="CD66" s="277">
        <f>IF(DebtInv_Pct=0,0,IF($C66+CC65&gt;=0,0,IF($C66+CD65&gt;=0,-XNPV(DebtInv_ReqIRR,$C66:CC66,$C$52:CC$52)*FV(DebtInv_ReqIRR,(CD$52-$C$52)/365,0,-1),CD64)))</f>
        <v>0</v>
      </c>
      <c r="CE66" s="277">
        <f>IF(DebtInv_Pct=0,0,IF($C66+CD65&gt;=0,0,IF($C66+CE65&gt;=0,-XNPV(DebtInv_ReqIRR,$C66:CD66,$C$52:CD$52)*FV(DebtInv_ReqIRR,(CE$52-$C$52)/365,0,-1),CE64)))</f>
        <v>0</v>
      </c>
      <c r="CF66" s="277">
        <f>IF(DebtInv_Pct=0,0,IF($C66+CE65&gt;=0,0,IF($C66+CF65&gt;=0,-XNPV(DebtInv_ReqIRR,$C66:CE66,$C$52:CE$52)*FV(DebtInv_ReqIRR,(CF$52-$C$52)/365,0,-1),CF64)))</f>
        <v>0</v>
      </c>
      <c r="CG66" s="277">
        <f>IF(DebtInv_Pct=0,0,IF($C66+CF65&gt;=0,0,IF($C66+CG65&gt;=0,-XNPV(DebtInv_ReqIRR,$C66:CF66,$C$52:CF$52)*FV(DebtInv_ReqIRR,(CG$52-$C$52)/365,0,-1),CG64)))</f>
        <v>0</v>
      </c>
      <c r="CH66" s="277">
        <f>IF(DebtInv_Pct=0,0,IF($C66+CG65&gt;=0,0,IF($C66+CH65&gt;=0,-XNPV(DebtInv_ReqIRR,$C66:CG66,$C$52:CG$52)*FV(DebtInv_ReqIRR,(CH$52-$C$52)/365,0,-1),CH64)))</f>
        <v>0</v>
      </c>
      <c r="CI66" s="277">
        <f>IF(DebtInv_Pct=0,0,IF($C66+CH65&gt;=0,0,IF($C66+CI65&gt;=0,-XNPV(DebtInv_ReqIRR,$C66:CH66,$C$52:CH$52)*FV(DebtInv_ReqIRR,(CI$52-$C$52)/365,0,-1),CI64)))</f>
        <v>0</v>
      </c>
      <c r="CJ66" s="277">
        <f>IF(DebtInv_Pct=0,0,IF($C66+CI65&gt;=0,0,IF($C66+CJ65&gt;=0,-XNPV(DebtInv_ReqIRR,$C66:CI66,$C$52:CI$52)*FV(DebtInv_ReqIRR,(CJ$52-$C$52)/365,0,-1),CJ64)))</f>
        <v>0</v>
      </c>
      <c r="CK66" s="277">
        <f>IF(DebtInv_Pct=0,0,IF($C66+CJ65&gt;=0,0,IF($C66+CK65&gt;=0,-XNPV(DebtInv_ReqIRR,$C66:CJ66,$C$52:CJ$52)*FV(DebtInv_ReqIRR,(CK$52-$C$52)/365,0,-1),CK64)))</f>
        <v>0</v>
      </c>
      <c r="CL66" s="277">
        <f>IF(DebtInv_Pct=0,0,IF($C66+CK65&gt;=0,0,IF($C66+CL65&gt;=0,-XNPV(DebtInv_ReqIRR,$C66:CK66,$C$52:CK$52)*FV(DebtInv_ReqIRR,(CL$52-$C$52)/365,0,-1),CL64)))</f>
        <v>0</v>
      </c>
      <c r="CM66" s="277">
        <f>IF(DebtInv_Pct=0,0,IF($C66+CL65&gt;=0,0,IF($C66+CM65&gt;=0,-XNPV(DebtInv_ReqIRR,$C66:CL66,$C$52:CL$52)*FV(DebtInv_ReqIRR,(CM$52-$C$52)/365,0,-1),CM64)))</f>
        <v>0</v>
      </c>
      <c r="CN66" s="277">
        <f>IF(DebtInv_Pct=0,0,IF($C66+CM65&gt;=0,0,IF($C66+CN65&gt;=0,-XNPV(DebtInv_ReqIRR,$C66:CM66,$C$52:CM$52)*FV(DebtInv_ReqIRR,(CN$52-$C$52)/365,0,-1),CN64)))</f>
        <v>0</v>
      </c>
      <c r="CO66" s="277">
        <f>IF(DebtInv_Pct=0,0,IF($C66+CN65&gt;=0,0,IF($C66+CO65&gt;=0,-XNPV(DebtInv_ReqIRR,$C66:CN66,$C$52:CN$52)*FV(DebtInv_ReqIRR,(CO$52-$C$52)/365,0,-1),CO64)))</f>
        <v>0</v>
      </c>
      <c r="CP66" s="277">
        <f>IF(DebtInv_Pct=0,0,IF($C66+CO65&gt;=0,0,IF($C66+CP65&gt;=0,-XNPV(DebtInv_ReqIRR,$C66:CO66,$C$52:CO$52)*FV(DebtInv_ReqIRR,(CP$52-$C$52)/365,0,-1),CP64)))</f>
        <v>0</v>
      </c>
      <c r="CQ66" s="277">
        <f>IF(DebtInv_Pct=0,0,IF($C66+CP65&gt;=0,0,IF($C66+CQ65&gt;=0,-XNPV(DebtInv_ReqIRR,$C66:CP66,$C$52:CP$52)*FV(DebtInv_ReqIRR,(CQ$52-$C$52)/365,0,-1),CQ64)))</f>
        <v>0</v>
      </c>
      <c r="CR66" s="277">
        <f>IF(DebtInv_Pct=0,0,IF($C66+CQ65&gt;=0,0,IF($C66+CR65&gt;=0,-XNPV(DebtInv_ReqIRR,$C66:CQ66,$C$52:CQ$52)*FV(DebtInv_ReqIRR,(CR$52-$C$52)/365,0,-1),CR64)))</f>
        <v>0</v>
      </c>
      <c r="CS66" s="277">
        <f>IF(DebtInv_Pct=0,0,IF($C66+CR65&gt;=0,0,IF($C66+CS65&gt;=0,-XNPV(DebtInv_ReqIRR,$C66:CR66,$C$52:CR$52)*FV(DebtInv_ReqIRR,(CS$52-$C$52)/365,0,-1),CS64)))</f>
        <v>0</v>
      </c>
      <c r="CT66" s="277">
        <f>IF(DebtInv_Pct=0,0,IF($C66+CS65&gt;=0,0,IF($C66+CT65&gt;=0,-XNPV(DebtInv_ReqIRR,$C66:CS66,$C$52:CS$52)*FV(DebtInv_ReqIRR,(CT$52-$C$52)/365,0,-1),CT64)))</f>
        <v>0</v>
      </c>
      <c r="CU66" s="277">
        <f>IF(DebtInv_Pct=0,0,IF($C66+CT65&gt;=0,0,IF($C66+CU65&gt;=0,-XNPV(DebtInv_ReqIRR,$C66:CT66,$C$52:CT$52)*FV(DebtInv_ReqIRR,(CU$52-$C$52)/365,0,-1),CU64)))</f>
        <v>0</v>
      </c>
      <c r="CV66" s="277">
        <f>IF(DebtInv_Pct=0,0,IF($C66+CU65&gt;=0,0,IF($C66+CV65&gt;=0,-XNPV(DebtInv_ReqIRR,$C66:CU66,$C$52:CU$52)*FV(DebtInv_ReqIRR,(CV$52-$C$52)/365,0,-1),CV64)))</f>
        <v>0</v>
      </c>
      <c r="CW66" s="277">
        <f>IF(DebtInv_Pct=0,0,IF($C66+CV65&gt;=0,0,IF($C66+CW65&gt;=0,-XNPV(DebtInv_ReqIRR,$C66:CV66,$C$52:CV$52)*FV(DebtInv_ReqIRR,(CW$52-$C$52)/365,0,-1),CW64)))</f>
        <v>0</v>
      </c>
      <c r="CX66" s="277">
        <f>IF(DebtInv_Pct=0,0,IF($C66+CW65&gt;=0,0,IF($C66+CX65&gt;=0,-XNPV(DebtInv_ReqIRR,$C66:CW66,$C$52:CW$52)*FV(DebtInv_ReqIRR,(CX$52-$C$52)/365,0,-1),CX64)))</f>
        <v>0</v>
      </c>
      <c r="CY66" s="277">
        <f>IF(DebtInv_Pct=0,0,IF($C66+CX65&gt;=0,0,IF($C66+CY65&gt;=0,-XNPV(DebtInv_ReqIRR,$C66:CX66,$C$52:CX$52)*FV(DebtInv_ReqIRR,(CY$52-$C$52)/365,0,-1),CY64)))</f>
        <v>0</v>
      </c>
      <c r="CZ66" s="277">
        <f>IF(DebtInv_Pct=0,0,IF($C66+CY65&gt;=0,0,IF($C66+CZ65&gt;=0,-XNPV(DebtInv_ReqIRR,$C66:CY66,$C$52:CY$52)*FV(DebtInv_ReqIRR,(CZ$52-$C$52)/365,0,-1),CZ64)))</f>
        <v>0</v>
      </c>
      <c r="DA66" s="277">
        <f>IF(DebtInv_Pct=0,0,IF($C66+CZ65&gt;=0,0,IF($C66+DA65&gt;=0,-XNPV(DebtInv_ReqIRR,$C66:CZ66,$C$52:CZ$52)*FV(DebtInv_ReqIRR,(DA$52-$C$52)/365,0,-1),DA64)))</f>
        <v>0</v>
      </c>
      <c r="DB66" s="277">
        <f>IF(DebtInv_Pct=0,0,IF($C66+DA65&gt;=0,0,IF($C66+DB65&gt;=0,-XNPV(DebtInv_ReqIRR,$C66:DA66,$C$52:DA$52)*FV(DebtInv_ReqIRR,(DB$52-$C$52)/365,0,-1),DB64)))</f>
        <v>0</v>
      </c>
      <c r="DC66" s="277">
        <f>IF(DebtInv_Pct=0,0,IF($C66+DB65&gt;=0,0,IF($C66+DC65&gt;=0,-XNPV(DebtInv_ReqIRR,$C66:DB66,$C$52:DB$52)*FV(DebtInv_ReqIRR,(DC$52-$C$52)/365,0,-1),DC64)))</f>
        <v>0</v>
      </c>
      <c r="DD66" s="277">
        <f>IF(DebtInv_Pct=0,0,IF($C66+DC65&gt;=0,0,IF($C66+DD65&gt;=0,-XNPV(DebtInv_ReqIRR,$C66:DC66,$C$52:DC$52)*FV(DebtInv_ReqIRR,(DD$52-$C$52)/365,0,-1),DD64)))</f>
        <v>0</v>
      </c>
      <c r="DE66" s="277">
        <f>IF(DebtInv_Pct=0,0,IF($C66+DD65&gt;=0,0,IF($C66+DE65&gt;=0,-XNPV(DebtInv_ReqIRR,$C66:DD66,$C$52:DD$52)*FV(DebtInv_ReqIRR,(DE$52-$C$52)/365,0,-1),DE64)))</f>
        <v>0</v>
      </c>
      <c r="DF66" s="277">
        <f>IF(DebtInv_Pct=0,0,IF($C66+DE65&gt;=0,0,IF($C66+DF65&gt;=0,-XNPV(DebtInv_ReqIRR,$C66:DE66,$C$52:DE$52)*FV(DebtInv_ReqIRR,(DF$52-$C$52)/365,0,-1),DF64)))</f>
        <v>0</v>
      </c>
      <c r="DG66" s="277">
        <f>IF(DebtInv_Pct=0,0,IF($C66+DF65&gt;=0,0,IF($C66+DG65&gt;=0,-XNPV(DebtInv_ReqIRR,$C66:DF66,$C$52:DF$52)*FV(DebtInv_ReqIRR,(DG$52-$C$52)/365,0,-1),DG64)))</f>
        <v>0</v>
      </c>
      <c r="DH66" s="277">
        <f>IF(DebtInv_Pct=0,0,IF($C66+DG65&gt;=0,0,IF($C66+DH65&gt;=0,-XNPV(DebtInv_ReqIRR,$C66:DG66,$C$52:DG$52)*FV(DebtInv_ReqIRR,(DH$52-$C$52)/365,0,-1),DH64)))</f>
        <v>0</v>
      </c>
      <c r="DI66" s="277">
        <f>IF(DebtInv_Pct=0,0,IF($C66+DH65&gt;=0,0,IF($C66+DI65&gt;=0,-XNPV(DebtInv_ReqIRR,$C66:DH66,$C$52:DH$52)*FV(DebtInv_ReqIRR,(DI$52-$C$52)/365,0,-1),DI64)))</f>
        <v>0</v>
      </c>
      <c r="DJ66" s="277">
        <f>IF(DebtInv_Pct=0,0,IF($C66+DI65&gt;=0,0,IF($C66+DJ65&gt;=0,-XNPV(DebtInv_ReqIRR,$C66:DI66,$C$52:DI$52)*FV(DebtInv_ReqIRR,(DJ$52-$C$52)/365,0,-1),DJ64)))</f>
        <v>0</v>
      </c>
      <c r="DK66" s="277">
        <f>IF(DebtInv_Pct=0,0,IF($C66+DJ65&gt;=0,0,IF($C66+DK65&gt;=0,-XNPV(DebtInv_ReqIRR,$C66:DJ66,$C$52:DJ$52)*FV(DebtInv_ReqIRR,(DK$52-$C$52)/365,0,-1),DK64)))</f>
        <v>0</v>
      </c>
      <c r="DL66" s="277">
        <f>IF(DebtInv_Pct=0,0,IF($C66+DK65&gt;=0,0,IF($C66+DL65&gt;=0,-XNPV(DebtInv_ReqIRR,$C66:DK66,$C$52:DK$52)*FV(DebtInv_ReqIRR,(DL$52-$C$52)/365,0,-1),DL64)))</f>
        <v>0</v>
      </c>
      <c r="DM66" s="277">
        <f>IF(DebtInv_Pct=0,0,IF($C66+DL65&gt;=0,0,IF($C66+DM65&gt;=0,-XNPV(DebtInv_ReqIRR,$C66:DL66,$C$52:DL$52)*FV(DebtInv_ReqIRR,(DM$52-$C$52)/365,0,-1),DM64)))</f>
        <v>0</v>
      </c>
      <c r="DN66" s="277">
        <f>IF(DebtInv_Pct=0,0,IF($C66+DM65&gt;=0,0,IF($C66+DN65&gt;=0,-XNPV(DebtInv_ReqIRR,$C66:DM66,$C$52:DM$52)*FV(DebtInv_ReqIRR,(DN$52-$C$52)/365,0,-1),DN64)))</f>
        <v>0</v>
      </c>
      <c r="DO66" s="277">
        <f>IF(DebtInv_Pct=0,0,IF($C66+DN65&gt;=0,0,IF($C66+DO65&gt;=0,-XNPV(DebtInv_ReqIRR,$C66:DN66,$C$52:DN$52)*FV(DebtInv_ReqIRR,(DO$52-$C$52)/365,0,-1),DO64)))</f>
        <v>0</v>
      </c>
      <c r="DP66" s="277">
        <f>IF(DebtInv_Pct=0,0,IF($C66+DO65&gt;=0,0,IF($C66+DP65&gt;=0,-XNPV(DebtInv_ReqIRR,$C66:DO66,$C$52:DO$52)*FV(DebtInv_ReqIRR,(DP$52-$C$52)/365,0,-1),DP64)))</f>
        <v>0</v>
      </c>
      <c r="DQ66" s="277">
        <f>IF(DebtInv_Pct=0,0,IF($C66+DP65&gt;=0,0,IF($C66+DQ65&gt;=0,-XNPV(DebtInv_ReqIRR,$C66:DP66,$C$52:DP$52)*FV(DebtInv_ReqIRR,(DQ$52-$C$52)/365,0,-1),DQ64)))</f>
        <v>0</v>
      </c>
      <c r="DR66" s="277">
        <f>IF(DebtInv_Pct=0,0,IF($C66+DQ65&gt;=0,0,IF($C66+DR65&gt;=0,-XNPV(DebtInv_ReqIRR,$C66:DQ66,$C$52:DQ$52)*FV(DebtInv_ReqIRR,(DR$52-$C$52)/365,0,-1),DR64)))</f>
        <v>0</v>
      </c>
      <c r="DS66" s="277">
        <f>IF(DebtInv_Pct=0,0,IF($C66+DR65&gt;=0,0,IF($C66+DS65&gt;=0,-XNPV(DebtInv_ReqIRR,$C66:DR66,$C$52:DR$52)*FV(DebtInv_ReqIRR,(DS$52-$C$52)/365,0,-1),DS64)))</f>
        <v>0</v>
      </c>
      <c r="DT66" s="277">
        <f>IF(DebtInv_Pct=0,0,IF($C66+DS65&gt;=0,0,IF($C66+DT65&gt;=0,-XNPV(DebtInv_ReqIRR,$C66:DS66,$C$52:DS$52)*FV(DebtInv_ReqIRR,(DT$52-$C$52)/365,0,-1),DT64)))</f>
        <v>0</v>
      </c>
      <c r="DU66" s="277">
        <f>IF(DebtInv_Pct=0,0,IF($C66+DT65&gt;=0,0,IF($C66+DU65&gt;=0,-XNPV(DebtInv_ReqIRR,$C66:DT66,$C$52:DT$52)*FV(DebtInv_ReqIRR,(DU$52-$C$52)/365,0,-1),DU64)))</f>
        <v>0</v>
      </c>
      <c r="DV66" s="277">
        <f>IF(DebtInv_Pct=0,0,IF($C66+DU65&gt;=0,0,IF($C66+DV65&gt;=0,-XNPV(DebtInv_ReqIRR,$C66:DU66,$C$52:DU$52)*FV(DebtInv_ReqIRR,(DV$52-$C$52)/365,0,-1),DV64)))</f>
        <v>0</v>
      </c>
      <c r="DW66" s="277">
        <f>IF(DebtInv_Pct=0,0,IF($C66+DV65&gt;=0,0,IF($C66+DW65&gt;=0,-XNPV(DebtInv_ReqIRR,$C66:DV66,$C$52:DV$52)*FV(DebtInv_ReqIRR,(DW$52-$C$52)/365,0,-1),DW64)))</f>
        <v>0</v>
      </c>
      <c r="DX66" s="277">
        <f>IF(DebtInv_Pct=0,0,IF($C66+DW65&gt;=0,0,IF($C66+DX65&gt;=0,-XNPV(DebtInv_ReqIRR,$C66:DW66,$C$52:DW$52)*FV(DebtInv_ReqIRR,(DX$52-$C$52)/365,0,-1),DX64)))</f>
        <v>0</v>
      </c>
      <c r="DY66" s="277">
        <f>IF(DebtInv_Pct=0,0,IF($C66+DX65&gt;=0,0,IF($C66+DY65&gt;=0,-XNPV(DebtInv_ReqIRR,$C66:DX66,$C$52:DX$52)*FV(DebtInv_ReqIRR,(DY$52-$C$52)/365,0,-1),DY64)))</f>
        <v>0</v>
      </c>
      <c r="DZ66" s="277">
        <f>IF(DebtInv_Pct=0,0,IF($C66+DY65&gt;=0,0,IF($C66+DZ65&gt;=0,-XNPV(DebtInv_ReqIRR,$C66:DY66,$C$52:DY$52)*FV(DebtInv_ReqIRR,(DZ$52-$C$52)/365,0,-1),DZ64)))</f>
        <v>0</v>
      </c>
      <c r="EA66" s="277">
        <f>IF(DebtInv_Pct=0,0,IF($C66+DZ65&gt;=0,0,IF($C66+EA65&gt;=0,-XNPV(DebtInv_ReqIRR,$C66:DZ66,$C$52:DZ$52)*FV(DebtInv_ReqIRR,(EA$52-$C$52)/365,0,-1),EA64)))</f>
        <v>0</v>
      </c>
      <c r="EB66" s="277">
        <f>IF(DebtInv_Pct=0,0,IF($C66+EA65&gt;=0,0,IF($C66+EB65&gt;=0,-XNPV(DebtInv_ReqIRR,$C66:EA66,$C$52:EA$52)*FV(DebtInv_ReqIRR,(EB$52-$C$52)/365,0,-1),EB64)))</f>
        <v>0</v>
      </c>
      <c r="EC66" s="277">
        <f>IF(DebtInv_Pct=0,0,IF($C66+EB65&gt;=0,0,IF($C66+EC65&gt;=0,-XNPV(DebtInv_ReqIRR,$C66:EB66,$C$52:EB$52)*FV(DebtInv_ReqIRR,(EC$52-$C$52)/365,0,-1),EC64)))</f>
        <v>0</v>
      </c>
      <c r="ED66" s="277">
        <f>IF(DebtInv_Pct=0,0,IF($C66+EC65&gt;=0,0,IF($C66+ED65&gt;=0,-XNPV(DebtInv_ReqIRR,$C66:EC66,$C$52:EC$52)*FV(DebtInv_ReqIRR,(ED$52-$C$52)/365,0,-1),ED64)))</f>
        <v>0</v>
      </c>
      <c r="EE66" s="277">
        <f>IF(DebtInv_Pct=0,0,IF($C66+ED65&gt;=0,0,IF($C66+EE65&gt;=0,-XNPV(DebtInv_ReqIRR,$C66:ED66,$C$52:ED$52)*FV(DebtInv_ReqIRR,(EE$52-$C$52)/365,0,-1),EE64)))</f>
        <v>0</v>
      </c>
      <c r="EF66" s="277">
        <f>IF(DebtInv_Pct=0,0,IF($C66+EE65&gt;=0,0,IF($C66+EF65&gt;=0,-XNPV(DebtInv_ReqIRR,$C66:EE66,$C$52:EE$52)*FV(DebtInv_ReqIRR,(EF$52-$C$52)/365,0,-1),EF64)))</f>
        <v>0</v>
      </c>
      <c r="EG66" s="277">
        <f>IF(DebtInv_Pct=0,0,IF($C66+EF65&gt;=0,0,IF($C66+EG65&gt;=0,-XNPV(DebtInv_ReqIRR,$C66:EF66,$C$52:EF$52)*FV(DebtInv_ReqIRR,(EG$52-$C$52)/365,0,-1),EG64)))</f>
        <v>0</v>
      </c>
      <c r="EH66" s="277">
        <f>IF(DebtInv_Pct=0,0,IF($C66+EG65&gt;=0,0,IF($C66+EH65&gt;=0,-XNPV(DebtInv_ReqIRR,$C66:EG66,$C$52:EG$52)*FV(DebtInv_ReqIRR,(EH$52-$C$52)/365,0,-1),EH64)))</f>
        <v>0</v>
      </c>
      <c r="EI66" s="277">
        <f>IF(DebtInv_Pct=0,0,IF($C66+EH65&gt;=0,0,IF($C66+EI65&gt;=0,-XNPV(DebtInv_ReqIRR,$C66:EH66,$C$52:EH$52)*FV(DebtInv_ReqIRR,(EI$52-$C$52)/365,0,-1),EI64)))</f>
        <v>0</v>
      </c>
      <c r="EJ66" s="277">
        <f>IF(DebtInv_Pct=0,0,IF($C66+EI65&gt;=0,0,IF($C66+EJ65&gt;=0,-XNPV(DebtInv_ReqIRR,$C66:EI66,$C$52:EI$52)*FV(DebtInv_ReqIRR,(EJ$52-$C$52)/365,0,-1),EJ64)))</f>
        <v>0</v>
      </c>
      <c r="EK66" s="277">
        <f>IF(DebtInv_Pct=0,0,IF($C66+EJ65&gt;=0,0,IF($C66+EK65&gt;=0,-XNPV(DebtInv_ReqIRR,$C66:EJ66,$C$52:EJ$52)*FV(DebtInv_ReqIRR,(EK$52-$C$52)/365,0,-1),EK64)))</f>
        <v>0</v>
      </c>
      <c r="EL66" s="277">
        <f>IF(DebtInv_Pct=0,0,IF($C66+EK65&gt;=0,0,IF($C66+EL65&gt;=0,-XNPV(DebtInv_ReqIRR,$C66:EK66,$C$52:EK$52)*FV(DebtInv_ReqIRR,(EL$52-$C$52)/365,0,-1),EL64)))</f>
        <v>0</v>
      </c>
      <c r="EM66" s="277">
        <f>IF(DebtInv_Pct=0,0,IF($C66+EL65&gt;=0,0,IF($C66+EM65&gt;=0,-XNPV(DebtInv_ReqIRR,$C66:EL66,$C$52:EL$52)*FV(DebtInv_ReqIRR,(EM$52-$C$52)/365,0,-1),EM64)))</f>
        <v>0</v>
      </c>
      <c r="EN66" s="277">
        <f>IF(DebtInv_Pct=0,0,IF($C66+EM65&gt;=0,0,IF($C66+EN65&gt;=0,-XNPV(DebtInv_ReqIRR,$C66:EM66,$C$52:EM$52)*FV(DebtInv_ReqIRR,(EN$52-$C$52)/365,0,-1),EN64)))</f>
        <v>0</v>
      </c>
      <c r="EO66" s="277">
        <f>IF(DebtInv_Pct=0,0,IF($C66+EN65&gt;=0,0,IF($C66+EO65&gt;=0,-XNPV(DebtInv_ReqIRR,$C66:EN66,$C$52:EN$52)*FV(DebtInv_ReqIRR,(EO$52-$C$52)/365,0,-1),EO64)))</f>
        <v>0</v>
      </c>
      <c r="EP66" s="277">
        <f>IF(DebtInv_Pct=0,0,IF($C66+EO65&gt;=0,0,IF($C66+EP65&gt;=0,-XNPV(DebtInv_ReqIRR,$C66:EO66,$C$52:EO$52)*FV(DebtInv_ReqIRR,(EP$52-$C$52)/365,0,-1),EP64)))</f>
        <v>0</v>
      </c>
      <c r="EQ66" s="277">
        <f>IF(DebtInv_Pct=0,0,IF($C66+EP65&gt;=0,0,IF($C66+EQ65&gt;=0,-XNPV(DebtInv_ReqIRR,$C66:EP66,$C$52:EP$52)*FV(DebtInv_ReqIRR,(EQ$52-$C$52)/365,0,-1),EQ64)))</f>
        <v>0</v>
      </c>
      <c r="ER66" s="277">
        <f>IF(DebtInv_Pct=0,0,IF($C66+EQ65&gt;=0,0,IF($C66+ER65&gt;=0,-XNPV(DebtInv_ReqIRR,$C66:EQ66,$C$52:EQ$52)*FV(DebtInv_ReqIRR,(ER$52-$C$52)/365,0,-1),ER64)))</f>
        <v>0</v>
      </c>
      <c r="ES66" s="277">
        <f>IF(DebtInv_Pct=0,0,IF($C66+ER65&gt;=0,0,IF($C66+ES65&gt;=0,-XNPV(DebtInv_ReqIRR,$C66:ER66,$C$52:ER$52)*FV(DebtInv_ReqIRR,(ES$52-$C$52)/365,0,-1),ES64)))</f>
        <v>0</v>
      </c>
      <c r="ET66" s="277">
        <f>IF(DebtInv_Pct=0,0,IF($C66+ES65&gt;=0,0,IF($C66+ET65&gt;=0,-XNPV(DebtInv_ReqIRR,$C66:ES66,$C$52:ES$52)*FV(DebtInv_ReqIRR,(ET$52-$C$52)/365,0,-1),ET64)))</f>
        <v>0</v>
      </c>
      <c r="EU66" s="277">
        <f>IF(DebtInv_Pct=0,0,IF($C66+ET65&gt;=0,0,IF($C66+EU65&gt;=0,-XNPV(DebtInv_ReqIRR,$C66:ET66,$C$52:ET$52)*FV(DebtInv_ReqIRR,(EU$52-$C$52)/365,0,-1),EU64)))</f>
        <v>0</v>
      </c>
      <c r="EV66" s="277">
        <f>IF(DebtInv_Pct=0,0,IF($C66+EU65&gt;=0,0,IF($C66+EV65&gt;=0,-XNPV(DebtInv_ReqIRR,$C66:EU66,$C$52:EU$52)*FV(DebtInv_ReqIRR,(EV$52-$C$52)/365,0,-1),EV64)))</f>
        <v>0</v>
      </c>
      <c r="EW66" s="277">
        <f>IF(DebtInv_Pct=0,0,IF($C66+EV65&gt;=0,0,IF($C66+EW65&gt;=0,-XNPV(DebtInv_ReqIRR,$C66:EV66,$C$52:EV$52)*FV(DebtInv_ReqIRR,(EW$52-$C$52)/365,0,-1),EW64)))</f>
        <v>0</v>
      </c>
      <c r="EX66" s="277">
        <f>IF(DebtInv_Pct=0,0,IF($C66+EW65&gt;=0,0,IF($C66+EX65&gt;=0,-XNPV(DebtInv_ReqIRR,$C66:EW66,$C$52:EW$52)*FV(DebtInv_ReqIRR,(EX$52-$C$52)/365,0,-1),EX64)))</f>
        <v>0</v>
      </c>
      <c r="EY66" s="277">
        <f>IF(DebtInv_Pct=0,0,IF($C66+EX65&gt;=0,0,IF($C66+EY65&gt;=0,-XNPV(DebtInv_ReqIRR,$C66:EX66,$C$52:EX$52)*FV(DebtInv_ReqIRR,(EY$52-$C$52)/365,0,-1),EY64)))</f>
        <v>0</v>
      </c>
      <c r="EZ66" s="277">
        <f>IF(DebtInv_Pct=0,0,IF($C66+EY65&gt;=0,0,IF($C66+EZ65&gt;=0,-XNPV(DebtInv_ReqIRR,$C66:EY66,$C$52:EY$52)*FV(DebtInv_ReqIRR,(EZ$52-$C$52)/365,0,-1),EZ64)))</f>
        <v>0</v>
      </c>
      <c r="FA66" s="277">
        <f>IF(DebtInv_Pct=0,0,IF($C66+EZ65&gt;=0,0,IF($C66+FA65&gt;=0,-XNPV(DebtInv_ReqIRR,$C66:EZ66,$C$52:EZ$52)*FV(DebtInv_ReqIRR,(FA$52-$C$52)/365,0,-1),FA64)))</f>
        <v>0</v>
      </c>
      <c r="FB66" s="277">
        <f>IF(DebtInv_Pct=0,0,IF($C66+FA65&gt;=0,0,IF($C66+FB65&gt;=0,-XNPV(DebtInv_ReqIRR,$C66:FA66,$C$52:FA$52)*FV(DebtInv_ReqIRR,(FB$52-$C$52)/365,0,-1),FB64)))</f>
        <v>0</v>
      </c>
      <c r="FC66" s="277">
        <f>IF(DebtInv_Pct=0,0,IF($C66+FB65&gt;=0,0,IF($C66+FC65&gt;=0,-XNPV(DebtInv_ReqIRR,$C66:FB66,$C$52:FB$52)*FV(DebtInv_ReqIRR,(FC$52-$C$52)/365,0,-1),FC64)))</f>
        <v>0</v>
      </c>
      <c r="FD66" s="277">
        <f>IF(DebtInv_Pct=0,0,IF($C66+FC65&gt;=0,0,IF($C66+FD65&gt;=0,-XNPV(DebtInv_ReqIRR,$C66:FC66,$C$52:FC$52)*FV(DebtInv_ReqIRR,(FD$52-$C$52)/365,0,-1),FD64)))</f>
        <v>0</v>
      </c>
      <c r="FE66" s="277">
        <f>IF(DebtInv_Pct=0,0,IF($C66+FD65&gt;=0,0,IF($C66+FE65&gt;=0,-XNPV(DebtInv_ReqIRR,$C66:FD66,$C$52:FD$52)*FV(DebtInv_ReqIRR,(FE$52-$C$52)/365,0,-1),FE64)))</f>
        <v>0</v>
      </c>
      <c r="FF66" s="277">
        <f>IF(DebtInv_Pct=0,0,IF($C66+FE65&gt;=0,0,IF($C66+FF65&gt;=0,-XNPV(DebtInv_ReqIRR,$C66:FE66,$C$52:FE$52)*FV(DebtInv_ReqIRR,(FF$52-$C$52)/365,0,-1),FF64)))</f>
        <v>0</v>
      </c>
      <c r="FG66" s="277">
        <f>IF(DebtInv_Pct=0,0,IF($C66+FF65&gt;=0,0,IF($C66+FG65&gt;=0,-XNPV(DebtInv_ReqIRR,$C66:FF66,$C$52:FF$52)*FV(DebtInv_ReqIRR,(FG$52-$C$52)/365,0,-1),FG64)))</f>
        <v>0</v>
      </c>
      <c r="FH66" s="277">
        <f>IF(DebtInv_Pct=0,0,IF($C66+FG65&gt;=0,0,IF($C66+FH65&gt;=0,-XNPV(DebtInv_ReqIRR,$C66:FG66,$C$52:FG$52)*FV(DebtInv_ReqIRR,(FH$52-$C$52)/365,0,-1),FH64)))</f>
        <v>0</v>
      </c>
      <c r="FI66" s="277">
        <f>IF(DebtInv_Pct=0,0,IF($C66+FH65&gt;=0,0,IF($C66+FI65&gt;=0,-XNPV(DebtInv_ReqIRR,$C66:FH66,$C$52:FH$52)*FV(DebtInv_ReqIRR,(FI$52-$C$52)/365,0,-1),FI64)))</f>
        <v>0</v>
      </c>
      <c r="FJ66" s="277">
        <f>IF(DebtInv_Pct=0,0,IF($C66+FI65&gt;=0,0,IF($C66+FJ65&gt;=0,-XNPV(DebtInv_ReqIRR,$C66:FI66,$C$52:FI$52)*FV(DebtInv_ReqIRR,(FJ$52-$C$52)/365,0,-1),FJ64)))</f>
        <v>0</v>
      </c>
      <c r="FK66" s="277">
        <f>IF(DebtInv_Pct=0,0,IF($C66+FJ65&gt;=0,0,IF($C66+FK65&gt;=0,-XNPV(DebtInv_ReqIRR,$C66:FJ66,$C$52:FJ$52)*FV(DebtInv_ReqIRR,(FK$52-$C$52)/365,0,-1),FK64)))</f>
        <v>0</v>
      </c>
      <c r="FL66" s="277">
        <f>IF(DebtInv_Pct=0,0,IF($C66+FK65&gt;=0,0,IF($C66+FL65&gt;=0,-XNPV(DebtInv_ReqIRR,$C66:FK66,$C$52:FK$52)*FV(DebtInv_ReqIRR,(FL$52-$C$52)/365,0,-1),FL64)))</f>
        <v>0</v>
      </c>
      <c r="FM66" s="277">
        <f>IF(DebtInv_Pct=0,0,IF($C66+FL65&gt;=0,0,IF($C66+FM65&gt;=0,-XNPV(DebtInv_ReqIRR,$C66:FL66,$C$52:FL$52)*FV(DebtInv_ReqIRR,(FM$52-$C$52)/365,0,-1),FM64)))</f>
        <v>0</v>
      </c>
      <c r="FN66" s="277">
        <f>IF(DebtInv_Pct=0,0,IF($C66+FM65&gt;=0,0,IF($C66+FN65&gt;=0,-XNPV(DebtInv_ReqIRR,$C66:FM66,$C$52:FM$52)*FV(DebtInv_ReqIRR,(FN$52-$C$52)/365,0,-1),FN64)))</f>
        <v>0</v>
      </c>
      <c r="FO66" s="277">
        <f>IF(DebtInv_Pct=0,0,IF($C66+FN65&gt;=0,0,IF($C66+FO65&gt;=0,-XNPV(DebtInv_ReqIRR,$C66:FN66,$C$52:FN$52)*FV(DebtInv_ReqIRR,(FO$52-$C$52)/365,0,-1),FO64)))</f>
        <v>0</v>
      </c>
      <c r="FP66" s="277">
        <f>IF(DebtInv_Pct=0,0,IF($C66+FO65&gt;=0,0,IF($C66+FP65&gt;=0,-XNPV(DebtInv_ReqIRR,$C66:FO66,$C$52:FO$52)*FV(DebtInv_ReqIRR,(FP$52-$C$52)/365,0,-1),FP64)))</f>
        <v>0</v>
      </c>
      <c r="FQ66" s="277">
        <f>IF(DebtInv_Pct=0,0,IF($C66+FP65&gt;=0,0,IF($C66+FQ65&gt;=0,-XNPV(DebtInv_ReqIRR,$C66:FP66,$C$52:FP$52)*FV(DebtInv_ReqIRR,(FQ$52-$C$52)/365,0,-1),FQ64)))</f>
        <v>0</v>
      </c>
      <c r="FR66" s="277">
        <f>IF(DebtInv_Pct=0,0,IF($C66+FQ65&gt;=0,0,IF($C66+FR65&gt;=0,-XNPV(DebtInv_ReqIRR,$C66:FQ66,$C$52:FQ$52)*FV(DebtInv_ReqIRR,(FR$52-$C$52)/365,0,-1),FR64)))</f>
        <v>0</v>
      </c>
      <c r="FS66" s="277">
        <f>IF(DebtInv_Pct=0,0,IF($C66+FR65&gt;=0,0,IF($C66+FS65&gt;=0,-XNPV(DebtInv_ReqIRR,$C66:FR66,$C$52:FR$52)*FV(DebtInv_ReqIRR,(FS$52-$C$52)/365,0,-1),FS64)))</f>
        <v>0</v>
      </c>
      <c r="FT66" s="277">
        <f>IF(DebtInv_Pct=0,0,IF($C66+FS65&gt;=0,0,IF($C66+FT65&gt;=0,-XNPV(DebtInv_ReqIRR,$C66:FS66,$C$52:FS$52)*FV(DebtInv_ReqIRR,(FT$52-$C$52)/365,0,-1),FT64)))</f>
        <v>0</v>
      </c>
      <c r="FU66" s="277">
        <f>IF(DebtInv_Pct=0,0,IF($C66+FT65&gt;=0,0,IF($C66+FU65&gt;=0,-XNPV(DebtInv_ReqIRR,$C66:FT66,$C$52:FT$52)*FV(DebtInv_ReqIRR,(FU$52-$C$52)/365,0,-1),FU64)))</f>
        <v>0</v>
      </c>
      <c r="FV66" s="277">
        <f>IF(DebtInv_Pct=0,0,IF($C66+FU65&gt;=0,0,IF($C66+FV65&gt;=0,-XNPV(DebtInv_ReqIRR,$C66:FU66,$C$52:FU$52)*FV(DebtInv_ReqIRR,(FV$52-$C$52)/365,0,-1),FV64)))</f>
        <v>0</v>
      </c>
      <c r="FW66" s="277">
        <f>IF(DebtInv_Pct=0,0,IF($C66+FV65&gt;=0,0,IF($C66+FW65&gt;=0,-XNPV(DebtInv_ReqIRR,$C66:FV66,$C$52:FV$52)*FV(DebtInv_ReqIRR,(FW$52-$C$52)/365,0,-1),FW64)))</f>
        <v>0</v>
      </c>
      <c r="FX66" s="277">
        <f>IF(DebtInv_Pct=0,0,IF($C66+FW65&gt;=0,0,IF($C66+FX65&gt;=0,-XNPV(DebtInv_ReqIRR,$C66:FW66,$C$52:FW$52)*FV(DebtInv_ReqIRR,(FX$52-$C$52)/365,0,-1),FX64)))</f>
        <v>0</v>
      </c>
      <c r="FY66" s="277">
        <f>IF(DebtInv_Pct=0,0,IF($C66+FX65&gt;=0,0,IF($C66+FY65&gt;=0,-XNPV(DebtInv_ReqIRR,$C66:FX66,$C$52:FX$52)*FV(DebtInv_ReqIRR,(FY$52-$C$52)/365,0,-1),FY64)))</f>
        <v>0</v>
      </c>
      <c r="FZ66" s="277">
        <f>IF(DebtInv_Pct=0,0,IF($C66+FY65&gt;=0,0,IF($C66+FZ65&gt;=0,-XNPV(DebtInv_ReqIRR,$C66:FY66,$C$52:FY$52)*FV(DebtInv_ReqIRR,(FZ$52-$C$52)/365,0,-1),FZ64)))</f>
        <v>0</v>
      </c>
      <c r="GA66" s="293">
        <f>IF(DebtInv_Pct=0,0,IF($C66+FZ65&gt;=0,0,IF($C66+GA65&gt;=0,-XNPV(DebtInv_ReqIRR,$C66:FZ66,$C$52:FZ$52)*FV(DebtInv_ReqIRR,(GA$52-$C$52)/365,0,-1),GA64)))</f>
        <v>0</v>
      </c>
    </row>
    <row r="67" spans="1:183" x14ac:dyDescent="0.15">
      <c r="A67" s="310"/>
      <c r="C67" s="300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277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  <c r="CK67" s="277"/>
      <c r="CL67" s="277"/>
      <c r="CM67" s="277"/>
      <c r="CN67" s="277"/>
      <c r="CO67" s="277"/>
      <c r="CP67" s="277"/>
      <c r="CQ67" s="277"/>
      <c r="CR67" s="277"/>
      <c r="CS67" s="277"/>
      <c r="CT67" s="277"/>
      <c r="CU67" s="277"/>
      <c r="CV67" s="277"/>
      <c r="CW67" s="277"/>
      <c r="CX67" s="277"/>
      <c r="CY67" s="277"/>
      <c r="CZ67" s="277"/>
      <c r="DA67" s="277"/>
      <c r="DB67" s="277"/>
      <c r="DC67" s="277"/>
      <c r="DD67" s="277"/>
      <c r="DE67" s="277"/>
      <c r="DF67" s="277"/>
      <c r="DG67" s="277"/>
      <c r="DH67" s="277"/>
      <c r="DI67" s="277"/>
      <c r="DJ67" s="277"/>
      <c r="DK67" s="277"/>
      <c r="DL67" s="277"/>
      <c r="DM67" s="277"/>
      <c r="DN67" s="277"/>
      <c r="DO67" s="277"/>
      <c r="DP67" s="277"/>
      <c r="DQ67" s="277"/>
      <c r="DR67" s="277"/>
      <c r="DS67" s="277"/>
      <c r="DT67" s="277"/>
      <c r="DU67" s="277"/>
      <c r="DV67" s="277"/>
      <c r="DW67" s="277"/>
      <c r="DX67" s="277"/>
      <c r="DY67" s="277"/>
      <c r="DZ67" s="277"/>
      <c r="EA67" s="277"/>
      <c r="EB67" s="277"/>
      <c r="EC67" s="277"/>
      <c r="ED67" s="277"/>
      <c r="EE67" s="277"/>
      <c r="EF67" s="277"/>
      <c r="EG67" s="277"/>
      <c r="EH67" s="277"/>
      <c r="EI67" s="277"/>
      <c r="EJ67" s="277"/>
      <c r="EK67" s="277"/>
      <c r="EL67" s="277"/>
      <c r="EM67" s="277"/>
      <c r="EN67" s="277"/>
      <c r="EO67" s="277"/>
      <c r="EP67" s="277"/>
      <c r="EQ67" s="277"/>
      <c r="ER67" s="277"/>
      <c r="ES67" s="277"/>
      <c r="ET67" s="277"/>
      <c r="EU67" s="277"/>
      <c r="EV67" s="277"/>
      <c r="EW67" s="277"/>
      <c r="EX67" s="277"/>
      <c r="EY67" s="277"/>
      <c r="EZ67" s="277"/>
      <c r="FA67" s="277"/>
      <c r="FB67" s="277"/>
      <c r="FC67" s="277"/>
      <c r="FD67" s="277"/>
      <c r="FE67" s="277"/>
      <c r="FF67" s="277"/>
      <c r="FG67" s="277"/>
      <c r="FH67" s="277"/>
      <c r="FI67" s="277"/>
      <c r="FJ67" s="277"/>
      <c r="FK67" s="277"/>
      <c r="FL67" s="277"/>
      <c r="FM67" s="277"/>
      <c r="FN67" s="277"/>
      <c r="FO67" s="277"/>
      <c r="FP67" s="277"/>
      <c r="FQ67" s="277"/>
      <c r="FR67" s="277"/>
      <c r="FS67" s="277"/>
      <c r="FT67" s="277"/>
      <c r="FU67" s="277"/>
      <c r="FV67" s="277"/>
      <c r="FW67" s="277"/>
      <c r="FX67" s="277"/>
      <c r="FY67" s="277"/>
      <c r="FZ67" s="277"/>
      <c r="GA67" s="293"/>
    </row>
    <row r="68" spans="1:183" x14ac:dyDescent="0.15">
      <c r="A68" s="310" t="s">
        <v>899</v>
      </c>
      <c r="C68" s="300">
        <f>-C13+C26</f>
        <v>-28632.811398085287</v>
      </c>
      <c r="D68" s="277">
        <f ca="1">D58-D62-D66</f>
        <v>457.90138883405962</v>
      </c>
      <c r="E68" s="277">
        <f t="shared" ref="E68:BP68" ca="1" si="32">E58-E62-E66</f>
        <v>457.90138883405962</v>
      </c>
      <c r="F68" s="277">
        <f t="shared" ca="1" si="32"/>
        <v>457.90138883405962</v>
      </c>
      <c r="G68" s="277">
        <f t="shared" ca="1" si="32"/>
        <v>457.90138883405962</v>
      </c>
      <c r="H68" s="277">
        <f t="shared" ca="1" si="32"/>
        <v>457.90138883405962</v>
      </c>
      <c r="I68" s="277">
        <f t="shared" ca="1" si="32"/>
        <v>457.90138883405962</v>
      </c>
      <c r="J68" s="277">
        <f t="shared" ca="1" si="32"/>
        <v>457.90138883405962</v>
      </c>
      <c r="K68" s="277">
        <f t="shared" ca="1" si="32"/>
        <v>457.90138883405962</v>
      </c>
      <c r="L68" s="277">
        <f t="shared" ca="1" si="32"/>
        <v>457.90138883405962</v>
      </c>
      <c r="M68" s="277">
        <f t="shared" ca="1" si="32"/>
        <v>457.90138883405962</v>
      </c>
      <c r="N68" s="277">
        <f t="shared" ca="1" si="32"/>
        <v>457.90138883405962</v>
      </c>
      <c r="O68" s="277">
        <f t="shared" ca="1" si="32"/>
        <v>457.90138883405962</v>
      </c>
      <c r="P68" s="277">
        <f t="shared" ca="1" si="32"/>
        <v>396.67406235603221</v>
      </c>
      <c r="Q68" s="277">
        <f t="shared" ca="1" si="32"/>
        <v>396.67406235603221</v>
      </c>
      <c r="R68" s="277">
        <f t="shared" ca="1" si="32"/>
        <v>396.67406235603221</v>
      </c>
      <c r="S68" s="277">
        <f t="shared" ca="1" si="32"/>
        <v>396.67406235603221</v>
      </c>
      <c r="T68" s="277">
        <f t="shared" ca="1" si="32"/>
        <v>396.67406235603221</v>
      </c>
      <c r="U68" s="277">
        <f t="shared" ca="1" si="32"/>
        <v>396.67406235603221</v>
      </c>
      <c r="V68" s="277">
        <f t="shared" ca="1" si="32"/>
        <v>396.67406235603221</v>
      </c>
      <c r="W68" s="277">
        <f t="shared" ca="1" si="32"/>
        <v>396.67406235603221</v>
      </c>
      <c r="X68" s="277">
        <f t="shared" ca="1" si="32"/>
        <v>396.67406235603221</v>
      </c>
      <c r="Y68" s="277">
        <f t="shared" ca="1" si="32"/>
        <v>396.67406235603221</v>
      </c>
      <c r="Z68" s="277">
        <f t="shared" ca="1" si="32"/>
        <v>396.67406235603221</v>
      </c>
      <c r="AA68" s="277">
        <f t="shared" ca="1" si="32"/>
        <v>396.67406235603221</v>
      </c>
      <c r="AB68" s="277">
        <f t="shared" ca="1" si="32"/>
        <v>410.61333015849277</v>
      </c>
      <c r="AC68" s="277">
        <f t="shared" ca="1" si="32"/>
        <v>410.61333015849277</v>
      </c>
      <c r="AD68" s="277">
        <f t="shared" ca="1" si="32"/>
        <v>410.61333015849277</v>
      </c>
      <c r="AE68" s="277">
        <f t="shared" ca="1" si="32"/>
        <v>410.61333015849277</v>
      </c>
      <c r="AF68" s="277">
        <f t="shared" ca="1" si="32"/>
        <v>410.61333015849277</v>
      </c>
      <c r="AG68" s="277">
        <f t="shared" ca="1" si="32"/>
        <v>410.61333015849277</v>
      </c>
      <c r="AH68" s="277">
        <f t="shared" ca="1" si="32"/>
        <v>410.61333015849277</v>
      </c>
      <c r="AI68" s="277">
        <f t="shared" ca="1" si="32"/>
        <v>410.61333015849277</v>
      </c>
      <c r="AJ68" s="277">
        <f t="shared" ca="1" si="32"/>
        <v>410.61333015849277</v>
      </c>
      <c r="AK68" s="277">
        <f t="shared" ca="1" si="32"/>
        <v>410.61333015849277</v>
      </c>
      <c r="AL68" s="277">
        <f t="shared" ca="1" si="32"/>
        <v>410.61333015849277</v>
      </c>
      <c r="AM68" s="277">
        <f t="shared" ca="1" si="32"/>
        <v>410.61333015849277</v>
      </c>
      <c r="AN68" s="277">
        <f t="shared" ca="1" si="32"/>
        <v>425.04214260264007</v>
      </c>
      <c r="AO68" s="277">
        <f t="shared" ca="1" si="32"/>
        <v>425.04214260264007</v>
      </c>
      <c r="AP68" s="277">
        <f t="shared" ca="1" si="32"/>
        <v>425.04214260264007</v>
      </c>
      <c r="AQ68" s="277">
        <f t="shared" ca="1" si="32"/>
        <v>425.04214260264007</v>
      </c>
      <c r="AR68" s="277">
        <f t="shared" ca="1" si="32"/>
        <v>425.04214260264007</v>
      </c>
      <c r="AS68" s="277">
        <f t="shared" ca="1" si="32"/>
        <v>425.04214260264007</v>
      </c>
      <c r="AT68" s="277">
        <f t="shared" ca="1" si="32"/>
        <v>425.04214260264007</v>
      </c>
      <c r="AU68" s="277">
        <f t="shared" ca="1" si="32"/>
        <v>425.04214260264007</v>
      </c>
      <c r="AV68" s="277">
        <f t="shared" ca="1" si="32"/>
        <v>425.04214260264007</v>
      </c>
      <c r="AW68" s="277">
        <f t="shared" ca="1" si="32"/>
        <v>425.04214260264007</v>
      </c>
      <c r="AX68" s="277">
        <f t="shared" ca="1" si="32"/>
        <v>425.04214260264007</v>
      </c>
      <c r="AY68" s="277">
        <f t="shared" ca="1" si="32"/>
        <v>425.04214260264007</v>
      </c>
      <c r="AZ68" s="277">
        <f t="shared" ca="1" si="32"/>
        <v>439.97768385899053</v>
      </c>
      <c r="BA68" s="277">
        <f t="shared" ca="1" si="32"/>
        <v>439.97768385899053</v>
      </c>
      <c r="BB68" s="277">
        <f t="shared" ca="1" si="32"/>
        <v>439.97768385899053</v>
      </c>
      <c r="BC68" s="277">
        <f t="shared" ca="1" si="32"/>
        <v>439.97768385899053</v>
      </c>
      <c r="BD68" s="277">
        <f t="shared" ca="1" si="32"/>
        <v>439.97768385899053</v>
      </c>
      <c r="BE68" s="277">
        <f t="shared" ca="1" si="32"/>
        <v>439.97768385899053</v>
      </c>
      <c r="BF68" s="277">
        <f t="shared" ca="1" si="32"/>
        <v>439.97768385899053</v>
      </c>
      <c r="BG68" s="277">
        <f t="shared" ca="1" si="32"/>
        <v>439.97768385899053</v>
      </c>
      <c r="BH68" s="277">
        <f t="shared" ca="1" si="32"/>
        <v>439.97768385899053</v>
      </c>
      <c r="BI68" s="277">
        <f t="shared" ca="1" si="32"/>
        <v>439.97768385899053</v>
      </c>
      <c r="BJ68" s="277">
        <f t="shared" ca="1" si="32"/>
        <v>439.97768385899053</v>
      </c>
      <c r="BK68" s="277">
        <f t="shared" ca="1" si="32"/>
        <v>439.97768385899053</v>
      </c>
      <c r="BL68" s="277">
        <f t="shared" ca="1" si="32"/>
        <v>455.43774104727072</v>
      </c>
      <c r="BM68" s="277">
        <f t="shared" ca="1" si="32"/>
        <v>455.43774104727072</v>
      </c>
      <c r="BN68" s="277">
        <f t="shared" ca="1" si="32"/>
        <v>455.43774104727072</v>
      </c>
      <c r="BO68" s="277">
        <f t="shared" ca="1" si="32"/>
        <v>455.43774104727072</v>
      </c>
      <c r="BP68" s="277">
        <f t="shared" ca="1" si="32"/>
        <v>455.43774104727072</v>
      </c>
      <c r="BQ68" s="277">
        <f t="shared" ref="BQ68:EB68" ca="1" si="33">BQ58-BQ62-BQ66</f>
        <v>455.43774104727072</v>
      </c>
      <c r="BR68" s="277">
        <f t="shared" ca="1" si="33"/>
        <v>455.43774104727072</v>
      </c>
      <c r="BS68" s="277">
        <f t="shared" ca="1" si="33"/>
        <v>455.43774104727072</v>
      </c>
      <c r="BT68" s="277">
        <f t="shared" ca="1" si="33"/>
        <v>455.43774104727072</v>
      </c>
      <c r="BU68" s="277">
        <f t="shared" ca="1" si="33"/>
        <v>455.43774104727072</v>
      </c>
      <c r="BV68" s="277">
        <f t="shared" ca="1" si="33"/>
        <v>455.43774104727072</v>
      </c>
      <c r="BW68" s="277">
        <f t="shared" ca="1" si="33"/>
        <v>455.43774104727072</v>
      </c>
      <c r="BX68" s="277">
        <f t="shared" ca="1" si="33"/>
        <v>471.44072538473756</v>
      </c>
      <c r="BY68" s="277">
        <f t="shared" ca="1" si="33"/>
        <v>471.44072538473756</v>
      </c>
      <c r="BZ68" s="277">
        <f t="shared" ca="1" si="33"/>
        <v>471.44072538473756</v>
      </c>
      <c r="CA68" s="277">
        <f t="shared" ca="1" si="33"/>
        <v>471.44072538473756</v>
      </c>
      <c r="CB68" s="277">
        <f t="shared" ca="1" si="33"/>
        <v>471.44072538473756</v>
      </c>
      <c r="CC68" s="277">
        <f t="shared" ca="1" si="33"/>
        <v>471.44072538473756</v>
      </c>
      <c r="CD68" s="277">
        <f t="shared" ca="1" si="33"/>
        <v>471.44072538473756</v>
      </c>
      <c r="CE68" s="277">
        <f t="shared" ca="1" si="33"/>
        <v>471.44072538473756</v>
      </c>
      <c r="CF68" s="277">
        <f t="shared" ca="1" si="33"/>
        <v>471.44072538473756</v>
      </c>
      <c r="CG68" s="277">
        <f t="shared" ca="1" si="33"/>
        <v>471.44072538473756</v>
      </c>
      <c r="CH68" s="277">
        <f t="shared" ca="1" si="33"/>
        <v>471.44072538473756</v>
      </c>
      <c r="CI68" s="277">
        <f t="shared" ca="1" si="33"/>
        <v>471.44072538473756</v>
      </c>
      <c r="CJ68" s="277">
        <f t="shared" ca="1" si="33"/>
        <v>488.00569407603962</v>
      </c>
      <c r="CK68" s="277">
        <f t="shared" ca="1" si="33"/>
        <v>488.00569407603962</v>
      </c>
      <c r="CL68" s="277">
        <f t="shared" ca="1" si="33"/>
        <v>488.00569407603962</v>
      </c>
      <c r="CM68" s="277">
        <f t="shared" ca="1" si="33"/>
        <v>488.00569407603962</v>
      </c>
      <c r="CN68" s="277">
        <f t="shared" ca="1" si="33"/>
        <v>488.00569407603962</v>
      </c>
      <c r="CO68" s="277">
        <f t="shared" ca="1" si="33"/>
        <v>488.00569407603962</v>
      </c>
      <c r="CP68" s="277">
        <f t="shared" ca="1" si="33"/>
        <v>488.00569407603962</v>
      </c>
      <c r="CQ68" s="277">
        <f t="shared" ca="1" si="33"/>
        <v>488.00569407603962</v>
      </c>
      <c r="CR68" s="277">
        <f t="shared" ca="1" si="33"/>
        <v>488.00569407603962</v>
      </c>
      <c r="CS68" s="277">
        <f t="shared" ca="1" si="33"/>
        <v>488.00569407603962</v>
      </c>
      <c r="CT68" s="277">
        <f t="shared" ca="1" si="33"/>
        <v>488.00569407603962</v>
      </c>
      <c r="CU68" s="277">
        <f t="shared" ca="1" si="33"/>
        <v>488.00569407603962</v>
      </c>
      <c r="CV68" s="277">
        <f t="shared" ca="1" si="33"/>
        <v>505.15237297062322</v>
      </c>
      <c r="CW68" s="277">
        <f t="shared" ca="1" si="33"/>
        <v>505.15237297062322</v>
      </c>
      <c r="CX68" s="277">
        <f t="shared" ca="1" si="33"/>
        <v>505.15237297062322</v>
      </c>
      <c r="CY68" s="277">
        <f t="shared" ca="1" si="33"/>
        <v>505.15237297062322</v>
      </c>
      <c r="CZ68" s="277">
        <f t="shared" ca="1" si="33"/>
        <v>505.15237297062322</v>
      </c>
      <c r="DA68" s="277">
        <f t="shared" ca="1" si="33"/>
        <v>505.15237297062322</v>
      </c>
      <c r="DB68" s="277">
        <f t="shared" ca="1" si="33"/>
        <v>505.15237297062322</v>
      </c>
      <c r="DC68" s="277">
        <f t="shared" ca="1" si="33"/>
        <v>505.15237297062322</v>
      </c>
      <c r="DD68" s="277">
        <f t="shared" ca="1" si="33"/>
        <v>505.15237297062322</v>
      </c>
      <c r="DE68" s="277">
        <f t="shared" ca="1" si="33"/>
        <v>505.15237297062322</v>
      </c>
      <c r="DF68" s="277">
        <f t="shared" ca="1" si="33"/>
        <v>505.15237297062322</v>
      </c>
      <c r="DG68" s="277">
        <f t="shared" ca="1" si="33"/>
        <v>505.15237297062322</v>
      </c>
      <c r="DH68" s="277">
        <f t="shared" ca="1" si="33"/>
        <v>522.90118001457449</v>
      </c>
      <c r="DI68" s="277">
        <f t="shared" ca="1" si="33"/>
        <v>522.90118001457449</v>
      </c>
      <c r="DJ68" s="277">
        <f t="shared" ca="1" si="33"/>
        <v>522.90118001457449</v>
      </c>
      <c r="DK68" s="277">
        <f t="shared" ca="1" si="33"/>
        <v>522.90118001457449</v>
      </c>
      <c r="DL68" s="277">
        <f t="shared" ca="1" si="33"/>
        <v>522.90118001457449</v>
      </c>
      <c r="DM68" s="277">
        <f t="shared" ca="1" si="33"/>
        <v>522.90118001457449</v>
      </c>
      <c r="DN68" s="277">
        <f t="shared" ca="1" si="33"/>
        <v>522.90118001457449</v>
      </c>
      <c r="DO68" s="277">
        <f t="shared" ca="1" si="33"/>
        <v>522.90118001457449</v>
      </c>
      <c r="DP68" s="277">
        <f t="shared" ca="1" si="33"/>
        <v>522.90118001457449</v>
      </c>
      <c r="DQ68" s="277">
        <f t="shared" ca="1" si="33"/>
        <v>522.90118001457449</v>
      </c>
      <c r="DR68" s="277">
        <f t="shared" ca="1" si="33"/>
        <v>522.90118001457449</v>
      </c>
      <c r="DS68" s="277">
        <f t="shared" ca="1" si="33"/>
        <v>532.90118001457449</v>
      </c>
      <c r="DT68" s="277">
        <f t="shared" ca="1" si="33"/>
        <v>0</v>
      </c>
      <c r="DU68" s="277">
        <f t="shared" ca="1" si="33"/>
        <v>0</v>
      </c>
      <c r="DV68" s="277">
        <f t="shared" ca="1" si="33"/>
        <v>0</v>
      </c>
      <c r="DW68" s="277">
        <f t="shared" ca="1" si="33"/>
        <v>0</v>
      </c>
      <c r="DX68" s="277">
        <f t="shared" ca="1" si="33"/>
        <v>0</v>
      </c>
      <c r="DY68" s="277">
        <f t="shared" ca="1" si="33"/>
        <v>0</v>
      </c>
      <c r="DZ68" s="277">
        <f t="shared" ca="1" si="33"/>
        <v>0</v>
      </c>
      <c r="EA68" s="277">
        <f t="shared" ca="1" si="33"/>
        <v>0</v>
      </c>
      <c r="EB68" s="277">
        <f t="shared" ca="1" si="33"/>
        <v>0</v>
      </c>
      <c r="EC68" s="277">
        <f t="shared" ref="EC68:GA68" ca="1" si="34">EC58-EC62-EC66</f>
        <v>0</v>
      </c>
      <c r="ED68" s="277">
        <f t="shared" ca="1" si="34"/>
        <v>0</v>
      </c>
      <c r="EE68" s="277">
        <f t="shared" ca="1" si="34"/>
        <v>0</v>
      </c>
      <c r="EF68" s="277">
        <f t="shared" ca="1" si="34"/>
        <v>0</v>
      </c>
      <c r="EG68" s="277">
        <f t="shared" ca="1" si="34"/>
        <v>0</v>
      </c>
      <c r="EH68" s="277">
        <f t="shared" ca="1" si="34"/>
        <v>0</v>
      </c>
      <c r="EI68" s="277">
        <f t="shared" ca="1" si="34"/>
        <v>0</v>
      </c>
      <c r="EJ68" s="277">
        <f t="shared" ca="1" si="34"/>
        <v>0</v>
      </c>
      <c r="EK68" s="277">
        <f t="shared" ca="1" si="34"/>
        <v>0</v>
      </c>
      <c r="EL68" s="277">
        <f t="shared" ca="1" si="34"/>
        <v>0</v>
      </c>
      <c r="EM68" s="277">
        <f t="shared" ca="1" si="34"/>
        <v>0</v>
      </c>
      <c r="EN68" s="277">
        <f t="shared" ca="1" si="34"/>
        <v>0</v>
      </c>
      <c r="EO68" s="277">
        <f t="shared" ca="1" si="34"/>
        <v>0</v>
      </c>
      <c r="EP68" s="277">
        <f t="shared" ca="1" si="34"/>
        <v>0</v>
      </c>
      <c r="EQ68" s="277">
        <f t="shared" ca="1" si="34"/>
        <v>0</v>
      </c>
      <c r="ER68" s="277">
        <f t="shared" ca="1" si="34"/>
        <v>0</v>
      </c>
      <c r="ES68" s="277">
        <f t="shared" ca="1" si="34"/>
        <v>0</v>
      </c>
      <c r="ET68" s="277">
        <f t="shared" ca="1" si="34"/>
        <v>0</v>
      </c>
      <c r="EU68" s="277">
        <f t="shared" ca="1" si="34"/>
        <v>0</v>
      </c>
      <c r="EV68" s="277">
        <f t="shared" ca="1" si="34"/>
        <v>0</v>
      </c>
      <c r="EW68" s="277">
        <f t="shared" ca="1" si="34"/>
        <v>0</v>
      </c>
      <c r="EX68" s="277">
        <f t="shared" ca="1" si="34"/>
        <v>0</v>
      </c>
      <c r="EY68" s="277">
        <f t="shared" ca="1" si="34"/>
        <v>0</v>
      </c>
      <c r="EZ68" s="277">
        <f t="shared" ca="1" si="34"/>
        <v>0</v>
      </c>
      <c r="FA68" s="277">
        <f t="shared" ca="1" si="34"/>
        <v>0</v>
      </c>
      <c r="FB68" s="277">
        <f t="shared" ca="1" si="34"/>
        <v>0</v>
      </c>
      <c r="FC68" s="277">
        <f t="shared" ca="1" si="34"/>
        <v>0</v>
      </c>
      <c r="FD68" s="277">
        <f t="shared" ca="1" si="34"/>
        <v>0</v>
      </c>
      <c r="FE68" s="277">
        <f t="shared" ca="1" si="34"/>
        <v>0</v>
      </c>
      <c r="FF68" s="277">
        <f t="shared" ca="1" si="34"/>
        <v>0</v>
      </c>
      <c r="FG68" s="277">
        <f t="shared" ca="1" si="34"/>
        <v>0</v>
      </c>
      <c r="FH68" s="277">
        <f t="shared" ca="1" si="34"/>
        <v>0</v>
      </c>
      <c r="FI68" s="277">
        <f t="shared" ca="1" si="34"/>
        <v>0</v>
      </c>
      <c r="FJ68" s="277">
        <f t="shared" ca="1" si="34"/>
        <v>0</v>
      </c>
      <c r="FK68" s="277">
        <f t="shared" ca="1" si="34"/>
        <v>0</v>
      </c>
      <c r="FL68" s="277">
        <f t="shared" ca="1" si="34"/>
        <v>0</v>
      </c>
      <c r="FM68" s="277">
        <f t="shared" ca="1" si="34"/>
        <v>0</v>
      </c>
      <c r="FN68" s="277">
        <f t="shared" ca="1" si="34"/>
        <v>0</v>
      </c>
      <c r="FO68" s="277">
        <f t="shared" ca="1" si="34"/>
        <v>0</v>
      </c>
      <c r="FP68" s="277">
        <f t="shared" ca="1" si="34"/>
        <v>0</v>
      </c>
      <c r="FQ68" s="277">
        <f t="shared" ca="1" si="34"/>
        <v>0</v>
      </c>
      <c r="FR68" s="277">
        <f t="shared" ca="1" si="34"/>
        <v>0</v>
      </c>
      <c r="FS68" s="277">
        <f t="shared" ca="1" si="34"/>
        <v>0</v>
      </c>
      <c r="FT68" s="277">
        <f t="shared" ca="1" si="34"/>
        <v>0</v>
      </c>
      <c r="FU68" s="277">
        <f t="shared" ca="1" si="34"/>
        <v>0</v>
      </c>
      <c r="FV68" s="277">
        <f t="shared" ca="1" si="34"/>
        <v>0</v>
      </c>
      <c r="FW68" s="277">
        <f t="shared" ca="1" si="34"/>
        <v>0</v>
      </c>
      <c r="FX68" s="277">
        <f t="shared" ca="1" si="34"/>
        <v>0</v>
      </c>
      <c r="FY68" s="277">
        <f t="shared" ca="1" si="34"/>
        <v>0</v>
      </c>
      <c r="FZ68" s="277">
        <f t="shared" ca="1" si="34"/>
        <v>0</v>
      </c>
      <c r="GA68" s="293">
        <f t="shared" ca="1" si="34"/>
        <v>0</v>
      </c>
    </row>
    <row r="69" spans="1:183" x14ac:dyDescent="0.15">
      <c r="A69" s="310" t="s">
        <v>902</v>
      </c>
      <c r="C69" s="300"/>
      <c r="D69" s="277">
        <f t="shared" ref="D69:AI69" si="35">-HLOOKUP(D$51,$C$40:$W$46,3,FALSE)/12+(IF(AND(LOWER(InclUpfront_OM)="false",D50/12=Cust_LeaseTermYears),AddToFinalPymt_OM,0))</f>
        <v>154.44000000000003</v>
      </c>
      <c r="E69" s="277">
        <f t="shared" si="35"/>
        <v>154.44000000000003</v>
      </c>
      <c r="F69" s="277">
        <f t="shared" si="35"/>
        <v>154.44000000000003</v>
      </c>
      <c r="G69" s="277">
        <f t="shared" si="35"/>
        <v>154.44000000000003</v>
      </c>
      <c r="H69" s="277">
        <f t="shared" si="35"/>
        <v>154.44000000000003</v>
      </c>
      <c r="I69" s="277">
        <f t="shared" si="35"/>
        <v>154.44000000000003</v>
      </c>
      <c r="J69" s="277">
        <f t="shared" si="35"/>
        <v>154.44000000000003</v>
      </c>
      <c r="K69" s="277">
        <f t="shared" si="35"/>
        <v>154.44000000000003</v>
      </c>
      <c r="L69" s="277">
        <f t="shared" si="35"/>
        <v>154.44000000000003</v>
      </c>
      <c r="M69" s="277">
        <f t="shared" si="35"/>
        <v>154.44000000000003</v>
      </c>
      <c r="N69" s="277">
        <f t="shared" si="35"/>
        <v>154.44000000000003</v>
      </c>
      <c r="O69" s="277">
        <f t="shared" si="35"/>
        <v>154.44000000000003</v>
      </c>
      <c r="P69" s="277">
        <f t="shared" si="35"/>
        <v>159.07320000000001</v>
      </c>
      <c r="Q69" s="277">
        <f t="shared" si="35"/>
        <v>159.07320000000001</v>
      </c>
      <c r="R69" s="277">
        <f t="shared" si="35"/>
        <v>159.07320000000001</v>
      </c>
      <c r="S69" s="277">
        <f t="shared" si="35"/>
        <v>159.07320000000001</v>
      </c>
      <c r="T69" s="277">
        <f t="shared" si="35"/>
        <v>159.07320000000001</v>
      </c>
      <c r="U69" s="277">
        <f t="shared" si="35"/>
        <v>159.07320000000001</v>
      </c>
      <c r="V69" s="277">
        <f t="shared" si="35"/>
        <v>159.07320000000001</v>
      </c>
      <c r="W69" s="277">
        <f t="shared" si="35"/>
        <v>159.07320000000001</v>
      </c>
      <c r="X69" s="277">
        <f t="shared" si="35"/>
        <v>159.07320000000001</v>
      </c>
      <c r="Y69" s="277">
        <f t="shared" si="35"/>
        <v>159.07320000000001</v>
      </c>
      <c r="Z69" s="277">
        <f t="shared" si="35"/>
        <v>159.07320000000001</v>
      </c>
      <c r="AA69" s="277">
        <f t="shared" si="35"/>
        <v>159.07320000000001</v>
      </c>
      <c r="AB69" s="277">
        <f t="shared" si="35"/>
        <v>163.84539600000002</v>
      </c>
      <c r="AC69" s="277">
        <f t="shared" si="35"/>
        <v>163.84539600000002</v>
      </c>
      <c r="AD69" s="277">
        <f t="shared" si="35"/>
        <v>163.84539600000002</v>
      </c>
      <c r="AE69" s="277">
        <f t="shared" si="35"/>
        <v>163.84539600000002</v>
      </c>
      <c r="AF69" s="277">
        <f t="shared" si="35"/>
        <v>163.84539600000002</v>
      </c>
      <c r="AG69" s="277">
        <f t="shared" si="35"/>
        <v>163.84539600000002</v>
      </c>
      <c r="AH69" s="277">
        <f t="shared" si="35"/>
        <v>163.84539600000002</v>
      </c>
      <c r="AI69" s="277">
        <f t="shared" si="35"/>
        <v>163.84539600000002</v>
      </c>
      <c r="AJ69" s="277">
        <f t="shared" ref="AJ69:BO69" si="36">-HLOOKUP(AJ$51,$C$40:$W$46,3,FALSE)/12+(IF(AND(LOWER(InclUpfront_OM)="false",AJ50/12=Cust_LeaseTermYears),AddToFinalPymt_OM,0))</f>
        <v>163.84539600000002</v>
      </c>
      <c r="AK69" s="277">
        <f t="shared" si="36"/>
        <v>163.84539600000002</v>
      </c>
      <c r="AL69" s="277">
        <f t="shared" si="36"/>
        <v>163.84539600000002</v>
      </c>
      <c r="AM69" s="277">
        <f t="shared" si="36"/>
        <v>163.84539600000002</v>
      </c>
      <c r="AN69" s="277">
        <f t="shared" si="36"/>
        <v>168.76075788000003</v>
      </c>
      <c r="AO69" s="277">
        <f t="shared" si="36"/>
        <v>168.76075788000003</v>
      </c>
      <c r="AP69" s="277">
        <f t="shared" si="36"/>
        <v>168.76075788000003</v>
      </c>
      <c r="AQ69" s="277">
        <f t="shared" si="36"/>
        <v>168.76075788000003</v>
      </c>
      <c r="AR69" s="277">
        <f t="shared" si="36"/>
        <v>168.76075788000003</v>
      </c>
      <c r="AS69" s="277">
        <f t="shared" si="36"/>
        <v>168.76075788000003</v>
      </c>
      <c r="AT69" s="277">
        <f t="shared" si="36"/>
        <v>168.76075788000003</v>
      </c>
      <c r="AU69" s="277">
        <f t="shared" si="36"/>
        <v>168.76075788000003</v>
      </c>
      <c r="AV69" s="277">
        <f t="shared" si="36"/>
        <v>168.76075788000003</v>
      </c>
      <c r="AW69" s="277">
        <f t="shared" si="36"/>
        <v>168.76075788000003</v>
      </c>
      <c r="AX69" s="277">
        <f t="shared" si="36"/>
        <v>168.76075788000003</v>
      </c>
      <c r="AY69" s="277">
        <f t="shared" si="36"/>
        <v>168.76075788000003</v>
      </c>
      <c r="AZ69" s="277">
        <f t="shared" si="36"/>
        <v>173.82358061640002</v>
      </c>
      <c r="BA69" s="277">
        <f t="shared" si="36"/>
        <v>173.82358061640002</v>
      </c>
      <c r="BB69" s="277">
        <f t="shared" si="36"/>
        <v>173.82358061640002</v>
      </c>
      <c r="BC69" s="277">
        <f t="shared" si="36"/>
        <v>173.82358061640002</v>
      </c>
      <c r="BD69" s="277">
        <f t="shared" si="36"/>
        <v>173.82358061640002</v>
      </c>
      <c r="BE69" s="277">
        <f t="shared" si="36"/>
        <v>173.82358061640002</v>
      </c>
      <c r="BF69" s="277">
        <f t="shared" si="36"/>
        <v>173.82358061640002</v>
      </c>
      <c r="BG69" s="277">
        <f t="shared" si="36"/>
        <v>173.82358061640002</v>
      </c>
      <c r="BH69" s="277">
        <f t="shared" si="36"/>
        <v>173.82358061640002</v>
      </c>
      <c r="BI69" s="277">
        <f t="shared" si="36"/>
        <v>173.82358061640002</v>
      </c>
      <c r="BJ69" s="277">
        <f t="shared" si="36"/>
        <v>173.82358061640002</v>
      </c>
      <c r="BK69" s="277">
        <f t="shared" si="36"/>
        <v>173.82358061640002</v>
      </c>
      <c r="BL69" s="277">
        <f t="shared" si="36"/>
        <v>179.03828803489202</v>
      </c>
      <c r="BM69" s="277">
        <f t="shared" si="36"/>
        <v>179.03828803489202</v>
      </c>
      <c r="BN69" s="277">
        <f t="shared" si="36"/>
        <v>179.03828803489202</v>
      </c>
      <c r="BO69" s="277">
        <f t="shared" si="36"/>
        <v>179.03828803489202</v>
      </c>
      <c r="BP69" s="277">
        <f t="shared" ref="BP69:CU69" si="37">-HLOOKUP(BP$51,$C$40:$W$46,3,FALSE)/12+(IF(AND(LOWER(InclUpfront_OM)="false",BP50/12=Cust_LeaseTermYears),AddToFinalPymt_OM,0))</f>
        <v>179.03828803489202</v>
      </c>
      <c r="BQ69" s="277">
        <f t="shared" si="37"/>
        <v>179.03828803489202</v>
      </c>
      <c r="BR69" s="277">
        <f t="shared" si="37"/>
        <v>179.03828803489202</v>
      </c>
      <c r="BS69" s="277">
        <f t="shared" si="37"/>
        <v>179.03828803489202</v>
      </c>
      <c r="BT69" s="277">
        <f t="shared" si="37"/>
        <v>179.03828803489202</v>
      </c>
      <c r="BU69" s="277">
        <f t="shared" si="37"/>
        <v>179.03828803489202</v>
      </c>
      <c r="BV69" s="277">
        <f t="shared" si="37"/>
        <v>179.03828803489202</v>
      </c>
      <c r="BW69" s="277">
        <f t="shared" si="37"/>
        <v>179.03828803489202</v>
      </c>
      <c r="BX69" s="277">
        <f t="shared" si="37"/>
        <v>184.40943667593876</v>
      </c>
      <c r="BY69" s="277">
        <f t="shared" si="37"/>
        <v>184.40943667593876</v>
      </c>
      <c r="BZ69" s="277">
        <f t="shared" si="37"/>
        <v>184.40943667593876</v>
      </c>
      <c r="CA69" s="277">
        <f t="shared" si="37"/>
        <v>184.40943667593876</v>
      </c>
      <c r="CB69" s="277">
        <f t="shared" si="37"/>
        <v>184.40943667593876</v>
      </c>
      <c r="CC69" s="277">
        <f t="shared" si="37"/>
        <v>184.40943667593876</v>
      </c>
      <c r="CD69" s="277">
        <f t="shared" si="37"/>
        <v>184.40943667593876</v>
      </c>
      <c r="CE69" s="277">
        <f t="shared" si="37"/>
        <v>184.40943667593876</v>
      </c>
      <c r="CF69" s="277">
        <f t="shared" si="37"/>
        <v>184.40943667593876</v>
      </c>
      <c r="CG69" s="277">
        <f t="shared" si="37"/>
        <v>184.40943667593876</v>
      </c>
      <c r="CH69" s="277">
        <f t="shared" si="37"/>
        <v>184.40943667593876</v>
      </c>
      <c r="CI69" s="277">
        <f t="shared" si="37"/>
        <v>184.40943667593876</v>
      </c>
      <c r="CJ69" s="277">
        <f t="shared" si="37"/>
        <v>189.94171977621693</v>
      </c>
      <c r="CK69" s="277">
        <f t="shared" si="37"/>
        <v>189.94171977621693</v>
      </c>
      <c r="CL69" s="277">
        <f t="shared" si="37"/>
        <v>189.94171977621693</v>
      </c>
      <c r="CM69" s="277">
        <f t="shared" si="37"/>
        <v>189.94171977621693</v>
      </c>
      <c r="CN69" s="277">
        <f t="shared" si="37"/>
        <v>189.94171977621693</v>
      </c>
      <c r="CO69" s="277">
        <f t="shared" si="37"/>
        <v>189.94171977621693</v>
      </c>
      <c r="CP69" s="277">
        <f t="shared" si="37"/>
        <v>189.94171977621693</v>
      </c>
      <c r="CQ69" s="277">
        <f t="shared" si="37"/>
        <v>189.94171977621693</v>
      </c>
      <c r="CR69" s="277">
        <f t="shared" si="37"/>
        <v>189.94171977621693</v>
      </c>
      <c r="CS69" s="277">
        <f t="shared" si="37"/>
        <v>189.94171977621693</v>
      </c>
      <c r="CT69" s="277">
        <f t="shared" si="37"/>
        <v>189.94171977621693</v>
      </c>
      <c r="CU69" s="277">
        <f t="shared" si="37"/>
        <v>189.94171977621693</v>
      </c>
      <c r="CV69" s="277">
        <f t="shared" ref="CV69:EA69" si="38">-HLOOKUP(CV$51,$C$40:$W$46,3,FALSE)/12+(IF(AND(LOWER(InclUpfront_OM)="false",CV50/12=Cust_LeaseTermYears),AddToFinalPymt_OM,0))</f>
        <v>195.63997136950343</v>
      </c>
      <c r="CW69" s="277">
        <f t="shared" si="38"/>
        <v>195.63997136950343</v>
      </c>
      <c r="CX69" s="277">
        <f t="shared" si="38"/>
        <v>195.63997136950343</v>
      </c>
      <c r="CY69" s="277">
        <f t="shared" si="38"/>
        <v>195.63997136950343</v>
      </c>
      <c r="CZ69" s="277">
        <f t="shared" si="38"/>
        <v>195.63997136950343</v>
      </c>
      <c r="DA69" s="277">
        <f t="shared" si="38"/>
        <v>195.63997136950343</v>
      </c>
      <c r="DB69" s="277">
        <f t="shared" si="38"/>
        <v>195.63997136950343</v>
      </c>
      <c r="DC69" s="277">
        <f t="shared" si="38"/>
        <v>195.63997136950343</v>
      </c>
      <c r="DD69" s="277">
        <f t="shared" si="38"/>
        <v>195.63997136950343</v>
      </c>
      <c r="DE69" s="277">
        <f t="shared" si="38"/>
        <v>195.63997136950343</v>
      </c>
      <c r="DF69" s="277">
        <f t="shared" si="38"/>
        <v>195.63997136950343</v>
      </c>
      <c r="DG69" s="277">
        <f t="shared" si="38"/>
        <v>195.63997136950343</v>
      </c>
      <c r="DH69" s="277">
        <f t="shared" si="38"/>
        <v>201.50917051058855</v>
      </c>
      <c r="DI69" s="277">
        <f t="shared" si="38"/>
        <v>201.50917051058855</v>
      </c>
      <c r="DJ69" s="277">
        <f t="shared" si="38"/>
        <v>201.50917051058855</v>
      </c>
      <c r="DK69" s="277">
        <f t="shared" si="38"/>
        <v>201.50917051058855</v>
      </c>
      <c r="DL69" s="277">
        <f t="shared" si="38"/>
        <v>201.50917051058855</v>
      </c>
      <c r="DM69" s="277">
        <f t="shared" si="38"/>
        <v>201.50917051058855</v>
      </c>
      <c r="DN69" s="277">
        <f t="shared" si="38"/>
        <v>201.50917051058855</v>
      </c>
      <c r="DO69" s="277">
        <f t="shared" si="38"/>
        <v>201.50917051058855</v>
      </c>
      <c r="DP69" s="277">
        <f t="shared" si="38"/>
        <v>201.50917051058855</v>
      </c>
      <c r="DQ69" s="277">
        <f t="shared" si="38"/>
        <v>201.50917051058855</v>
      </c>
      <c r="DR69" s="277">
        <f t="shared" si="38"/>
        <v>201.50917051058855</v>
      </c>
      <c r="DS69" s="277">
        <f t="shared" si="38"/>
        <v>13424.726048076946</v>
      </c>
      <c r="DT69" s="277">
        <f t="shared" si="38"/>
        <v>0</v>
      </c>
      <c r="DU69" s="277">
        <f t="shared" si="38"/>
        <v>0</v>
      </c>
      <c r="DV69" s="277">
        <f t="shared" si="38"/>
        <v>0</v>
      </c>
      <c r="DW69" s="277">
        <f t="shared" si="38"/>
        <v>0</v>
      </c>
      <c r="DX69" s="277">
        <f t="shared" si="38"/>
        <v>0</v>
      </c>
      <c r="DY69" s="277">
        <f t="shared" si="38"/>
        <v>0</v>
      </c>
      <c r="DZ69" s="277">
        <f t="shared" si="38"/>
        <v>0</v>
      </c>
      <c r="EA69" s="277">
        <f t="shared" si="38"/>
        <v>0</v>
      </c>
      <c r="EB69" s="277">
        <f t="shared" ref="EB69:FG69" si="39">-HLOOKUP(EB$51,$C$40:$W$46,3,FALSE)/12+(IF(AND(LOWER(InclUpfront_OM)="false",EB50/12=Cust_LeaseTermYears),AddToFinalPymt_OM,0))</f>
        <v>0</v>
      </c>
      <c r="EC69" s="277">
        <f t="shared" si="39"/>
        <v>0</v>
      </c>
      <c r="ED69" s="277">
        <f t="shared" si="39"/>
        <v>0</v>
      </c>
      <c r="EE69" s="277">
        <f t="shared" si="39"/>
        <v>0</v>
      </c>
      <c r="EF69" s="277">
        <f t="shared" si="39"/>
        <v>0</v>
      </c>
      <c r="EG69" s="277">
        <f t="shared" si="39"/>
        <v>0</v>
      </c>
      <c r="EH69" s="277">
        <f t="shared" si="39"/>
        <v>0</v>
      </c>
      <c r="EI69" s="277">
        <f t="shared" si="39"/>
        <v>0</v>
      </c>
      <c r="EJ69" s="277">
        <f t="shared" si="39"/>
        <v>0</v>
      </c>
      <c r="EK69" s="277">
        <f t="shared" si="39"/>
        <v>0</v>
      </c>
      <c r="EL69" s="277">
        <f t="shared" si="39"/>
        <v>0</v>
      </c>
      <c r="EM69" s="277">
        <f t="shared" si="39"/>
        <v>0</v>
      </c>
      <c r="EN69" s="277">
        <f t="shared" si="39"/>
        <v>0</v>
      </c>
      <c r="EO69" s="277">
        <f t="shared" si="39"/>
        <v>0</v>
      </c>
      <c r="EP69" s="277">
        <f t="shared" si="39"/>
        <v>0</v>
      </c>
      <c r="EQ69" s="277">
        <f t="shared" si="39"/>
        <v>0</v>
      </c>
      <c r="ER69" s="277">
        <f t="shared" si="39"/>
        <v>0</v>
      </c>
      <c r="ES69" s="277">
        <f t="shared" si="39"/>
        <v>0</v>
      </c>
      <c r="ET69" s="277">
        <f t="shared" si="39"/>
        <v>0</v>
      </c>
      <c r="EU69" s="277">
        <f t="shared" si="39"/>
        <v>0</v>
      </c>
      <c r="EV69" s="277">
        <f t="shared" si="39"/>
        <v>0</v>
      </c>
      <c r="EW69" s="277">
        <f t="shared" si="39"/>
        <v>0</v>
      </c>
      <c r="EX69" s="277">
        <f t="shared" si="39"/>
        <v>0</v>
      </c>
      <c r="EY69" s="277">
        <f t="shared" si="39"/>
        <v>0</v>
      </c>
      <c r="EZ69" s="277">
        <f t="shared" si="39"/>
        <v>0</v>
      </c>
      <c r="FA69" s="277">
        <f t="shared" si="39"/>
        <v>0</v>
      </c>
      <c r="FB69" s="277">
        <f t="shared" si="39"/>
        <v>0</v>
      </c>
      <c r="FC69" s="277">
        <f t="shared" si="39"/>
        <v>0</v>
      </c>
      <c r="FD69" s="277">
        <f t="shared" si="39"/>
        <v>0</v>
      </c>
      <c r="FE69" s="277">
        <f t="shared" si="39"/>
        <v>0</v>
      </c>
      <c r="FF69" s="277">
        <f t="shared" si="39"/>
        <v>0</v>
      </c>
      <c r="FG69" s="277">
        <f t="shared" si="39"/>
        <v>0</v>
      </c>
      <c r="FH69" s="277">
        <f t="shared" ref="FH69:GA69" si="40">-HLOOKUP(FH$51,$C$40:$W$46,3,FALSE)/12+(IF(AND(LOWER(InclUpfront_OM)="false",FH50/12=Cust_LeaseTermYears),AddToFinalPymt_OM,0))</f>
        <v>0</v>
      </c>
      <c r="FI69" s="277">
        <f t="shared" si="40"/>
        <v>0</v>
      </c>
      <c r="FJ69" s="277">
        <f t="shared" si="40"/>
        <v>0</v>
      </c>
      <c r="FK69" s="277">
        <f t="shared" si="40"/>
        <v>0</v>
      </c>
      <c r="FL69" s="277">
        <f t="shared" si="40"/>
        <v>0</v>
      </c>
      <c r="FM69" s="277">
        <f t="shared" si="40"/>
        <v>0</v>
      </c>
      <c r="FN69" s="277">
        <f t="shared" si="40"/>
        <v>0</v>
      </c>
      <c r="FO69" s="277">
        <f t="shared" si="40"/>
        <v>0</v>
      </c>
      <c r="FP69" s="277">
        <f t="shared" si="40"/>
        <v>0</v>
      </c>
      <c r="FQ69" s="277">
        <f t="shared" si="40"/>
        <v>0</v>
      </c>
      <c r="FR69" s="277">
        <f t="shared" si="40"/>
        <v>0</v>
      </c>
      <c r="FS69" s="277">
        <f t="shared" si="40"/>
        <v>0</v>
      </c>
      <c r="FT69" s="277">
        <f t="shared" si="40"/>
        <v>0</v>
      </c>
      <c r="FU69" s="277">
        <f t="shared" si="40"/>
        <v>0</v>
      </c>
      <c r="FV69" s="277">
        <f t="shared" si="40"/>
        <v>0</v>
      </c>
      <c r="FW69" s="277">
        <f t="shared" si="40"/>
        <v>0</v>
      </c>
      <c r="FX69" s="277">
        <f t="shared" si="40"/>
        <v>0</v>
      </c>
      <c r="FY69" s="277">
        <f t="shared" si="40"/>
        <v>0</v>
      </c>
      <c r="FZ69" s="277">
        <f t="shared" si="40"/>
        <v>0</v>
      </c>
      <c r="GA69" s="293">
        <f t="shared" si="40"/>
        <v>0</v>
      </c>
    </row>
    <row r="70" spans="1:183" x14ac:dyDescent="0.15">
      <c r="A70" s="310" t="s">
        <v>901</v>
      </c>
      <c r="C70" s="300"/>
      <c r="D70" s="277">
        <f>HLOOKUP(D51,$D$36:$R$37,2,FALSE)/12*OpExpenseAsPctOfCost</f>
        <v>-77.220000000000013</v>
      </c>
      <c r="E70" s="277">
        <f t="shared" ref="E70:BP70" si="41">HLOOKUP(E51,$D$36:$R$37,2,FALSE)/12*OpExpenseAsPctOfCost</f>
        <v>-77.220000000000013</v>
      </c>
      <c r="F70" s="277">
        <f t="shared" si="41"/>
        <v>-77.220000000000013</v>
      </c>
      <c r="G70" s="277">
        <f t="shared" si="41"/>
        <v>-77.220000000000013</v>
      </c>
      <c r="H70" s="277">
        <f t="shared" si="41"/>
        <v>-77.220000000000013</v>
      </c>
      <c r="I70" s="277">
        <f t="shared" si="41"/>
        <v>-77.220000000000013</v>
      </c>
      <c r="J70" s="277">
        <f t="shared" si="41"/>
        <v>-77.220000000000013</v>
      </c>
      <c r="K70" s="277">
        <f t="shared" si="41"/>
        <v>-77.220000000000013</v>
      </c>
      <c r="L70" s="277">
        <f t="shared" si="41"/>
        <v>-77.220000000000013</v>
      </c>
      <c r="M70" s="277">
        <f t="shared" si="41"/>
        <v>-77.220000000000013</v>
      </c>
      <c r="N70" s="277">
        <f t="shared" si="41"/>
        <v>-77.220000000000013</v>
      </c>
      <c r="O70" s="277">
        <f t="shared" si="41"/>
        <v>-77.220000000000013</v>
      </c>
      <c r="P70" s="277">
        <f t="shared" si="41"/>
        <v>-79.536600000000007</v>
      </c>
      <c r="Q70" s="277">
        <f t="shared" si="41"/>
        <v>-79.536600000000007</v>
      </c>
      <c r="R70" s="277">
        <f t="shared" si="41"/>
        <v>-79.536600000000007</v>
      </c>
      <c r="S70" s="277">
        <f t="shared" si="41"/>
        <v>-79.536600000000007</v>
      </c>
      <c r="T70" s="277">
        <f t="shared" si="41"/>
        <v>-79.536600000000007</v>
      </c>
      <c r="U70" s="277">
        <f t="shared" si="41"/>
        <v>-79.536600000000007</v>
      </c>
      <c r="V70" s="277">
        <f t="shared" si="41"/>
        <v>-79.536600000000007</v>
      </c>
      <c r="W70" s="277">
        <f t="shared" si="41"/>
        <v>-79.536600000000007</v>
      </c>
      <c r="X70" s="277">
        <f t="shared" si="41"/>
        <v>-79.536600000000007</v>
      </c>
      <c r="Y70" s="277">
        <f t="shared" si="41"/>
        <v>-79.536600000000007</v>
      </c>
      <c r="Z70" s="277">
        <f t="shared" si="41"/>
        <v>-79.536600000000007</v>
      </c>
      <c r="AA70" s="277">
        <f t="shared" si="41"/>
        <v>-79.536600000000007</v>
      </c>
      <c r="AB70" s="277">
        <f t="shared" si="41"/>
        <v>-81.922698000000011</v>
      </c>
      <c r="AC70" s="277">
        <f t="shared" si="41"/>
        <v>-81.922698000000011</v>
      </c>
      <c r="AD70" s="277">
        <f t="shared" si="41"/>
        <v>-81.922698000000011</v>
      </c>
      <c r="AE70" s="277">
        <f t="shared" si="41"/>
        <v>-81.922698000000011</v>
      </c>
      <c r="AF70" s="277">
        <f t="shared" si="41"/>
        <v>-81.922698000000011</v>
      </c>
      <c r="AG70" s="277">
        <f t="shared" si="41"/>
        <v>-81.922698000000011</v>
      </c>
      <c r="AH70" s="277">
        <f t="shared" si="41"/>
        <v>-81.922698000000011</v>
      </c>
      <c r="AI70" s="277">
        <f t="shared" si="41"/>
        <v>-81.922698000000011</v>
      </c>
      <c r="AJ70" s="277">
        <f t="shared" si="41"/>
        <v>-81.922698000000011</v>
      </c>
      <c r="AK70" s="277">
        <f t="shared" si="41"/>
        <v>-81.922698000000011</v>
      </c>
      <c r="AL70" s="277">
        <f t="shared" si="41"/>
        <v>-81.922698000000011</v>
      </c>
      <c r="AM70" s="277">
        <f t="shared" si="41"/>
        <v>-81.922698000000011</v>
      </c>
      <c r="AN70" s="277">
        <f t="shared" si="41"/>
        <v>-84.380378940000014</v>
      </c>
      <c r="AO70" s="277">
        <f t="shared" si="41"/>
        <v>-84.380378940000014</v>
      </c>
      <c r="AP70" s="277">
        <f t="shared" si="41"/>
        <v>-84.380378940000014</v>
      </c>
      <c r="AQ70" s="277">
        <f t="shared" si="41"/>
        <v>-84.380378940000014</v>
      </c>
      <c r="AR70" s="277">
        <f t="shared" si="41"/>
        <v>-84.380378940000014</v>
      </c>
      <c r="AS70" s="277">
        <f t="shared" si="41"/>
        <v>-84.380378940000014</v>
      </c>
      <c r="AT70" s="277">
        <f t="shared" si="41"/>
        <v>-84.380378940000014</v>
      </c>
      <c r="AU70" s="277">
        <f t="shared" si="41"/>
        <v>-84.380378940000014</v>
      </c>
      <c r="AV70" s="277">
        <f t="shared" si="41"/>
        <v>-84.380378940000014</v>
      </c>
      <c r="AW70" s="277">
        <f t="shared" si="41"/>
        <v>-84.380378940000014</v>
      </c>
      <c r="AX70" s="277">
        <f t="shared" si="41"/>
        <v>-84.380378940000014</v>
      </c>
      <c r="AY70" s="277">
        <f t="shared" si="41"/>
        <v>-84.380378940000014</v>
      </c>
      <c r="AZ70" s="277">
        <f t="shared" si="41"/>
        <v>-86.911790308200011</v>
      </c>
      <c r="BA70" s="277">
        <f t="shared" si="41"/>
        <v>-86.911790308200011</v>
      </c>
      <c r="BB70" s="277">
        <f t="shared" si="41"/>
        <v>-86.911790308200011</v>
      </c>
      <c r="BC70" s="277">
        <f t="shared" si="41"/>
        <v>-86.911790308200011</v>
      </c>
      <c r="BD70" s="277">
        <f t="shared" si="41"/>
        <v>-86.911790308200011</v>
      </c>
      <c r="BE70" s="277">
        <f t="shared" si="41"/>
        <v>-86.911790308200011</v>
      </c>
      <c r="BF70" s="277">
        <f t="shared" si="41"/>
        <v>-86.911790308200011</v>
      </c>
      <c r="BG70" s="277">
        <f t="shared" si="41"/>
        <v>-86.911790308200011</v>
      </c>
      <c r="BH70" s="277">
        <f t="shared" si="41"/>
        <v>-86.911790308200011</v>
      </c>
      <c r="BI70" s="277">
        <f t="shared" si="41"/>
        <v>-86.911790308200011</v>
      </c>
      <c r="BJ70" s="277">
        <f t="shared" si="41"/>
        <v>-86.911790308200011</v>
      </c>
      <c r="BK70" s="277">
        <f t="shared" si="41"/>
        <v>-86.911790308200011</v>
      </c>
      <c r="BL70" s="277">
        <f t="shared" si="41"/>
        <v>-89.51914401744601</v>
      </c>
      <c r="BM70" s="277">
        <f t="shared" si="41"/>
        <v>-89.51914401744601</v>
      </c>
      <c r="BN70" s="277">
        <f t="shared" si="41"/>
        <v>-89.51914401744601</v>
      </c>
      <c r="BO70" s="277">
        <f t="shared" si="41"/>
        <v>-89.51914401744601</v>
      </c>
      <c r="BP70" s="277">
        <f t="shared" si="41"/>
        <v>-89.51914401744601</v>
      </c>
      <c r="BQ70" s="277">
        <f t="shared" ref="BQ70:EB70" si="42">HLOOKUP(BQ51,$D$36:$R$37,2,FALSE)/12*OpExpenseAsPctOfCost</f>
        <v>-89.51914401744601</v>
      </c>
      <c r="BR70" s="277">
        <f t="shared" si="42"/>
        <v>-89.51914401744601</v>
      </c>
      <c r="BS70" s="277">
        <f t="shared" si="42"/>
        <v>-89.51914401744601</v>
      </c>
      <c r="BT70" s="277">
        <f t="shared" si="42"/>
        <v>-89.51914401744601</v>
      </c>
      <c r="BU70" s="277">
        <f t="shared" si="42"/>
        <v>-89.51914401744601</v>
      </c>
      <c r="BV70" s="277">
        <f t="shared" si="42"/>
        <v>-89.51914401744601</v>
      </c>
      <c r="BW70" s="277">
        <f t="shared" si="42"/>
        <v>-89.51914401744601</v>
      </c>
      <c r="BX70" s="277">
        <f t="shared" si="42"/>
        <v>-92.204718337969382</v>
      </c>
      <c r="BY70" s="277">
        <f t="shared" si="42"/>
        <v>-92.204718337969382</v>
      </c>
      <c r="BZ70" s="277">
        <f t="shared" si="42"/>
        <v>-92.204718337969382</v>
      </c>
      <c r="CA70" s="277">
        <f t="shared" si="42"/>
        <v>-92.204718337969382</v>
      </c>
      <c r="CB70" s="277">
        <f t="shared" si="42"/>
        <v>-92.204718337969382</v>
      </c>
      <c r="CC70" s="277">
        <f t="shared" si="42"/>
        <v>-92.204718337969382</v>
      </c>
      <c r="CD70" s="277">
        <f t="shared" si="42"/>
        <v>-92.204718337969382</v>
      </c>
      <c r="CE70" s="277">
        <f t="shared" si="42"/>
        <v>-92.204718337969382</v>
      </c>
      <c r="CF70" s="277">
        <f t="shared" si="42"/>
        <v>-92.204718337969382</v>
      </c>
      <c r="CG70" s="277">
        <f t="shared" si="42"/>
        <v>-92.204718337969382</v>
      </c>
      <c r="CH70" s="277">
        <f t="shared" si="42"/>
        <v>-92.204718337969382</v>
      </c>
      <c r="CI70" s="277">
        <f t="shared" si="42"/>
        <v>-92.204718337969382</v>
      </c>
      <c r="CJ70" s="277">
        <f t="shared" si="42"/>
        <v>-94.970859888108464</v>
      </c>
      <c r="CK70" s="277">
        <f t="shared" si="42"/>
        <v>-94.970859888108464</v>
      </c>
      <c r="CL70" s="277">
        <f t="shared" si="42"/>
        <v>-94.970859888108464</v>
      </c>
      <c r="CM70" s="277">
        <f t="shared" si="42"/>
        <v>-94.970859888108464</v>
      </c>
      <c r="CN70" s="277">
        <f t="shared" si="42"/>
        <v>-94.970859888108464</v>
      </c>
      <c r="CO70" s="277">
        <f t="shared" si="42"/>
        <v>-94.970859888108464</v>
      </c>
      <c r="CP70" s="277">
        <f t="shared" si="42"/>
        <v>-94.970859888108464</v>
      </c>
      <c r="CQ70" s="277">
        <f t="shared" si="42"/>
        <v>-94.970859888108464</v>
      </c>
      <c r="CR70" s="277">
        <f t="shared" si="42"/>
        <v>-94.970859888108464</v>
      </c>
      <c r="CS70" s="277">
        <f t="shared" si="42"/>
        <v>-94.970859888108464</v>
      </c>
      <c r="CT70" s="277">
        <f t="shared" si="42"/>
        <v>-94.970859888108464</v>
      </c>
      <c r="CU70" s="277">
        <f t="shared" si="42"/>
        <v>-94.970859888108464</v>
      </c>
      <c r="CV70" s="277">
        <f t="shared" si="42"/>
        <v>-97.819985684751714</v>
      </c>
      <c r="CW70" s="277">
        <f t="shared" si="42"/>
        <v>-97.819985684751714</v>
      </c>
      <c r="CX70" s="277">
        <f t="shared" si="42"/>
        <v>-97.819985684751714</v>
      </c>
      <c r="CY70" s="277">
        <f t="shared" si="42"/>
        <v>-97.819985684751714</v>
      </c>
      <c r="CZ70" s="277">
        <f t="shared" si="42"/>
        <v>-97.819985684751714</v>
      </c>
      <c r="DA70" s="277">
        <f t="shared" si="42"/>
        <v>-97.819985684751714</v>
      </c>
      <c r="DB70" s="277">
        <f t="shared" si="42"/>
        <v>-97.819985684751714</v>
      </c>
      <c r="DC70" s="277">
        <f t="shared" si="42"/>
        <v>-97.819985684751714</v>
      </c>
      <c r="DD70" s="277">
        <f t="shared" si="42"/>
        <v>-97.819985684751714</v>
      </c>
      <c r="DE70" s="277">
        <f t="shared" si="42"/>
        <v>-97.819985684751714</v>
      </c>
      <c r="DF70" s="277">
        <f t="shared" si="42"/>
        <v>-97.819985684751714</v>
      </c>
      <c r="DG70" s="277">
        <f t="shared" si="42"/>
        <v>-97.819985684751714</v>
      </c>
      <c r="DH70" s="277">
        <f t="shared" si="42"/>
        <v>-100.75458525529427</v>
      </c>
      <c r="DI70" s="277">
        <f t="shared" si="42"/>
        <v>-100.75458525529427</v>
      </c>
      <c r="DJ70" s="277">
        <f t="shared" si="42"/>
        <v>-100.75458525529427</v>
      </c>
      <c r="DK70" s="277">
        <f t="shared" si="42"/>
        <v>-100.75458525529427</v>
      </c>
      <c r="DL70" s="277">
        <f t="shared" si="42"/>
        <v>-100.75458525529427</v>
      </c>
      <c r="DM70" s="277">
        <f t="shared" si="42"/>
        <v>-100.75458525529427</v>
      </c>
      <c r="DN70" s="277">
        <f t="shared" si="42"/>
        <v>-100.75458525529427</v>
      </c>
      <c r="DO70" s="277">
        <f t="shared" si="42"/>
        <v>-100.75458525529427</v>
      </c>
      <c r="DP70" s="277">
        <f t="shared" si="42"/>
        <v>-100.75458525529427</v>
      </c>
      <c r="DQ70" s="277">
        <f t="shared" si="42"/>
        <v>-100.75458525529427</v>
      </c>
      <c r="DR70" s="277">
        <f t="shared" si="42"/>
        <v>-100.75458525529427</v>
      </c>
      <c r="DS70" s="277">
        <f t="shared" si="42"/>
        <v>-100.75458525529427</v>
      </c>
      <c r="DT70" s="277">
        <f t="shared" si="42"/>
        <v>-103.7772228129531</v>
      </c>
      <c r="DU70" s="277">
        <f t="shared" si="42"/>
        <v>-103.7772228129531</v>
      </c>
      <c r="DV70" s="277">
        <f t="shared" si="42"/>
        <v>-103.7772228129531</v>
      </c>
      <c r="DW70" s="277">
        <f t="shared" si="42"/>
        <v>-103.7772228129531</v>
      </c>
      <c r="DX70" s="277">
        <f t="shared" si="42"/>
        <v>-103.7772228129531</v>
      </c>
      <c r="DY70" s="277">
        <f t="shared" si="42"/>
        <v>-103.7772228129531</v>
      </c>
      <c r="DZ70" s="277">
        <f t="shared" si="42"/>
        <v>-103.7772228129531</v>
      </c>
      <c r="EA70" s="277">
        <f t="shared" si="42"/>
        <v>-103.7772228129531</v>
      </c>
      <c r="EB70" s="277">
        <f t="shared" si="42"/>
        <v>-103.7772228129531</v>
      </c>
      <c r="EC70" s="277">
        <f t="shared" ref="EC70:GA70" si="43">HLOOKUP(EC51,$D$36:$R$37,2,FALSE)/12*OpExpenseAsPctOfCost</f>
        <v>-103.7772228129531</v>
      </c>
      <c r="ED70" s="277">
        <f t="shared" si="43"/>
        <v>-103.7772228129531</v>
      </c>
      <c r="EE70" s="277">
        <f t="shared" si="43"/>
        <v>-103.7772228129531</v>
      </c>
      <c r="EF70" s="277">
        <f t="shared" si="43"/>
        <v>-106.89053949734171</v>
      </c>
      <c r="EG70" s="277">
        <f t="shared" si="43"/>
        <v>-106.89053949734171</v>
      </c>
      <c r="EH70" s="277">
        <f t="shared" si="43"/>
        <v>-106.89053949734171</v>
      </c>
      <c r="EI70" s="277">
        <f t="shared" si="43"/>
        <v>-106.89053949734171</v>
      </c>
      <c r="EJ70" s="277">
        <f t="shared" si="43"/>
        <v>-106.89053949734171</v>
      </c>
      <c r="EK70" s="277">
        <f t="shared" si="43"/>
        <v>-106.89053949734171</v>
      </c>
      <c r="EL70" s="277">
        <f t="shared" si="43"/>
        <v>-106.89053949734171</v>
      </c>
      <c r="EM70" s="277">
        <f t="shared" si="43"/>
        <v>-106.89053949734171</v>
      </c>
      <c r="EN70" s="277">
        <f t="shared" si="43"/>
        <v>-106.89053949734171</v>
      </c>
      <c r="EO70" s="277">
        <f t="shared" si="43"/>
        <v>-106.89053949734171</v>
      </c>
      <c r="EP70" s="277">
        <f t="shared" si="43"/>
        <v>-106.89053949734171</v>
      </c>
      <c r="EQ70" s="277">
        <f t="shared" si="43"/>
        <v>-106.89053949734171</v>
      </c>
      <c r="ER70" s="277">
        <f t="shared" si="43"/>
        <v>-110.09725568226196</v>
      </c>
      <c r="ES70" s="277">
        <f t="shared" si="43"/>
        <v>-110.09725568226196</v>
      </c>
      <c r="ET70" s="277">
        <f t="shared" si="43"/>
        <v>-110.09725568226196</v>
      </c>
      <c r="EU70" s="277">
        <f t="shared" si="43"/>
        <v>-110.09725568226196</v>
      </c>
      <c r="EV70" s="277">
        <f t="shared" si="43"/>
        <v>-110.09725568226196</v>
      </c>
      <c r="EW70" s="277">
        <f t="shared" si="43"/>
        <v>-110.09725568226196</v>
      </c>
      <c r="EX70" s="277">
        <f t="shared" si="43"/>
        <v>-110.09725568226196</v>
      </c>
      <c r="EY70" s="277">
        <f t="shared" si="43"/>
        <v>-110.09725568226196</v>
      </c>
      <c r="EZ70" s="277">
        <f t="shared" si="43"/>
        <v>-110.09725568226196</v>
      </c>
      <c r="FA70" s="277">
        <f t="shared" si="43"/>
        <v>-110.09725568226196</v>
      </c>
      <c r="FB70" s="277">
        <f t="shared" si="43"/>
        <v>-110.09725568226196</v>
      </c>
      <c r="FC70" s="277">
        <f t="shared" si="43"/>
        <v>-110.09725568226196</v>
      </c>
      <c r="FD70" s="277">
        <f t="shared" si="43"/>
        <v>-113.40017335272982</v>
      </c>
      <c r="FE70" s="277">
        <f t="shared" si="43"/>
        <v>-113.40017335272982</v>
      </c>
      <c r="FF70" s="277">
        <f t="shared" si="43"/>
        <v>-113.40017335272982</v>
      </c>
      <c r="FG70" s="277">
        <f t="shared" si="43"/>
        <v>-113.40017335272982</v>
      </c>
      <c r="FH70" s="277">
        <f t="shared" si="43"/>
        <v>-113.40017335272982</v>
      </c>
      <c r="FI70" s="277">
        <f t="shared" si="43"/>
        <v>-113.40017335272982</v>
      </c>
      <c r="FJ70" s="277">
        <f t="shared" si="43"/>
        <v>-113.40017335272982</v>
      </c>
      <c r="FK70" s="277">
        <f t="shared" si="43"/>
        <v>-113.40017335272982</v>
      </c>
      <c r="FL70" s="277">
        <f t="shared" si="43"/>
        <v>-113.40017335272982</v>
      </c>
      <c r="FM70" s="277">
        <f t="shared" si="43"/>
        <v>-113.40017335272982</v>
      </c>
      <c r="FN70" s="277">
        <f t="shared" si="43"/>
        <v>-113.40017335272982</v>
      </c>
      <c r="FO70" s="277">
        <f t="shared" si="43"/>
        <v>-113.40017335272982</v>
      </c>
      <c r="FP70" s="277">
        <f t="shared" si="43"/>
        <v>-116.80217855331172</v>
      </c>
      <c r="FQ70" s="277">
        <f t="shared" si="43"/>
        <v>-116.80217855331172</v>
      </c>
      <c r="FR70" s="277">
        <f t="shared" si="43"/>
        <v>-116.80217855331172</v>
      </c>
      <c r="FS70" s="277">
        <f t="shared" si="43"/>
        <v>-116.80217855331172</v>
      </c>
      <c r="FT70" s="277">
        <f t="shared" si="43"/>
        <v>-116.80217855331172</v>
      </c>
      <c r="FU70" s="277">
        <f t="shared" si="43"/>
        <v>-116.80217855331172</v>
      </c>
      <c r="FV70" s="277">
        <f t="shared" si="43"/>
        <v>-116.80217855331172</v>
      </c>
      <c r="FW70" s="277">
        <f t="shared" si="43"/>
        <v>-116.80217855331172</v>
      </c>
      <c r="FX70" s="277">
        <f t="shared" si="43"/>
        <v>-116.80217855331172</v>
      </c>
      <c r="FY70" s="277">
        <f t="shared" si="43"/>
        <v>-116.80217855331172</v>
      </c>
      <c r="FZ70" s="277">
        <f t="shared" si="43"/>
        <v>-116.80217855331172</v>
      </c>
      <c r="GA70" s="293">
        <f t="shared" si="43"/>
        <v>-116.80217855331172</v>
      </c>
    </row>
    <row r="71" spans="1:183" x14ac:dyDescent="0.15">
      <c r="A71" s="312" t="s">
        <v>900</v>
      </c>
      <c r="C71" s="324">
        <f>-C13+C26+C19</f>
        <v>-28632.811398085287</v>
      </c>
      <c r="D71" s="323">
        <f ca="1">SUM(D68:D70)</f>
        <v>535.12138883405964</v>
      </c>
      <c r="E71" s="323">
        <f t="shared" ref="E71:BP71" ca="1" si="44">SUM(E68:E70)</f>
        <v>535.12138883405964</v>
      </c>
      <c r="F71" s="323">
        <f t="shared" ca="1" si="44"/>
        <v>535.12138883405964</v>
      </c>
      <c r="G71" s="323">
        <f t="shared" ca="1" si="44"/>
        <v>535.12138883405964</v>
      </c>
      <c r="H71" s="323">
        <f t="shared" ca="1" si="44"/>
        <v>535.12138883405964</v>
      </c>
      <c r="I71" s="323">
        <f t="shared" ca="1" si="44"/>
        <v>535.12138883405964</v>
      </c>
      <c r="J71" s="323">
        <f t="shared" ca="1" si="44"/>
        <v>535.12138883405964</v>
      </c>
      <c r="K71" s="323">
        <f t="shared" ca="1" si="44"/>
        <v>535.12138883405964</v>
      </c>
      <c r="L71" s="323">
        <f t="shared" ca="1" si="44"/>
        <v>535.12138883405964</v>
      </c>
      <c r="M71" s="323">
        <f t="shared" ca="1" si="44"/>
        <v>535.12138883405964</v>
      </c>
      <c r="N71" s="323">
        <f t="shared" ca="1" si="44"/>
        <v>535.12138883405964</v>
      </c>
      <c r="O71" s="323">
        <f t="shared" ca="1" si="44"/>
        <v>535.12138883405964</v>
      </c>
      <c r="P71" s="323">
        <f t="shared" ca="1" si="44"/>
        <v>476.21066235603223</v>
      </c>
      <c r="Q71" s="323">
        <f t="shared" ca="1" si="44"/>
        <v>476.21066235603223</v>
      </c>
      <c r="R71" s="323">
        <f t="shared" ca="1" si="44"/>
        <v>476.21066235603223</v>
      </c>
      <c r="S71" s="323">
        <f t="shared" ca="1" si="44"/>
        <v>476.21066235603223</v>
      </c>
      <c r="T71" s="323">
        <f t="shared" ca="1" si="44"/>
        <v>476.21066235603223</v>
      </c>
      <c r="U71" s="323">
        <f t="shared" ca="1" si="44"/>
        <v>476.21066235603223</v>
      </c>
      <c r="V71" s="323">
        <f t="shared" ca="1" si="44"/>
        <v>476.21066235603223</v>
      </c>
      <c r="W71" s="323">
        <f t="shared" ca="1" si="44"/>
        <v>476.21066235603223</v>
      </c>
      <c r="X71" s="323">
        <f t="shared" ca="1" si="44"/>
        <v>476.21066235603223</v>
      </c>
      <c r="Y71" s="323">
        <f t="shared" ca="1" si="44"/>
        <v>476.21066235603223</v>
      </c>
      <c r="Z71" s="323">
        <f t="shared" ca="1" si="44"/>
        <v>476.21066235603223</v>
      </c>
      <c r="AA71" s="323">
        <f t="shared" ca="1" si="44"/>
        <v>476.21066235603223</v>
      </c>
      <c r="AB71" s="323">
        <f t="shared" ca="1" si="44"/>
        <v>492.5360281584928</v>
      </c>
      <c r="AC71" s="323">
        <f t="shared" ca="1" si="44"/>
        <v>492.5360281584928</v>
      </c>
      <c r="AD71" s="323">
        <f t="shared" ca="1" si="44"/>
        <v>492.5360281584928</v>
      </c>
      <c r="AE71" s="323">
        <f t="shared" ca="1" si="44"/>
        <v>492.5360281584928</v>
      </c>
      <c r="AF71" s="323">
        <f t="shared" ca="1" si="44"/>
        <v>492.5360281584928</v>
      </c>
      <c r="AG71" s="323">
        <f t="shared" ca="1" si="44"/>
        <v>492.5360281584928</v>
      </c>
      <c r="AH71" s="323">
        <f t="shared" ca="1" si="44"/>
        <v>492.5360281584928</v>
      </c>
      <c r="AI71" s="323">
        <f t="shared" ca="1" si="44"/>
        <v>492.5360281584928</v>
      </c>
      <c r="AJ71" s="323">
        <f t="shared" ca="1" si="44"/>
        <v>492.5360281584928</v>
      </c>
      <c r="AK71" s="323">
        <f t="shared" ca="1" si="44"/>
        <v>492.5360281584928</v>
      </c>
      <c r="AL71" s="323">
        <f t="shared" ca="1" si="44"/>
        <v>492.5360281584928</v>
      </c>
      <c r="AM71" s="323">
        <f t="shared" ca="1" si="44"/>
        <v>492.5360281584928</v>
      </c>
      <c r="AN71" s="323">
        <f t="shared" ca="1" si="44"/>
        <v>509.42252154264008</v>
      </c>
      <c r="AO71" s="323">
        <f t="shared" ca="1" si="44"/>
        <v>509.42252154264008</v>
      </c>
      <c r="AP71" s="323">
        <f t="shared" ca="1" si="44"/>
        <v>509.42252154264008</v>
      </c>
      <c r="AQ71" s="323">
        <f t="shared" ca="1" si="44"/>
        <v>509.42252154264008</v>
      </c>
      <c r="AR71" s="323">
        <f t="shared" ca="1" si="44"/>
        <v>509.42252154264008</v>
      </c>
      <c r="AS71" s="323">
        <f t="shared" ca="1" si="44"/>
        <v>509.42252154264008</v>
      </c>
      <c r="AT71" s="323">
        <f t="shared" ca="1" si="44"/>
        <v>509.42252154264008</v>
      </c>
      <c r="AU71" s="323">
        <f t="shared" ca="1" si="44"/>
        <v>509.42252154264008</v>
      </c>
      <c r="AV71" s="323">
        <f t="shared" ca="1" si="44"/>
        <v>509.42252154264008</v>
      </c>
      <c r="AW71" s="323">
        <f t="shared" ca="1" si="44"/>
        <v>509.42252154264008</v>
      </c>
      <c r="AX71" s="323">
        <f t="shared" ca="1" si="44"/>
        <v>509.42252154264008</v>
      </c>
      <c r="AY71" s="323">
        <f t="shared" ca="1" si="44"/>
        <v>509.42252154264008</v>
      </c>
      <c r="AZ71" s="323">
        <f t="shared" ca="1" si="44"/>
        <v>526.88947416719054</v>
      </c>
      <c r="BA71" s="323">
        <f t="shared" ca="1" si="44"/>
        <v>526.88947416719054</v>
      </c>
      <c r="BB71" s="323">
        <f t="shared" ca="1" si="44"/>
        <v>526.88947416719054</v>
      </c>
      <c r="BC71" s="323">
        <f t="shared" ca="1" si="44"/>
        <v>526.88947416719054</v>
      </c>
      <c r="BD71" s="323">
        <f t="shared" ca="1" si="44"/>
        <v>526.88947416719054</v>
      </c>
      <c r="BE71" s="323">
        <f t="shared" ca="1" si="44"/>
        <v>526.88947416719054</v>
      </c>
      <c r="BF71" s="323">
        <f t="shared" ca="1" si="44"/>
        <v>526.88947416719054</v>
      </c>
      <c r="BG71" s="323">
        <f t="shared" ca="1" si="44"/>
        <v>526.88947416719054</v>
      </c>
      <c r="BH71" s="323">
        <f t="shared" ca="1" si="44"/>
        <v>526.88947416719054</v>
      </c>
      <c r="BI71" s="323">
        <f t="shared" ca="1" si="44"/>
        <v>526.88947416719054</v>
      </c>
      <c r="BJ71" s="323">
        <f t="shared" ca="1" si="44"/>
        <v>526.88947416719054</v>
      </c>
      <c r="BK71" s="323">
        <f t="shared" ca="1" si="44"/>
        <v>526.88947416719054</v>
      </c>
      <c r="BL71" s="323">
        <f t="shared" ca="1" si="44"/>
        <v>544.95688506471674</v>
      </c>
      <c r="BM71" s="323">
        <f t="shared" ca="1" si="44"/>
        <v>544.95688506471674</v>
      </c>
      <c r="BN71" s="323">
        <f t="shared" ca="1" si="44"/>
        <v>544.95688506471674</v>
      </c>
      <c r="BO71" s="323">
        <f t="shared" ca="1" si="44"/>
        <v>544.95688506471674</v>
      </c>
      <c r="BP71" s="323">
        <f t="shared" ca="1" si="44"/>
        <v>544.95688506471674</v>
      </c>
      <c r="BQ71" s="323">
        <f t="shared" ref="BQ71:EB71" ca="1" si="45">SUM(BQ68:BQ70)</f>
        <v>544.95688506471674</v>
      </c>
      <c r="BR71" s="323">
        <f t="shared" ca="1" si="45"/>
        <v>544.95688506471674</v>
      </c>
      <c r="BS71" s="323">
        <f t="shared" ca="1" si="45"/>
        <v>544.95688506471674</v>
      </c>
      <c r="BT71" s="323">
        <f t="shared" ca="1" si="45"/>
        <v>544.95688506471674</v>
      </c>
      <c r="BU71" s="323">
        <f t="shared" ca="1" si="45"/>
        <v>544.95688506471674</v>
      </c>
      <c r="BV71" s="323">
        <f t="shared" ca="1" si="45"/>
        <v>544.95688506471674</v>
      </c>
      <c r="BW71" s="323">
        <f t="shared" ca="1" si="45"/>
        <v>544.95688506471674</v>
      </c>
      <c r="BX71" s="323">
        <f t="shared" ca="1" si="45"/>
        <v>563.64544372270689</v>
      </c>
      <c r="BY71" s="323">
        <f t="shared" ca="1" si="45"/>
        <v>563.64544372270689</v>
      </c>
      <c r="BZ71" s="323">
        <f t="shared" ca="1" si="45"/>
        <v>563.64544372270689</v>
      </c>
      <c r="CA71" s="323">
        <f t="shared" ca="1" si="45"/>
        <v>563.64544372270689</v>
      </c>
      <c r="CB71" s="323">
        <f t="shared" ca="1" si="45"/>
        <v>563.64544372270689</v>
      </c>
      <c r="CC71" s="323">
        <f t="shared" ca="1" si="45"/>
        <v>563.64544372270689</v>
      </c>
      <c r="CD71" s="323">
        <f t="shared" ca="1" si="45"/>
        <v>563.64544372270689</v>
      </c>
      <c r="CE71" s="323">
        <f t="shared" ca="1" si="45"/>
        <v>563.64544372270689</v>
      </c>
      <c r="CF71" s="323">
        <f t="shared" ca="1" si="45"/>
        <v>563.64544372270689</v>
      </c>
      <c r="CG71" s="323">
        <f t="shared" ca="1" si="45"/>
        <v>563.64544372270689</v>
      </c>
      <c r="CH71" s="323">
        <f t="shared" ca="1" si="45"/>
        <v>563.64544372270689</v>
      </c>
      <c r="CI71" s="323">
        <f t="shared" ca="1" si="45"/>
        <v>563.64544372270689</v>
      </c>
      <c r="CJ71" s="323">
        <f t="shared" ca="1" si="45"/>
        <v>582.97655396414802</v>
      </c>
      <c r="CK71" s="323">
        <f t="shared" ca="1" si="45"/>
        <v>582.97655396414802</v>
      </c>
      <c r="CL71" s="323">
        <f t="shared" ca="1" si="45"/>
        <v>582.97655396414802</v>
      </c>
      <c r="CM71" s="323">
        <f t="shared" ca="1" si="45"/>
        <v>582.97655396414802</v>
      </c>
      <c r="CN71" s="323">
        <f t="shared" ca="1" si="45"/>
        <v>582.97655396414802</v>
      </c>
      <c r="CO71" s="323">
        <f t="shared" ca="1" si="45"/>
        <v>582.97655396414802</v>
      </c>
      <c r="CP71" s="323">
        <f t="shared" ca="1" si="45"/>
        <v>582.97655396414802</v>
      </c>
      <c r="CQ71" s="323">
        <f t="shared" ca="1" si="45"/>
        <v>582.97655396414802</v>
      </c>
      <c r="CR71" s="323">
        <f t="shared" ca="1" si="45"/>
        <v>582.97655396414802</v>
      </c>
      <c r="CS71" s="323">
        <f t="shared" ca="1" si="45"/>
        <v>582.97655396414802</v>
      </c>
      <c r="CT71" s="323">
        <f t="shared" ca="1" si="45"/>
        <v>582.97655396414802</v>
      </c>
      <c r="CU71" s="323">
        <f t="shared" ca="1" si="45"/>
        <v>582.97655396414802</v>
      </c>
      <c r="CV71" s="323">
        <f t="shared" ca="1" si="45"/>
        <v>602.97235865537493</v>
      </c>
      <c r="CW71" s="323">
        <f t="shared" ca="1" si="45"/>
        <v>602.97235865537493</v>
      </c>
      <c r="CX71" s="323">
        <f t="shared" ca="1" si="45"/>
        <v>602.97235865537493</v>
      </c>
      <c r="CY71" s="323">
        <f t="shared" ca="1" si="45"/>
        <v>602.97235865537493</v>
      </c>
      <c r="CZ71" s="323">
        <f t="shared" ca="1" si="45"/>
        <v>602.97235865537493</v>
      </c>
      <c r="DA71" s="323">
        <f t="shared" ca="1" si="45"/>
        <v>602.97235865537493</v>
      </c>
      <c r="DB71" s="323">
        <f t="shared" ca="1" si="45"/>
        <v>602.97235865537493</v>
      </c>
      <c r="DC71" s="323">
        <f t="shared" ca="1" si="45"/>
        <v>602.97235865537493</v>
      </c>
      <c r="DD71" s="323">
        <f t="shared" ca="1" si="45"/>
        <v>602.97235865537493</v>
      </c>
      <c r="DE71" s="323">
        <f t="shared" ca="1" si="45"/>
        <v>602.97235865537493</v>
      </c>
      <c r="DF71" s="323">
        <f t="shared" ca="1" si="45"/>
        <v>602.97235865537493</v>
      </c>
      <c r="DG71" s="323">
        <f t="shared" ca="1" si="45"/>
        <v>602.97235865537493</v>
      </c>
      <c r="DH71" s="323">
        <f t="shared" ca="1" si="45"/>
        <v>623.65576526986877</v>
      </c>
      <c r="DI71" s="323">
        <f t="shared" ca="1" si="45"/>
        <v>623.65576526986877</v>
      </c>
      <c r="DJ71" s="323">
        <f t="shared" ca="1" si="45"/>
        <v>623.65576526986877</v>
      </c>
      <c r="DK71" s="323">
        <f t="shared" ca="1" si="45"/>
        <v>623.65576526986877</v>
      </c>
      <c r="DL71" s="323">
        <f t="shared" ca="1" si="45"/>
        <v>623.65576526986877</v>
      </c>
      <c r="DM71" s="323">
        <f t="shared" ca="1" si="45"/>
        <v>623.65576526986877</v>
      </c>
      <c r="DN71" s="323">
        <f t="shared" ca="1" si="45"/>
        <v>623.65576526986877</v>
      </c>
      <c r="DO71" s="323">
        <f t="shared" ca="1" si="45"/>
        <v>623.65576526986877</v>
      </c>
      <c r="DP71" s="323">
        <f t="shared" ca="1" si="45"/>
        <v>623.65576526986877</v>
      </c>
      <c r="DQ71" s="323">
        <f t="shared" ca="1" si="45"/>
        <v>623.65576526986877</v>
      </c>
      <c r="DR71" s="323">
        <f t="shared" ca="1" si="45"/>
        <v>623.65576526986877</v>
      </c>
      <c r="DS71" s="323">
        <f t="shared" ca="1" si="45"/>
        <v>13856.872642836226</v>
      </c>
      <c r="DT71" s="323">
        <f t="shared" ca="1" si="45"/>
        <v>-103.7772228129531</v>
      </c>
      <c r="DU71" s="323">
        <f t="shared" ca="1" si="45"/>
        <v>-103.7772228129531</v>
      </c>
      <c r="DV71" s="323">
        <f t="shared" ca="1" si="45"/>
        <v>-103.7772228129531</v>
      </c>
      <c r="DW71" s="323">
        <f t="shared" ca="1" si="45"/>
        <v>-103.7772228129531</v>
      </c>
      <c r="DX71" s="323">
        <f t="shared" ca="1" si="45"/>
        <v>-103.7772228129531</v>
      </c>
      <c r="DY71" s="323">
        <f t="shared" ca="1" si="45"/>
        <v>-103.7772228129531</v>
      </c>
      <c r="DZ71" s="323">
        <f t="shared" ca="1" si="45"/>
        <v>-103.7772228129531</v>
      </c>
      <c r="EA71" s="323">
        <f t="shared" ca="1" si="45"/>
        <v>-103.7772228129531</v>
      </c>
      <c r="EB71" s="323">
        <f t="shared" ca="1" si="45"/>
        <v>-103.7772228129531</v>
      </c>
      <c r="EC71" s="323">
        <f t="shared" ref="EC71:GA71" ca="1" si="46">SUM(EC68:EC70)</f>
        <v>-103.7772228129531</v>
      </c>
      <c r="ED71" s="323">
        <f t="shared" ca="1" si="46"/>
        <v>-103.7772228129531</v>
      </c>
      <c r="EE71" s="323">
        <f t="shared" ca="1" si="46"/>
        <v>-103.7772228129531</v>
      </c>
      <c r="EF71" s="323">
        <f t="shared" ca="1" si="46"/>
        <v>-106.89053949734171</v>
      </c>
      <c r="EG71" s="323">
        <f t="shared" ca="1" si="46"/>
        <v>-106.89053949734171</v>
      </c>
      <c r="EH71" s="323">
        <f t="shared" ca="1" si="46"/>
        <v>-106.89053949734171</v>
      </c>
      <c r="EI71" s="323">
        <f t="shared" ca="1" si="46"/>
        <v>-106.89053949734171</v>
      </c>
      <c r="EJ71" s="323">
        <f t="shared" ca="1" si="46"/>
        <v>-106.89053949734171</v>
      </c>
      <c r="EK71" s="323">
        <f t="shared" ca="1" si="46"/>
        <v>-106.89053949734171</v>
      </c>
      <c r="EL71" s="323">
        <f t="shared" ca="1" si="46"/>
        <v>-106.89053949734171</v>
      </c>
      <c r="EM71" s="323">
        <f t="shared" ca="1" si="46"/>
        <v>-106.89053949734171</v>
      </c>
      <c r="EN71" s="323">
        <f t="shared" ca="1" si="46"/>
        <v>-106.89053949734171</v>
      </c>
      <c r="EO71" s="323">
        <f t="shared" ca="1" si="46"/>
        <v>-106.89053949734171</v>
      </c>
      <c r="EP71" s="323">
        <f t="shared" ca="1" si="46"/>
        <v>-106.89053949734171</v>
      </c>
      <c r="EQ71" s="323">
        <f t="shared" ca="1" si="46"/>
        <v>-106.89053949734171</v>
      </c>
      <c r="ER71" s="323">
        <f t="shared" ca="1" si="46"/>
        <v>-110.09725568226196</v>
      </c>
      <c r="ES71" s="323">
        <f t="shared" ca="1" si="46"/>
        <v>-110.09725568226196</v>
      </c>
      <c r="ET71" s="323">
        <f t="shared" ca="1" si="46"/>
        <v>-110.09725568226196</v>
      </c>
      <c r="EU71" s="323">
        <f t="shared" ca="1" si="46"/>
        <v>-110.09725568226196</v>
      </c>
      <c r="EV71" s="323">
        <f t="shared" ca="1" si="46"/>
        <v>-110.09725568226196</v>
      </c>
      <c r="EW71" s="323">
        <f t="shared" ca="1" si="46"/>
        <v>-110.09725568226196</v>
      </c>
      <c r="EX71" s="323">
        <f t="shared" ca="1" si="46"/>
        <v>-110.09725568226196</v>
      </c>
      <c r="EY71" s="323">
        <f t="shared" ca="1" si="46"/>
        <v>-110.09725568226196</v>
      </c>
      <c r="EZ71" s="323">
        <f t="shared" ca="1" si="46"/>
        <v>-110.09725568226196</v>
      </c>
      <c r="FA71" s="323">
        <f t="shared" ca="1" si="46"/>
        <v>-110.09725568226196</v>
      </c>
      <c r="FB71" s="323">
        <f t="shared" ca="1" si="46"/>
        <v>-110.09725568226196</v>
      </c>
      <c r="FC71" s="323">
        <f t="shared" ca="1" si="46"/>
        <v>-110.09725568226196</v>
      </c>
      <c r="FD71" s="323">
        <f t="shared" ca="1" si="46"/>
        <v>-113.40017335272982</v>
      </c>
      <c r="FE71" s="323">
        <f t="shared" ca="1" si="46"/>
        <v>-113.40017335272982</v>
      </c>
      <c r="FF71" s="323">
        <f t="shared" ca="1" si="46"/>
        <v>-113.40017335272982</v>
      </c>
      <c r="FG71" s="323">
        <f t="shared" ca="1" si="46"/>
        <v>-113.40017335272982</v>
      </c>
      <c r="FH71" s="323">
        <f t="shared" ca="1" si="46"/>
        <v>-113.40017335272982</v>
      </c>
      <c r="FI71" s="323">
        <f t="shared" ca="1" si="46"/>
        <v>-113.40017335272982</v>
      </c>
      <c r="FJ71" s="323">
        <f t="shared" ca="1" si="46"/>
        <v>-113.40017335272982</v>
      </c>
      <c r="FK71" s="323">
        <f t="shared" ca="1" si="46"/>
        <v>-113.40017335272982</v>
      </c>
      <c r="FL71" s="323">
        <f t="shared" ca="1" si="46"/>
        <v>-113.40017335272982</v>
      </c>
      <c r="FM71" s="323">
        <f t="shared" ca="1" si="46"/>
        <v>-113.40017335272982</v>
      </c>
      <c r="FN71" s="323">
        <f t="shared" ca="1" si="46"/>
        <v>-113.40017335272982</v>
      </c>
      <c r="FO71" s="323">
        <f t="shared" ca="1" si="46"/>
        <v>-113.40017335272982</v>
      </c>
      <c r="FP71" s="323">
        <f t="shared" ca="1" si="46"/>
        <v>-116.80217855331172</v>
      </c>
      <c r="FQ71" s="323">
        <f t="shared" ca="1" si="46"/>
        <v>-116.80217855331172</v>
      </c>
      <c r="FR71" s="323">
        <f t="shared" ca="1" si="46"/>
        <v>-116.80217855331172</v>
      </c>
      <c r="FS71" s="323">
        <f t="shared" ca="1" si="46"/>
        <v>-116.80217855331172</v>
      </c>
      <c r="FT71" s="323">
        <f t="shared" ca="1" si="46"/>
        <v>-116.80217855331172</v>
      </c>
      <c r="FU71" s="323">
        <f t="shared" ca="1" si="46"/>
        <v>-116.80217855331172</v>
      </c>
      <c r="FV71" s="323">
        <f t="shared" ca="1" si="46"/>
        <v>-116.80217855331172</v>
      </c>
      <c r="FW71" s="323">
        <f t="shared" ca="1" si="46"/>
        <v>-116.80217855331172</v>
      </c>
      <c r="FX71" s="323">
        <f t="shared" ca="1" si="46"/>
        <v>-116.80217855331172</v>
      </c>
      <c r="FY71" s="323">
        <f t="shared" ca="1" si="46"/>
        <v>-116.80217855331172</v>
      </c>
      <c r="FZ71" s="323">
        <f t="shared" ca="1" si="46"/>
        <v>-116.80217855331172</v>
      </c>
      <c r="GA71" s="325">
        <f t="shared" ca="1" si="46"/>
        <v>-116.80217855331172</v>
      </c>
    </row>
    <row r="72" spans="1:183" x14ac:dyDescent="0.15">
      <c r="A72" s="322"/>
      <c r="C72" s="289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  <c r="O72" s="27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  <c r="CK72" s="277"/>
      <c r="CL72" s="277"/>
      <c r="CM72" s="277"/>
      <c r="CN72" s="277"/>
      <c r="CO72" s="277"/>
      <c r="CP72" s="277"/>
      <c r="CQ72" s="277"/>
      <c r="CR72" s="277"/>
      <c r="CS72" s="277"/>
      <c r="CT72" s="277"/>
      <c r="CU72" s="277"/>
      <c r="CV72" s="277"/>
      <c r="CW72" s="277"/>
      <c r="CX72" s="277"/>
      <c r="CY72" s="277"/>
      <c r="CZ72" s="277"/>
      <c r="DA72" s="277"/>
      <c r="DB72" s="277"/>
      <c r="DC72" s="277"/>
      <c r="DD72" s="277"/>
      <c r="DE72" s="277"/>
      <c r="DF72" s="277"/>
      <c r="DG72" s="277"/>
      <c r="DH72" s="277"/>
      <c r="DI72" s="277"/>
      <c r="DJ72" s="277"/>
      <c r="DK72" s="277"/>
      <c r="DL72" s="277"/>
      <c r="DM72" s="277"/>
      <c r="DN72" s="277"/>
      <c r="DO72" s="277"/>
      <c r="DP72" s="277"/>
      <c r="DQ72" s="277"/>
      <c r="DR72" s="277"/>
      <c r="DS72" s="277"/>
      <c r="DT72" s="277"/>
      <c r="DU72" s="277"/>
      <c r="DV72" s="277"/>
      <c r="DW72" s="277"/>
      <c r="DX72" s="277"/>
      <c r="DY72" s="277"/>
      <c r="DZ72" s="277"/>
      <c r="EA72" s="277"/>
      <c r="EB72" s="277"/>
      <c r="EC72" s="277"/>
      <c r="ED72" s="277"/>
      <c r="EE72" s="277"/>
      <c r="EF72" s="277"/>
      <c r="EG72" s="277"/>
      <c r="EH72" s="277"/>
      <c r="EI72" s="277"/>
      <c r="EJ72" s="277"/>
      <c r="EK72" s="277"/>
      <c r="EL72" s="277"/>
      <c r="EM72" s="277"/>
      <c r="EN72" s="277"/>
      <c r="EO72" s="277"/>
      <c r="EP72" s="277"/>
      <c r="EQ72" s="277"/>
      <c r="ER72" s="277"/>
      <c r="ES72" s="277"/>
      <c r="ET72" s="277"/>
      <c r="EU72" s="277"/>
      <c r="EV72" s="277"/>
      <c r="EW72" s="277"/>
      <c r="EX72" s="277"/>
      <c r="EY72" s="277"/>
      <c r="EZ72" s="277"/>
      <c r="FA72" s="277"/>
      <c r="FB72" s="277"/>
      <c r="FC72" s="277"/>
      <c r="FD72" s="277"/>
      <c r="FE72" s="277"/>
      <c r="FF72" s="277"/>
      <c r="FG72" s="277"/>
      <c r="FH72" s="277"/>
      <c r="FI72" s="277"/>
      <c r="FJ72" s="277"/>
      <c r="FK72" s="277"/>
      <c r="FL72" s="277"/>
      <c r="FM72" s="277"/>
      <c r="FN72" s="277"/>
      <c r="FO72" s="277"/>
      <c r="FP72" s="277"/>
      <c r="FQ72" s="277"/>
      <c r="FR72" s="277"/>
      <c r="FS72" s="277"/>
      <c r="FT72" s="277"/>
      <c r="FU72" s="277"/>
      <c r="FV72" s="277"/>
      <c r="FW72" s="277"/>
      <c r="FX72" s="277"/>
      <c r="FY72" s="277"/>
      <c r="FZ72" s="277"/>
      <c r="GA72" s="289"/>
    </row>
    <row r="73" spans="1:183" x14ac:dyDescent="0.15">
      <c r="A73" s="306" t="s">
        <v>615</v>
      </c>
      <c r="C73" s="518">
        <f ca="1">HLOOKUP(Cust_LeaseTermYears*12,$D$50:$GA$77,24,FALSE)</f>
        <v>0.14999999403953554</v>
      </c>
      <c r="D73" s="487" t="str">
        <f ca="1">IFERROR(XIRR($C58:D58,$C$52:D$52),"NaN")</f>
        <v>NaN</v>
      </c>
      <c r="E73" s="487" t="str">
        <f ca="1">IFERROR(XIRR($C58:E58,$C$52:E$52),"NaN")</f>
        <v>NaN</v>
      </c>
      <c r="F73" s="487">
        <f ca="1">IFERROR(XIRR($C58:F58,$C$52:F$52),"NaN")</f>
        <v>-0.99999978551943247</v>
      </c>
      <c r="G73" s="487">
        <f ca="1">IFERROR(XIRR($C58:G58,$C$52:G$52),"NaN")</f>
        <v>-0.9999820901075509</v>
      </c>
      <c r="H73" s="487">
        <f ca="1">IFERROR(XIRR($C58:H58,$C$52:H$52),"NaN")</f>
        <v>-0.99975341444078381</v>
      </c>
      <c r="I73" s="487">
        <f ca="1">IFERROR(XIRR($C58:I58,$C$52:I$52),"NaN")</f>
        <v>-0.99870562292635456</v>
      </c>
      <c r="J73" s="487">
        <f ca="1">IFERROR(XIRR($C58:J58,$C$52:J$52),"NaN")</f>
        <v>-0.99569863905198863</v>
      </c>
      <c r="K73" s="487">
        <f ca="1">IFERROR(XIRR($C58:K58,$C$52:K$52),"NaN")</f>
        <v>-0.98959397030994301</v>
      </c>
      <c r="L73" s="487">
        <f ca="1">IFERROR(XIRR($C58:L58,$C$52:L$52),"NaN")</f>
        <v>-0.97945751855149876</v>
      </c>
      <c r="M73" s="487">
        <f ca="1">IFERROR(XIRR($C58:M58,$C$52:M$52),"NaN")</f>
        <v>-0.9650532053783536</v>
      </c>
      <c r="N73" s="487">
        <f ca="1">IFERROR(XIRR($C58:N58,$C$52:N$52),"NaN")</f>
        <v>-0.94635221883654608</v>
      </c>
      <c r="O73" s="487">
        <f ca="1">IFERROR(XIRR($C58:O58,$C$52:O$52),"NaN")</f>
        <v>-0.92378575839102262</v>
      </c>
      <c r="P73" s="487">
        <f ca="1">IFERROR(XIRR($C58:P58,$C$52:P$52),"NaN")</f>
        <v>-0.90143119245767567</v>
      </c>
      <c r="Q73" s="487">
        <f ca="1">IFERROR(XIRR($C58:Q58,$C$52:Q$52),"NaN")</f>
        <v>-0.87655058242380612</v>
      </c>
      <c r="R73" s="487">
        <f ca="1">IFERROR(XIRR($C58:R58,$C$52:R$52),"NaN")</f>
        <v>-0.84984216764569287</v>
      </c>
      <c r="S73" s="487">
        <f ca="1">IFERROR(XIRR($C58:S58,$C$52:S$52),"NaN")</f>
        <v>-0.82168145403265958</v>
      </c>
      <c r="T73" s="487">
        <f ca="1">IFERROR(XIRR($C58:T58,$C$52:T$52),"NaN")</f>
        <v>-0.79255369678139687</v>
      </c>
      <c r="U73" s="487">
        <f ca="1">IFERROR(XIRR($C58:U58,$C$52:U$52),"NaN")</f>
        <v>-0.76320752725005159</v>
      </c>
      <c r="V73" s="487">
        <f ca="1">IFERROR(XIRR($C58:V58,$C$52:V$52),"NaN")</f>
        <v>-0.7335793904960155</v>
      </c>
      <c r="W73" s="487">
        <f ca="1">IFERROR(XIRR($C58:W58,$C$52:W$52),"NaN")</f>
        <v>-0.70406451001763348</v>
      </c>
      <c r="X73" s="487">
        <f ca="1">IFERROR(XIRR($C58:X58,$C$52:X$52),"NaN")</f>
        <v>-0.67478644177317615</v>
      </c>
      <c r="Y73" s="487">
        <f ca="1">IFERROR(XIRR($C58:Y58,$C$52:Y$52),"NaN")</f>
        <v>-0.64601594135165219</v>
      </c>
      <c r="Z73" s="487">
        <f ca="1">IFERROR(XIRR($C58:Z58,$C$52:Z$52),"NaN")</f>
        <v>-0.61780291125178333</v>
      </c>
      <c r="AA73" s="487">
        <f ca="1">IFERROR(XIRR($C58:AA58,$C$52:AA$52),"NaN")</f>
        <v>-0.5902613587677481</v>
      </c>
      <c r="AB73" s="487">
        <f ca="1">IFERROR(XIRR($C58:AB58,$C$52:AB$52),"NaN")</f>
        <v>-0.56263895109295836</v>
      </c>
      <c r="AC73" s="487">
        <f ca="1">IFERROR(XIRR($C58:AC58,$C$52:AC$52),"NaN")</f>
        <v>-0.5359205551445485</v>
      </c>
      <c r="AD73" s="487">
        <f ca="1">IFERROR(XIRR($C58:AD58,$C$52:AD$52),"NaN")</f>
        <v>-0.51017761155962948</v>
      </c>
      <c r="AE73" s="487">
        <f ca="1">IFERROR(XIRR($C58:AE58,$C$52:AE$52),"NaN")</f>
        <v>-0.48535930588841436</v>
      </c>
      <c r="AF73" s="487">
        <f ca="1">IFERROR(XIRR($C58:AF58,$C$52:AF$52),"NaN")</f>
        <v>-0.46146655008196841</v>
      </c>
      <c r="AG73" s="487">
        <f ca="1">IFERROR(XIRR($C58:AG58,$C$52:AG$52),"NaN")</f>
        <v>-0.43856044486165058</v>
      </c>
      <c r="AH73" s="487">
        <f ca="1">IFERROR(XIRR($C58:AH58,$C$52:AH$52),"NaN")</f>
        <v>-0.41653930768370628</v>
      </c>
      <c r="AI73" s="487">
        <f ca="1">IFERROR(XIRR($C58:AI58,$C$52:AI$52),"NaN")</f>
        <v>-0.39541413560509692</v>
      </c>
      <c r="AJ73" s="487">
        <f ca="1">IFERROR(XIRR($C58:AJ58,$C$52:AJ$52),"NaN")</f>
        <v>-0.37512874975800525</v>
      </c>
      <c r="AK73" s="487">
        <f ca="1">IFERROR(XIRR($C58:AK58,$C$52:AK$52),"NaN")</f>
        <v>-0.35568227842450145</v>
      </c>
      <c r="AL73" s="487">
        <f ca="1">IFERROR(XIRR($C58:AL58,$C$52:AL$52),"NaN")</f>
        <v>-0.33702095672488225</v>
      </c>
      <c r="AM73" s="487">
        <f ca="1">IFERROR(XIRR($C58:AM58,$C$52:AM$52),"NaN")</f>
        <v>-0.31911832466721546</v>
      </c>
      <c r="AN73" s="487">
        <f ca="1">IFERROR(XIRR($C58:AN58,$C$52:AN$52),"NaN")</f>
        <v>-0.3013822846114636</v>
      </c>
      <c r="AO73" s="487">
        <f ca="1">IFERROR(XIRR($C58:AO58,$C$52:AO$52),"NaN")</f>
        <v>-0.284408488124609</v>
      </c>
      <c r="AP73" s="487">
        <f ca="1">IFERROR(XIRR($C58:AP58,$C$52:AP$52),"NaN")</f>
        <v>-0.26817453876137737</v>
      </c>
      <c r="AQ73" s="487">
        <f ca="1">IFERROR(XIRR($C58:AQ58,$C$52:AQ$52),"NaN")</f>
        <v>-0.25262946113944063</v>
      </c>
      <c r="AR73" s="487">
        <f ca="1">IFERROR(XIRR($C58:AR58,$C$52:AR$52),"NaN")</f>
        <v>-0.23774081394076352</v>
      </c>
      <c r="AS73" s="487">
        <f ca="1">IFERROR(XIRR($C58:AS58,$C$52:AS$52),"NaN")</f>
        <v>-0.22350611612200738</v>
      </c>
      <c r="AT73" s="487">
        <f ca="1">IFERROR(XIRR($C58:AT58,$C$52:AT$52),"NaN")</f>
        <v>-0.20986021682620049</v>
      </c>
      <c r="AU73" s="487">
        <f ca="1">IFERROR(XIRR($C58:AU58,$C$52:AU$52),"NaN")</f>
        <v>-0.19678341522812842</v>
      </c>
      <c r="AV73" s="487">
        <f ca="1">IFERROR(XIRR($C58:AV58,$C$52:AV$52),"NaN")</f>
        <v>-0.1842401184141636</v>
      </c>
      <c r="AW73" s="487">
        <f ca="1">IFERROR(XIRR($C58:AW58,$C$52:AW$52),"NaN")</f>
        <v>-0.17221155092120166</v>
      </c>
      <c r="AX73" s="487">
        <f ca="1">IFERROR(XIRR($C58:AX58,$C$52:AX$52),"NaN")</f>
        <v>-0.1606665220111608</v>
      </c>
      <c r="AY73" s="487">
        <f ca="1">IFERROR(XIRR($C58:AY58,$C$52:AY$52),"NaN")</f>
        <v>-0.14958258830010893</v>
      </c>
      <c r="AZ73" s="487">
        <f ca="1">IFERROR(XIRR($C58:AZ58,$C$52:AZ$52),"NaN")</f>
        <v>-0.1385787721723318</v>
      </c>
      <c r="BA73" s="487">
        <f ca="1">IFERROR(XIRR($C58:BA58,$C$52:BA$52),"NaN")</f>
        <v>-0.1280259225517511</v>
      </c>
      <c r="BB73" s="487">
        <f ca="1">IFERROR(XIRR($C58:BB58,$C$52:BB$52),"NaN")</f>
        <v>-0.11790460683405399</v>
      </c>
      <c r="BC73" s="487">
        <f ca="1">IFERROR(XIRR($C58:BC58,$C$52:BC$52),"NaN")</f>
        <v>-0.10818910934031009</v>
      </c>
      <c r="BD73" s="487">
        <f ca="1">IFERROR(XIRR($C58:BD58,$C$52:BD$52),"NaN")</f>
        <v>-9.8859399557113675E-2</v>
      </c>
      <c r="BE73" s="487">
        <f ca="1">IFERROR(XIRR($C58:BE58,$C$52:BE$52),"NaN")</f>
        <v>-8.9903375506401081E-2</v>
      </c>
      <c r="BF73" s="487">
        <f ca="1">IFERROR(XIRR($C58:BF58,$C$52:BF$52),"NaN")</f>
        <v>-8.1294605135917672E-2</v>
      </c>
      <c r="BG73" s="487">
        <f ca="1">IFERROR(XIRR($C58:BG58,$C$52:BG$52),"NaN")</f>
        <v>-7.3018303513526936E-2</v>
      </c>
      <c r="BH73" s="487">
        <f ca="1">IFERROR(XIRR($C58:BH58,$C$52:BH$52),"NaN")</f>
        <v>-6.5056708455085752E-2</v>
      </c>
      <c r="BI73" s="487">
        <f ca="1">IFERROR(XIRR($C58:BI58,$C$52:BI$52),"NaN")</f>
        <v>-5.739639103412629E-2</v>
      </c>
      <c r="BJ73" s="487">
        <f ca="1">IFERROR(XIRR($C58:BJ58,$C$52:BJ$52),"NaN")</f>
        <v>-5.0021865963935846E-2</v>
      </c>
      <c r="BK73" s="487">
        <f ca="1">IFERROR(XIRR($C58:BK58,$C$52:BK$52),"NaN")</f>
        <v>-4.2920085787773135E-2</v>
      </c>
      <c r="BL73" s="487">
        <f ca="1">IFERROR(XIRR($C58:BL58,$C$52:BL$52),"NaN")</f>
        <v>-3.5843935608863842E-2</v>
      </c>
      <c r="BM73" s="487">
        <f ca="1">IFERROR(XIRR($C58:BM58,$C$52:BM$52),"NaN")</f>
        <v>-2.9033902287483218E-2</v>
      </c>
      <c r="BN73" s="487">
        <f ca="1">IFERROR(XIRR($C58:BN58,$C$52:BN$52),"NaN")</f>
        <v>-2.2477725148200994E-2</v>
      </c>
      <c r="BO73" s="487">
        <f ca="1">IFERROR(XIRR($C58:BO58,$C$52:BO$52),"NaN")</f>
        <v>-1.6162839531898499E-2</v>
      </c>
      <c r="BP73" s="487">
        <f ca="1">IFERROR(XIRR($C58:BP58,$C$52:BP$52),"NaN")</f>
        <v>-1.0078069567680363E-2</v>
      </c>
      <c r="BQ73" s="487">
        <f ca="1">IFERROR(XIRR($C58:BQ58,$C$52:BQ$52),"NaN")</f>
        <v>-4.2130619287490852E-3</v>
      </c>
      <c r="BR73" s="487">
        <f ca="1">IFERROR(XIRR($C58:BR58,$C$52:BR$52),"NaN")</f>
        <v>1.4428585767745975E-3</v>
      </c>
      <c r="BS73" s="487">
        <f ca="1">IFERROR(XIRR($C58:BS58,$C$52:BS$52),"NaN")</f>
        <v>6.8991094827651981E-3</v>
      </c>
      <c r="BT73" s="487">
        <f ca="1">IFERROR(XIRR($C58:BT58,$C$52:BT$52),"NaN")</f>
        <v>1.2164553999900816E-2</v>
      </c>
      <c r="BU73" s="487">
        <f ca="1">IFERROR(XIRR($C58:BU58,$C$52:BU$52),"NaN")</f>
        <v>1.7247727513313296E-2</v>
      </c>
      <c r="BV73" s="487">
        <f ca="1">IFERROR(XIRR($C58:BV58,$C$52:BV$52),"NaN")</f>
        <v>2.2156402468681339E-2</v>
      </c>
      <c r="BW73" s="487">
        <f ca="1">IFERROR(XIRR($C58:BW58,$C$52:BW$52),"NaN")</f>
        <v>2.6898023486137391E-2</v>
      </c>
      <c r="BX73" s="487">
        <f ca="1">IFERROR(XIRR($C58:BX58,$C$52:BX$52),"NaN")</f>
        <v>3.1638440489768979E-2</v>
      </c>
      <c r="BY73" s="487">
        <f ca="1">IFERROR(XIRR($C58:BY58,$C$52:BY$52),"NaN")</f>
        <v>3.6215469241142287E-2</v>
      </c>
      <c r="BZ73" s="487">
        <f ca="1">IFERROR(XIRR($C58:BZ58,$C$52:BZ$52),"NaN")</f>
        <v>4.0636727213859566E-2</v>
      </c>
      <c r="CA73" s="487">
        <f ca="1">IFERROR(XIRR($C58:CA58,$C$52:CA$52),"NaN")</f>
        <v>4.4908556342124956E-2</v>
      </c>
      <c r="CB73" s="487">
        <f ca="1">IFERROR(XIRR($C58:CB58,$C$52:CB$52),"NaN")</f>
        <v>4.903732836246491E-2</v>
      </c>
      <c r="CC73" s="487">
        <f ca="1">IFERROR(XIRR($C58:CC58,$C$52:CC$52),"NaN")</f>
        <v>5.3030201792716988E-2</v>
      </c>
      <c r="CD73" s="487">
        <f ca="1">IFERROR(XIRR($C58:CD58,$C$52:CD$52),"NaN")</f>
        <v>5.6891861557960513E-2</v>
      </c>
      <c r="CE73" s="487">
        <f ca="1">IFERROR(XIRR($C58:CE58,$C$52:CE$52),"NaN")</f>
        <v>6.0628315806388861E-2</v>
      </c>
      <c r="CF73" s="487">
        <f ca="1">IFERROR(XIRR($C58:CF58,$C$52:CF$52),"NaN")</f>
        <v>6.4244136214256273E-2</v>
      </c>
      <c r="CG73" s="487">
        <f ca="1">IFERROR(XIRR($C58:CG58,$C$52:CG$52),"NaN")</f>
        <v>6.7744806408882155E-2</v>
      </c>
      <c r="CH73" s="487">
        <f ca="1">IFERROR(XIRR($C58:CH58,$C$52:CH$52),"NaN")</f>
        <v>7.1134361624717715E-2</v>
      </c>
      <c r="CI73" s="487">
        <f ca="1">IFERROR(XIRR($C58:CI58,$C$52:CI$52),"NaN")</f>
        <v>7.4417200684547435E-2</v>
      </c>
      <c r="CJ73" s="487">
        <f ca="1">IFERROR(XIRR($C58:CJ58,$C$52:CJ$52),"NaN")</f>
        <v>7.7708455920219424E-2</v>
      </c>
      <c r="CK73" s="487">
        <f ca="1">IFERROR(XIRR($C58:CK58,$C$52:CK$52),"NaN")</f>
        <v>8.089500963687897E-2</v>
      </c>
      <c r="CL73" s="487">
        <f ca="1">IFERROR(XIRR($C58:CL58,$C$52:CL$52),"NaN")</f>
        <v>8.398173153400422E-2</v>
      </c>
      <c r="CM73" s="487">
        <f ca="1">IFERROR(XIRR($C58:CM58,$C$52:CM$52),"NaN")</f>
        <v>8.6971953511238112E-2</v>
      </c>
      <c r="CN73" s="487">
        <f ca="1">IFERROR(XIRR($C58:CN58,$C$52:CN$52),"NaN")</f>
        <v>8.9869466423988353E-2</v>
      </c>
      <c r="CO73" s="487">
        <f ca="1">IFERROR(XIRR($C58:CO58,$C$52:CO$52),"NaN")</f>
        <v>9.2679896950721735E-2</v>
      </c>
      <c r="CP73" s="487">
        <f ca="1">IFERROR(XIRR($C58:CP58,$C$52:CP$52),"NaN")</f>
        <v>9.5404663681983956E-2</v>
      </c>
      <c r="CQ73" s="487">
        <f ca="1">IFERROR(XIRR($C58:CQ58,$C$52:CQ$52),"NaN")</f>
        <v>9.8047679662704473E-2</v>
      </c>
      <c r="CR73" s="487">
        <f ca="1">IFERROR(XIRR($C58:CR58,$C$52:CR$52),"NaN")</f>
        <v>0.10061140656471254</v>
      </c>
      <c r="CS73" s="487">
        <f ca="1">IFERROR(XIRR($C58:CS58,$C$52:CS$52),"NaN")</f>
        <v>0.1030994474887848</v>
      </c>
      <c r="CT73" s="487">
        <f ca="1">IFERROR(XIRR($C58:CT58,$C$52:CT$52),"NaN")</f>
        <v>0.10551396012306213</v>
      </c>
      <c r="CU73" s="487">
        <f ca="1">IFERROR(XIRR($C58:CU58,$C$52:CU$52),"NaN")</f>
        <v>0.1078576385974884</v>
      </c>
      <c r="CV73" s="487">
        <f ca="1">IFERROR(XIRR($C58:CV58,$C$52:CV$52),"NaN")</f>
        <v>0.11021283268928528</v>
      </c>
      <c r="CW73" s="487">
        <f ca="1">IFERROR(XIRR($C58:CW58,$C$52:CW$52),"NaN")</f>
        <v>0.11249832510948182</v>
      </c>
      <c r="CX73" s="487">
        <f ca="1">IFERROR(XIRR($C58:CX58,$C$52:CX$52),"NaN")</f>
        <v>0.11471734642982484</v>
      </c>
      <c r="CY73" s="487">
        <f ca="1">IFERROR(XIRR($C58:CY58,$C$52:CY$52),"NaN")</f>
        <v>0.11687168478965759</v>
      </c>
      <c r="CZ73" s="487">
        <f ca="1">IFERROR(XIRR($C58:CZ58,$C$52:CZ$52),"NaN")</f>
        <v>0.11896371245384216</v>
      </c>
      <c r="DA73" s="487">
        <f ca="1">IFERROR(XIRR($C58:DA58,$C$52:DA$52),"NaN")</f>
        <v>0.12099754214286804</v>
      </c>
      <c r="DB73" s="487">
        <f ca="1">IFERROR(XIRR($C58:DB58,$C$52:DB$52),"NaN")</f>
        <v>0.12297340035438539</v>
      </c>
      <c r="DC73" s="487">
        <f ca="1">IFERROR(XIRR($C58:DC58,$C$52:DC$52),"NaN")</f>
        <v>0.12489394545555116</v>
      </c>
      <c r="DD73" s="487">
        <f ca="1">IFERROR(XIRR($C58:DD58,$C$52:DD$52),"NaN")</f>
        <v>0.12676052451133732</v>
      </c>
      <c r="DE73" s="487">
        <f ca="1">IFERROR(XIRR($C58:DE58,$C$52:DE$52),"NaN")</f>
        <v>0.12857558131217953</v>
      </c>
      <c r="DF73" s="487">
        <f ca="1">IFERROR(XIRR($C58:DF58,$C$52:DF$52),"NaN")</f>
        <v>0.1303403198719025</v>
      </c>
      <c r="DG73" s="487">
        <f ca="1">IFERROR(XIRR($C58:DG58,$C$52:DG$52),"NaN")</f>
        <v>0.13205644488334656</v>
      </c>
      <c r="DH73" s="487">
        <f ca="1">IFERROR(XIRR($C58:DH58,$C$52:DH$52),"NaN")</f>
        <v>0.13378432393074036</v>
      </c>
      <c r="DI73" s="487">
        <f ca="1">IFERROR(XIRR($C58:DI58,$C$52:DI$52),"NaN")</f>
        <v>0.13546424508094793</v>
      </c>
      <c r="DJ73" s="487">
        <f ca="1">IFERROR(XIRR($C58:DJ58,$C$52:DJ$52),"NaN")</f>
        <v>0.13709841370582582</v>
      </c>
      <c r="DK73" s="487">
        <f ca="1">IFERROR(XIRR($C58:DK58,$C$52:DK$52),"NaN")</f>
        <v>0.13868783116340636</v>
      </c>
      <c r="DL73" s="487">
        <f ca="1">IFERROR(XIRR($C58:DL58,$C$52:DL$52),"NaN")</f>
        <v>0.14023401141166686</v>
      </c>
      <c r="DM73" s="487">
        <f ca="1">IFERROR(XIRR($C58:DM58,$C$52:DM$52),"NaN")</f>
        <v>0.14174003005027774</v>
      </c>
      <c r="DN73" s="487">
        <f ca="1">IFERROR(XIRR($C58:DN58,$C$52:DN$52),"NaN")</f>
        <v>0.14320561289787295</v>
      </c>
      <c r="DO73" s="487">
        <f ca="1">IFERROR(XIRR($C58:DO58,$C$52:DO$52),"NaN")</f>
        <v>0.14463259577751156</v>
      </c>
      <c r="DP73" s="487">
        <f ca="1">IFERROR(XIRR($C58:DP58,$C$52:DP$52),"NaN")</f>
        <v>0.14602175354957586</v>
      </c>
      <c r="DQ73" s="487">
        <f ca="1">IFERROR(XIRR($C58:DQ58,$C$52:DQ$52),"NaN")</f>
        <v>0.14737479090690617</v>
      </c>
      <c r="DR73" s="487">
        <f ca="1">IFERROR(XIRR($C58:DR58,$C$52:DR$52),"NaN")</f>
        <v>0.14869237542152411</v>
      </c>
      <c r="DS73" s="487">
        <f ca="1">IFERROR(XIRR($C58:DS58,$C$52:DS$52),"NaN")</f>
        <v>0.14999999403953554</v>
      </c>
      <c r="DT73" s="487">
        <f ca="1">IFERROR(XIRR($C58:DT58,$C$52:DT$52),"NaN")</f>
        <v>0.14999999403953554</v>
      </c>
      <c r="DU73" s="487">
        <f ca="1">IFERROR(XIRR($C58:DU58,$C$52:DU$52),"NaN")</f>
        <v>0.14999999403953554</v>
      </c>
      <c r="DV73" s="487">
        <f ca="1">IFERROR(XIRR($C58:DV58,$C$52:DV$52),"NaN")</f>
        <v>0.14999999403953554</v>
      </c>
      <c r="DW73" s="487">
        <f ca="1">IFERROR(XIRR($C58:DW58,$C$52:DW$52),"NaN")</f>
        <v>0.14999999403953554</v>
      </c>
      <c r="DX73" s="487">
        <f ca="1">IFERROR(XIRR($C58:DX58,$C$52:DX$52),"NaN")</f>
        <v>0.14999999403953554</v>
      </c>
      <c r="DY73" s="487">
        <f ca="1">IFERROR(XIRR($C58:DY58,$C$52:DY$52),"NaN")</f>
        <v>0.14999999403953554</v>
      </c>
      <c r="DZ73" s="487">
        <f ca="1">IFERROR(XIRR($C58:DZ58,$C$52:DZ$52),"NaN")</f>
        <v>0.14999999403953554</v>
      </c>
      <c r="EA73" s="487">
        <f ca="1">IFERROR(XIRR($C58:EA58,$C$52:EA$52),"NaN")</f>
        <v>0.14999999403953554</v>
      </c>
      <c r="EB73" s="487">
        <f ca="1">IFERROR(XIRR($C58:EB58,$C$52:EB$52),"NaN")</f>
        <v>0.14999999403953554</v>
      </c>
      <c r="EC73" s="487">
        <f ca="1">IFERROR(XIRR($C58:EC58,$C$52:EC$52),"NaN")</f>
        <v>0.14999999403953554</v>
      </c>
      <c r="ED73" s="487">
        <f ca="1">IFERROR(XIRR($C58:ED58,$C$52:ED$52),"NaN")</f>
        <v>0.14999999403953554</v>
      </c>
      <c r="EE73" s="487">
        <f ca="1">IFERROR(XIRR($C58:EE58,$C$52:EE$52),"NaN")</f>
        <v>0.14999999403953554</v>
      </c>
      <c r="EF73" s="487">
        <f ca="1">IFERROR(XIRR($C58:EF58,$C$52:EF$52),"NaN")</f>
        <v>0.14999999403953554</v>
      </c>
      <c r="EG73" s="487">
        <f ca="1">IFERROR(XIRR($C58:EG58,$C$52:EG$52),"NaN")</f>
        <v>0.14999999403953554</v>
      </c>
      <c r="EH73" s="487">
        <f ca="1">IFERROR(XIRR($C58:EH58,$C$52:EH$52),"NaN")</f>
        <v>0.14999999403953554</v>
      </c>
      <c r="EI73" s="487">
        <f ca="1">IFERROR(XIRR($C58:EI58,$C$52:EI$52),"NaN")</f>
        <v>0.14999999403953554</v>
      </c>
      <c r="EJ73" s="487">
        <f ca="1">IFERROR(XIRR($C58:EJ58,$C$52:EJ$52),"NaN")</f>
        <v>0.14999999403953554</v>
      </c>
      <c r="EK73" s="487">
        <f ca="1">IFERROR(XIRR($C58:EK58,$C$52:EK$52),"NaN")</f>
        <v>0.14999999403953554</v>
      </c>
      <c r="EL73" s="487">
        <f ca="1">IFERROR(XIRR($C58:EL58,$C$52:EL$52),"NaN")</f>
        <v>0.14999999403953554</v>
      </c>
      <c r="EM73" s="487">
        <f ca="1">IFERROR(XIRR($C58:EM58,$C$52:EM$52),"NaN")</f>
        <v>0.14999999403953554</v>
      </c>
      <c r="EN73" s="487">
        <f ca="1">IFERROR(XIRR($C58:EN58,$C$52:EN$52),"NaN")</f>
        <v>0.14999999403953554</v>
      </c>
      <c r="EO73" s="487">
        <f ca="1">IFERROR(XIRR($C58:EO58,$C$52:EO$52),"NaN")</f>
        <v>0.14999999403953554</v>
      </c>
      <c r="EP73" s="487">
        <f ca="1">IFERROR(XIRR($C58:EP58,$C$52:EP$52),"NaN")</f>
        <v>0.14999999403953554</v>
      </c>
      <c r="EQ73" s="487">
        <f ca="1">IFERROR(XIRR($C58:EQ58,$C$52:EQ$52),"NaN")</f>
        <v>0.14999999403953554</v>
      </c>
      <c r="ER73" s="487">
        <f ca="1">IFERROR(XIRR($C58:ER58,$C$52:ER$52),"NaN")</f>
        <v>0.14999999403953554</v>
      </c>
      <c r="ES73" s="487">
        <f ca="1">IFERROR(XIRR($C58:ES58,$C$52:ES$52),"NaN")</f>
        <v>0.14999999403953554</v>
      </c>
      <c r="ET73" s="487">
        <f ca="1">IFERROR(XIRR($C58:ET58,$C$52:ET$52),"NaN")</f>
        <v>0.14999999403953554</v>
      </c>
      <c r="EU73" s="487">
        <f ca="1">IFERROR(XIRR($C58:EU58,$C$52:EU$52),"NaN")</f>
        <v>0.14999999403953554</v>
      </c>
      <c r="EV73" s="487">
        <f ca="1">IFERROR(XIRR($C58:EV58,$C$52:EV$52),"NaN")</f>
        <v>0.14999999403953554</v>
      </c>
      <c r="EW73" s="487">
        <f ca="1">IFERROR(XIRR($C58:EW58,$C$52:EW$52),"NaN")</f>
        <v>0.14999999403953554</v>
      </c>
      <c r="EX73" s="487">
        <f ca="1">IFERROR(XIRR($C58:EX58,$C$52:EX$52),"NaN")</f>
        <v>0.14999999403953554</v>
      </c>
      <c r="EY73" s="487">
        <f ca="1">IFERROR(XIRR($C58:EY58,$C$52:EY$52),"NaN")</f>
        <v>0.14999999403953554</v>
      </c>
      <c r="EZ73" s="487">
        <f ca="1">IFERROR(XIRR($C58:EZ58,$C$52:EZ$52),"NaN")</f>
        <v>0.14999999403953554</v>
      </c>
      <c r="FA73" s="487">
        <f ca="1">IFERROR(XIRR($C58:FA58,$C$52:FA$52),"NaN")</f>
        <v>0.14999999403953554</v>
      </c>
      <c r="FB73" s="487">
        <f ca="1">IFERROR(XIRR($C58:FB58,$C$52:FB$52),"NaN")</f>
        <v>0.14999999403953554</v>
      </c>
      <c r="FC73" s="487">
        <f ca="1">IFERROR(XIRR($C58:FC58,$C$52:FC$52),"NaN")</f>
        <v>0.14999999403953554</v>
      </c>
      <c r="FD73" s="487">
        <f ca="1">IFERROR(XIRR($C58:FD58,$C$52:FD$52),"NaN")</f>
        <v>0.14999999403953554</v>
      </c>
      <c r="FE73" s="487">
        <f ca="1">IFERROR(XIRR($C58:FE58,$C$52:FE$52),"NaN")</f>
        <v>0.14999999403953554</v>
      </c>
      <c r="FF73" s="487">
        <f ca="1">IFERROR(XIRR($C58:FF58,$C$52:FF$52),"NaN")</f>
        <v>0.14999999403953554</v>
      </c>
      <c r="FG73" s="487">
        <f ca="1">IFERROR(XIRR($C58:FG58,$C$52:FG$52),"NaN")</f>
        <v>0.14999999403953554</v>
      </c>
      <c r="FH73" s="487">
        <f ca="1">IFERROR(XIRR($C58:FH58,$C$52:FH$52),"NaN")</f>
        <v>0.14999999403953554</v>
      </c>
      <c r="FI73" s="487">
        <f ca="1">IFERROR(XIRR($C58:FI58,$C$52:FI$52),"NaN")</f>
        <v>0.14999999403953554</v>
      </c>
      <c r="FJ73" s="487">
        <f ca="1">IFERROR(XIRR($C58:FJ58,$C$52:FJ$52),"NaN")</f>
        <v>0.14999999403953554</v>
      </c>
      <c r="FK73" s="487">
        <f ca="1">IFERROR(XIRR($C58:FK58,$C$52:FK$52),"NaN")</f>
        <v>0.14999999403953554</v>
      </c>
      <c r="FL73" s="487">
        <f ca="1">IFERROR(XIRR($C58:FL58,$C$52:FL$52),"NaN")</f>
        <v>0.14999999403953554</v>
      </c>
      <c r="FM73" s="487">
        <f ca="1">IFERROR(XIRR($C58:FM58,$C$52:FM$52),"NaN")</f>
        <v>0.14999999403953554</v>
      </c>
      <c r="FN73" s="487">
        <f ca="1">IFERROR(XIRR($C58:FN58,$C$52:FN$52),"NaN")</f>
        <v>0.14999999403953554</v>
      </c>
      <c r="FO73" s="487">
        <f ca="1">IFERROR(XIRR($C58:FO58,$C$52:FO$52),"NaN")</f>
        <v>0.14999999403953554</v>
      </c>
      <c r="FP73" s="487">
        <f ca="1">IFERROR(XIRR($C58:FP58,$C$52:FP$52),"NaN")</f>
        <v>0.14999999403953554</v>
      </c>
      <c r="FQ73" s="487">
        <f ca="1">IFERROR(XIRR($C58:FQ58,$C$52:FQ$52),"NaN")</f>
        <v>0.14999999403953554</v>
      </c>
      <c r="FR73" s="487">
        <f ca="1">IFERROR(XIRR($C58:FR58,$C$52:FR$52),"NaN")</f>
        <v>0.14999999403953554</v>
      </c>
      <c r="FS73" s="487">
        <f ca="1">IFERROR(XIRR($C58:FS58,$C$52:FS$52),"NaN")</f>
        <v>0.14999999403953554</v>
      </c>
      <c r="FT73" s="487">
        <f ca="1">IFERROR(XIRR($C58:FT58,$C$52:FT$52),"NaN")</f>
        <v>0.14999999403953554</v>
      </c>
      <c r="FU73" s="487">
        <f ca="1">IFERROR(XIRR($C58:FU58,$C$52:FU$52),"NaN")</f>
        <v>0.14999999403953554</v>
      </c>
      <c r="FV73" s="487">
        <f ca="1">IFERROR(XIRR($C58:FV58,$C$52:FV$52),"NaN")</f>
        <v>0.14999999403953554</v>
      </c>
      <c r="FW73" s="487">
        <f ca="1">IFERROR(XIRR($C58:FW58,$C$52:FW$52),"NaN")</f>
        <v>0.14999999403953554</v>
      </c>
      <c r="FX73" s="487">
        <f ca="1">IFERROR(XIRR($C58:FX58,$C$52:FX$52),"NaN")</f>
        <v>0.14999999403953554</v>
      </c>
      <c r="FY73" s="487">
        <f ca="1">IFERROR(XIRR($C58:FY58,$C$52:FY$52),"NaN")</f>
        <v>0.14999999403953554</v>
      </c>
      <c r="FZ73" s="487">
        <f ca="1">IFERROR(XIRR($C58:FZ58,$C$52:FZ$52),"NaN")</f>
        <v>0.14999999403953554</v>
      </c>
      <c r="GA73" s="488">
        <f ca="1">IFERROR(XIRR($C58:GA58,$C$52:GA$52),"NaN")</f>
        <v>0.14999999403953554</v>
      </c>
    </row>
    <row r="74" spans="1:183" x14ac:dyDescent="0.15">
      <c r="A74" s="310" t="s">
        <v>315</v>
      </c>
      <c r="C74" s="519">
        <f ca="1">HLOOKUP(Cust_LeaseTermYears*12,$D$50:$GA$77,25,FALSE)</f>
        <v>0.14999999403953554</v>
      </c>
      <c r="D74" s="489" t="str">
        <f ca="1">IFERROR(XIRR($C62:D62,$C$52:D$52),"NaN")</f>
        <v>NaN</v>
      </c>
      <c r="E74" s="489" t="str">
        <f ca="1">IFERROR(XIRR($C62:E62,$C$52:E$52),"NaN")</f>
        <v>NaN</v>
      </c>
      <c r="F74" s="489">
        <f ca="1">IFERROR(XIRR($C62:F62,$C$52:F$52),"NaN")</f>
        <v>-0.99999978551943247</v>
      </c>
      <c r="G74" s="489">
        <f ca="1">IFERROR(XIRR($C62:G62,$C$52:G$52),"NaN")</f>
        <v>-0.9999820901075509</v>
      </c>
      <c r="H74" s="489">
        <f ca="1">IFERROR(XIRR($C62:H62,$C$52:H$52),"NaN")</f>
        <v>-0.99975341444078381</v>
      </c>
      <c r="I74" s="489">
        <f ca="1">IFERROR(XIRR($C62:I62,$C$52:I$52),"NaN")</f>
        <v>-0.99870562292635456</v>
      </c>
      <c r="J74" s="489">
        <f ca="1">IFERROR(XIRR($C62:J62,$C$52:J$52),"NaN")</f>
        <v>-0.99569863905198863</v>
      </c>
      <c r="K74" s="489">
        <f ca="1">IFERROR(XIRR($C62:K62,$C$52:K$52),"NaN")</f>
        <v>-0.98959397030994301</v>
      </c>
      <c r="L74" s="489">
        <f ca="1">IFERROR(XIRR($C62:L62,$C$52:L$52),"NaN")</f>
        <v>-0.97945751855149876</v>
      </c>
      <c r="M74" s="489">
        <f ca="1">IFERROR(XIRR($C62:M62,$C$52:M$52),"NaN")</f>
        <v>-0.9650532053783536</v>
      </c>
      <c r="N74" s="489">
        <f ca="1">IFERROR(XIRR($C62:N62,$C$52:N$52),"NaN")</f>
        <v>-0.94635221883654608</v>
      </c>
      <c r="O74" s="489">
        <f ca="1">IFERROR(XIRR($C62:O62,$C$52:O$52),"NaN")</f>
        <v>-0.92378575839102262</v>
      </c>
      <c r="P74" s="489">
        <f ca="1">IFERROR(XIRR($C62:P62,$C$52:P$52),"NaN")</f>
        <v>-0.90143119245767567</v>
      </c>
      <c r="Q74" s="489">
        <f ca="1">IFERROR(XIRR($C62:Q62,$C$52:Q$52),"NaN")</f>
        <v>-0.87655058242380612</v>
      </c>
      <c r="R74" s="489">
        <f ca="1">IFERROR(XIRR($C62:R62,$C$52:R$52),"NaN")</f>
        <v>-0.84984216764569287</v>
      </c>
      <c r="S74" s="489">
        <f ca="1">IFERROR(XIRR($C62:S62,$C$52:S$52),"NaN")</f>
        <v>-0.82168145403265958</v>
      </c>
      <c r="T74" s="489">
        <f ca="1">IFERROR(XIRR($C62:T62,$C$52:T$52),"NaN")</f>
        <v>-0.79255369678139687</v>
      </c>
      <c r="U74" s="489">
        <f ca="1">IFERROR(XIRR($C62:U62,$C$52:U$52),"NaN")</f>
        <v>-0.76320752725005159</v>
      </c>
      <c r="V74" s="489">
        <f ca="1">IFERROR(XIRR($C62:V62,$C$52:V$52),"NaN")</f>
        <v>-0.7335793904960155</v>
      </c>
      <c r="W74" s="489">
        <f ca="1">IFERROR(XIRR($C62:W62,$C$52:W$52),"NaN")</f>
        <v>-0.70406451001763348</v>
      </c>
      <c r="X74" s="489">
        <f ca="1">IFERROR(XIRR($C62:X62,$C$52:X$52),"NaN")</f>
        <v>-0.67478644177317615</v>
      </c>
      <c r="Y74" s="489">
        <f ca="1">IFERROR(XIRR($C62:Y62,$C$52:Y$52),"NaN")</f>
        <v>-0.64601594135165219</v>
      </c>
      <c r="Z74" s="489">
        <f ca="1">IFERROR(XIRR($C62:Z62,$C$52:Z$52),"NaN")</f>
        <v>-0.61780291125178333</v>
      </c>
      <c r="AA74" s="489">
        <f ca="1">IFERROR(XIRR($C62:AA62,$C$52:AA$52),"NaN")</f>
        <v>-0.5902613587677481</v>
      </c>
      <c r="AB74" s="489">
        <f ca="1">IFERROR(XIRR($C62:AB62,$C$52:AB$52),"NaN")</f>
        <v>-0.56263895109295836</v>
      </c>
      <c r="AC74" s="489">
        <f ca="1">IFERROR(XIRR($C62:AC62,$C$52:AC$52),"NaN")</f>
        <v>-0.5359205551445485</v>
      </c>
      <c r="AD74" s="489">
        <f ca="1">IFERROR(XIRR($C62:AD62,$C$52:AD$52),"NaN")</f>
        <v>-0.51017761155962948</v>
      </c>
      <c r="AE74" s="489">
        <f ca="1">IFERROR(XIRR($C62:AE62,$C$52:AE$52),"NaN")</f>
        <v>-0.48535930588841436</v>
      </c>
      <c r="AF74" s="489">
        <f ca="1">IFERROR(XIRR($C62:AF62,$C$52:AF$52),"NaN")</f>
        <v>-0.46146655008196841</v>
      </c>
      <c r="AG74" s="489">
        <f ca="1">IFERROR(XIRR($C62:AG62,$C$52:AG$52),"NaN")</f>
        <v>-0.43856044486165058</v>
      </c>
      <c r="AH74" s="489">
        <f ca="1">IFERROR(XIRR($C62:AH62,$C$52:AH$52),"NaN")</f>
        <v>-0.41653930768370628</v>
      </c>
      <c r="AI74" s="489">
        <f ca="1">IFERROR(XIRR($C62:AI62,$C$52:AI$52),"NaN")</f>
        <v>-0.39541413560509692</v>
      </c>
      <c r="AJ74" s="489">
        <f ca="1">IFERROR(XIRR($C62:AJ62,$C$52:AJ$52),"NaN")</f>
        <v>-0.37512874975800525</v>
      </c>
      <c r="AK74" s="489">
        <f ca="1">IFERROR(XIRR($C62:AK62,$C$52:AK$52),"NaN")</f>
        <v>-0.35568227842450145</v>
      </c>
      <c r="AL74" s="489">
        <f ca="1">IFERROR(XIRR($C62:AL62,$C$52:AL$52),"NaN")</f>
        <v>-0.33702095672488225</v>
      </c>
      <c r="AM74" s="489">
        <f ca="1">IFERROR(XIRR($C62:AM62,$C$52:AM$52),"NaN")</f>
        <v>-0.31911832466721546</v>
      </c>
      <c r="AN74" s="489">
        <f ca="1">IFERROR(XIRR($C62:AN62,$C$52:AN$52),"NaN")</f>
        <v>-0.3013822846114636</v>
      </c>
      <c r="AO74" s="489">
        <f ca="1">IFERROR(XIRR($C62:AO62,$C$52:AO$52),"NaN")</f>
        <v>-0.284408488124609</v>
      </c>
      <c r="AP74" s="489">
        <f ca="1">IFERROR(XIRR($C62:AP62,$C$52:AP$52),"NaN")</f>
        <v>-0.26817453876137737</v>
      </c>
      <c r="AQ74" s="489">
        <f ca="1">IFERROR(XIRR($C62:AQ62,$C$52:AQ$52),"NaN")</f>
        <v>-0.25262946113944063</v>
      </c>
      <c r="AR74" s="489">
        <f ca="1">IFERROR(XIRR($C62:AR62,$C$52:AR$52),"NaN")</f>
        <v>-0.23774081394076352</v>
      </c>
      <c r="AS74" s="489">
        <f ca="1">IFERROR(XIRR($C62:AS62,$C$52:AS$52),"NaN")</f>
        <v>-0.22350611612200738</v>
      </c>
      <c r="AT74" s="489">
        <f ca="1">IFERROR(XIRR($C62:AT62,$C$52:AT$52),"NaN")</f>
        <v>-0.20986021682620049</v>
      </c>
      <c r="AU74" s="489">
        <f ca="1">IFERROR(XIRR($C62:AU62,$C$52:AU$52),"NaN")</f>
        <v>-0.19678341522812842</v>
      </c>
      <c r="AV74" s="489">
        <f ca="1">IFERROR(XIRR($C62:AV62,$C$52:AV$52),"NaN")</f>
        <v>-0.1842401184141636</v>
      </c>
      <c r="AW74" s="489">
        <f ca="1">IFERROR(XIRR($C62:AW62,$C$52:AW$52),"NaN")</f>
        <v>-0.17221155092120166</v>
      </c>
      <c r="AX74" s="489">
        <f ca="1">IFERROR(XIRR($C62:AX62,$C$52:AX$52),"NaN")</f>
        <v>-0.1606665220111608</v>
      </c>
      <c r="AY74" s="489">
        <f ca="1">IFERROR(XIRR($C62:AY62,$C$52:AY$52),"NaN")</f>
        <v>-0.14958258830010893</v>
      </c>
      <c r="AZ74" s="489">
        <f ca="1">IFERROR(XIRR($C62:AZ62,$C$52:AZ$52),"NaN")</f>
        <v>-0.1385787721723318</v>
      </c>
      <c r="BA74" s="489">
        <f ca="1">IFERROR(XIRR($C62:BA62,$C$52:BA$52),"NaN")</f>
        <v>-0.1280259225517511</v>
      </c>
      <c r="BB74" s="489">
        <f ca="1">IFERROR(XIRR($C62:BB62,$C$52:BB$52),"NaN")</f>
        <v>-0.11790460683405399</v>
      </c>
      <c r="BC74" s="489">
        <f ca="1">IFERROR(XIRR($C62:BC62,$C$52:BC$52),"NaN")</f>
        <v>-0.10818910934031009</v>
      </c>
      <c r="BD74" s="489">
        <f ca="1">IFERROR(XIRR($C62:BD62,$C$52:BD$52),"NaN")</f>
        <v>-9.8859399557113675E-2</v>
      </c>
      <c r="BE74" s="489">
        <f ca="1">IFERROR(XIRR($C62:BE62,$C$52:BE$52),"NaN")</f>
        <v>-8.9903375506401081E-2</v>
      </c>
      <c r="BF74" s="489">
        <f ca="1">IFERROR(XIRR($C62:BF62,$C$52:BF$52),"NaN")</f>
        <v>-8.1294605135917672E-2</v>
      </c>
      <c r="BG74" s="489">
        <f ca="1">IFERROR(XIRR($C62:BG62,$C$52:BG$52),"NaN")</f>
        <v>-7.3018303513526936E-2</v>
      </c>
      <c r="BH74" s="489">
        <f ca="1">IFERROR(XIRR($C62:BH62,$C$52:BH$52),"NaN")</f>
        <v>-6.5056708455085752E-2</v>
      </c>
      <c r="BI74" s="489">
        <f ca="1">IFERROR(XIRR($C62:BI62,$C$52:BI$52),"NaN")</f>
        <v>-5.739639103412629E-2</v>
      </c>
      <c r="BJ74" s="489">
        <f ca="1">IFERROR(XIRR($C62:BJ62,$C$52:BJ$52),"NaN")</f>
        <v>-5.0021865963935846E-2</v>
      </c>
      <c r="BK74" s="489">
        <f ca="1">IFERROR(XIRR($C62:BK62,$C$52:BK$52),"NaN")</f>
        <v>-4.2920085787773135E-2</v>
      </c>
      <c r="BL74" s="489">
        <f ca="1">IFERROR(XIRR($C62:BL62,$C$52:BL$52),"NaN")</f>
        <v>-3.5843935608863842E-2</v>
      </c>
      <c r="BM74" s="489">
        <f ca="1">IFERROR(XIRR($C62:BM62,$C$52:BM$52),"NaN")</f>
        <v>-2.9033902287483218E-2</v>
      </c>
      <c r="BN74" s="489">
        <f ca="1">IFERROR(XIRR($C62:BN62,$C$52:BN$52),"NaN")</f>
        <v>-2.2477725148200994E-2</v>
      </c>
      <c r="BO74" s="489">
        <f ca="1">IFERROR(XIRR($C62:BO62,$C$52:BO$52),"NaN")</f>
        <v>-1.6162839531898499E-2</v>
      </c>
      <c r="BP74" s="489">
        <f ca="1">IFERROR(XIRR($C62:BP62,$C$52:BP$52),"NaN")</f>
        <v>-1.0078069567680363E-2</v>
      </c>
      <c r="BQ74" s="489">
        <f ca="1">IFERROR(XIRR($C62:BQ62,$C$52:BQ$52),"NaN")</f>
        <v>-4.2130619287490852E-3</v>
      </c>
      <c r="BR74" s="489">
        <f ca="1">IFERROR(XIRR($C62:BR62,$C$52:BR$52),"NaN")</f>
        <v>1.4428585767745975E-3</v>
      </c>
      <c r="BS74" s="489">
        <f ca="1">IFERROR(XIRR($C62:BS62,$C$52:BS$52),"NaN")</f>
        <v>6.8991094827651981E-3</v>
      </c>
      <c r="BT74" s="489">
        <f ca="1">IFERROR(XIRR($C62:BT62,$C$52:BT$52),"NaN")</f>
        <v>1.2164553999900816E-2</v>
      </c>
      <c r="BU74" s="489">
        <f ca="1">IFERROR(XIRR($C62:BU62,$C$52:BU$52),"NaN")</f>
        <v>1.7247727513313296E-2</v>
      </c>
      <c r="BV74" s="489">
        <f ca="1">IFERROR(XIRR($C62:BV62,$C$52:BV$52),"NaN")</f>
        <v>2.2156402468681339E-2</v>
      </c>
      <c r="BW74" s="489">
        <f ca="1">IFERROR(XIRR($C62:BW62,$C$52:BW$52),"NaN")</f>
        <v>2.6898023486137391E-2</v>
      </c>
      <c r="BX74" s="489">
        <f ca="1">IFERROR(XIRR($C62:BX62,$C$52:BX$52),"NaN")</f>
        <v>3.1638440489768979E-2</v>
      </c>
      <c r="BY74" s="489">
        <f ca="1">IFERROR(XIRR($C62:BY62,$C$52:BY$52),"NaN")</f>
        <v>3.6215469241142287E-2</v>
      </c>
      <c r="BZ74" s="489">
        <f ca="1">IFERROR(XIRR($C62:BZ62,$C$52:BZ$52),"NaN")</f>
        <v>4.0636727213859566E-2</v>
      </c>
      <c r="CA74" s="489">
        <f ca="1">IFERROR(XIRR($C62:CA62,$C$52:CA$52),"NaN")</f>
        <v>4.4908556342124956E-2</v>
      </c>
      <c r="CB74" s="489">
        <f ca="1">IFERROR(XIRR($C62:CB62,$C$52:CB$52),"NaN")</f>
        <v>4.903732836246491E-2</v>
      </c>
      <c r="CC74" s="489">
        <f ca="1">IFERROR(XIRR($C62:CC62,$C$52:CC$52),"NaN")</f>
        <v>5.3030201792716988E-2</v>
      </c>
      <c r="CD74" s="489">
        <f ca="1">IFERROR(XIRR($C62:CD62,$C$52:CD$52),"NaN")</f>
        <v>5.6891861557960513E-2</v>
      </c>
      <c r="CE74" s="489">
        <f ca="1">IFERROR(XIRR($C62:CE62,$C$52:CE$52),"NaN")</f>
        <v>6.0628315806388861E-2</v>
      </c>
      <c r="CF74" s="489">
        <f ca="1">IFERROR(XIRR($C62:CF62,$C$52:CF$52),"NaN")</f>
        <v>6.4244136214256273E-2</v>
      </c>
      <c r="CG74" s="489">
        <f ca="1">IFERROR(XIRR($C62:CG62,$C$52:CG$52),"NaN")</f>
        <v>6.7744806408882155E-2</v>
      </c>
      <c r="CH74" s="489">
        <f ca="1">IFERROR(XIRR($C62:CH62,$C$52:CH$52),"NaN")</f>
        <v>7.1134361624717715E-2</v>
      </c>
      <c r="CI74" s="489">
        <f ca="1">IFERROR(XIRR($C62:CI62,$C$52:CI$52),"NaN")</f>
        <v>7.4417200684547435E-2</v>
      </c>
      <c r="CJ74" s="489">
        <f ca="1">IFERROR(XIRR($C62:CJ62,$C$52:CJ$52),"NaN")</f>
        <v>7.7708455920219424E-2</v>
      </c>
      <c r="CK74" s="489">
        <f ca="1">IFERROR(XIRR($C62:CK62,$C$52:CK$52),"NaN")</f>
        <v>8.089500963687897E-2</v>
      </c>
      <c r="CL74" s="489">
        <f ca="1">IFERROR(XIRR($C62:CL62,$C$52:CL$52),"NaN")</f>
        <v>8.398173153400422E-2</v>
      </c>
      <c r="CM74" s="489">
        <f ca="1">IFERROR(XIRR($C62:CM62,$C$52:CM$52),"NaN")</f>
        <v>8.6971953511238112E-2</v>
      </c>
      <c r="CN74" s="489">
        <f ca="1">IFERROR(XIRR($C62:CN62,$C$52:CN$52),"NaN")</f>
        <v>8.9869466423988353E-2</v>
      </c>
      <c r="CO74" s="489">
        <f ca="1">IFERROR(XIRR($C62:CO62,$C$52:CO$52),"NaN")</f>
        <v>9.2679896950721735E-2</v>
      </c>
      <c r="CP74" s="489">
        <f ca="1">IFERROR(XIRR($C62:CP62,$C$52:CP$52),"NaN")</f>
        <v>9.5404663681983956E-2</v>
      </c>
      <c r="CQ74" s="489">
        <f ca="1">IFERROR(XIRR($C62:CQ62,$C$52:CQ$52),"NaN")</f>
        <v>9.8047679662704473E-2</v>
      </c>
      <c r="CR74" s="489">
        <f ca="1">IFERROR(XIRR($C62:CR62,$C$52:CR$52),"NaN")</f>
        <v>0.10061140656471254</v>
      </c>
      <c r="CS74" s="489">
        <f ca="1">IFERROR(XIRR($C62:CS62,$C$52:CS$52),"NaN")</f>
        <v>0.1030994474887848</v>
      </c>
      <c r="CT74" s="489">
        <f ca="1">IFERROR(XIRR($C62:CT62,$C$52:CT$52),"NaN")</f>
        <v>0.10551396012306213</v>
      </c>
      <c r="CU74" s="489">
        <f ca="1">IFERROR(XIRR($C62:CU62,$C$52:CU$52),"NaN")</f>
        <v>0.1078576385974884</v>
      </c>
      <c r="CV74" s="489">
        <f ca="1">IFERROR(XIRR($C62:CV62,$C$52:CV$52),"NaN")</f>
        <v>0.11021283268928528</v>
      </c>
      <c r="CW74" s="489">
        <f ca="1">IFERROR(XIRR($C62:CW62,$C$52:CW$52),"NaN")</f>
        <v>0.11249832510948182</v>
      </c>
      <c r="CX74" s="489">
        <f ca="1">IFERROR(XIRR($C62:CX62,$C$52:CX$52),"NaN")</f>
        <v>0.11471734642982484</v>
      </c>
      <c r="CY74" s="489">
        <f ca="1">IFERROR(XIRR($C62:CY62,$C$52:CY$52),"NaN")</f>
        <v>0.11687168478965759</v>
      </c>
      <c r="CZ74" s="489">
        <f ca="1">IFERROR(XIRR($C62:CZ62,$C$52:CZ$52),"NaN")</f>
        <v>0.11896371245384216</v>
      </c>
      <c r="DA74" s="489">
        <f ca="1">IFERROR(XIRR($C62:DA62,$C$52:DA$52),"NaN")</f>
        <v>0.12099754214286804</v>
      </c>
      <c r="DB74" s="489">
        <f ca="1">IFERROR(XIRR($C62:DB62,$C$52:DB$52),"NaN")</f>
        <v>0.12297340035438539</v>
      </c>
      <c r="DC74" s="489">
        <f ca="1">IFERROR(XIRR($C62:DC62,$C$52:DC$52),"NaN")</f>
        <v>0.12489394545555116</v>
      </c>
      <c r="DD74" s="489">
        <f ca="1">IFERROR(XIRR($C62:DD62,$C$52:DD$52),"NaN")</f>
        <v>0.12676052451133732</v>
      </c>
      <c r="DE74" s="489">
        <f ca="1">IFERROR(XIRR($C62:DE62,$C$52:DE$52),"NaN")</f>
        <v>0.12857558131217953</v>
      </c>
      <c r="DF74" s="489">
        <f ca="1">IFERROR(XIRR($C62:DF62,$C$52:DF$52),"NaN")</f>
        <v>0.1303403198719025</v>
      </c>
      <c r="DG74" s="489">
        <f ca="1">IFERROR(XIRR($C62:DG62,$C$52:DG$52),"NaN")</f>
        <v>0.13205644488334656</v>
      </c>
      <c r="DH74" s="489">
        <f ca="1">IFERROR(XIRR($C62:DH62,$C$52:DH$52),"NaN")</f>
        <v>0.13378432393074036</v>
      </c>
      <c r="DI74" s="489">
        <f ca="1">IFERROR(XIRR($C62:DI62,$C$52:DI$52),"NaN")</f>
        <v>0.13546424508094793</v>
      </c>
      <c r="DJ74" s="489">
        <f ca="1">IFERROR(XIRR($C62:DJ62,$C$52:DJ$52),"NaN")</f>
        <v>0.13709841370582582</v>
      </c>
      <c r="DK74" s="489">
        <f ca="1">IFERROR(XIRR($C62:DK62,$C$52:DK$52),"NaN")</f>
        <v>0.13868783116340636</v>
      </c>
      <c r="DL74" s="489">
        <f ca="1">IFERROR(XIRR($C62:DL62,$C$52:DL$52),"NaN")</f>
        <v>0.14023401141166686</v>
      </c>
      <c r="DM74" s="489">
        <f ca="1">IFERROR(XIRR($C62:DM62,$C$52:DM$52),"NaN")</f>
        <v>0.14174003005027774</v>
      </c>
      <c r="DN74" s="489">
        <f ca="1">IFERROR(XIRR($C62:DN62,$C$52:DN$52),"NaN")</f>
        <v>0.14320561289787295</v>
      </c>
      <c r="DO74" s="489">
        <f ca="1">IFERROR(XIRR($C62:DO62,$C$52:DO$52),"NaN")</f>
        <v>0.14463259577751156</v>
      </c>
      <c r="DP74" s="489">
        <f ca="1">IFERROR(XIRR($C62:DP62,$C$52:DP$52),"NaN")</f>
        <v>0.14602175354957586</v>
      </c>
      <c r="DQ74" s="489">
        <f ca="1">IFERROR(XIRR($C62:DQ62,$C$52:DQ$52),"NaN")</f>
        <v>0.14737479090690617</v>
      </c>
      <c r="DR74" s="489">
        <f ca="1">IFERROR(XIRR($C62:DR62,$C$52:DR$52),"NaN")</f>
        <v>0.14869237542152411</v>
      </c>
      <c r="DS74" s="489">
        <f ca="1">IFERROR(XIRR($C62:DS62,$C$52:DS$52),"NaN")</f>
        <v>0.14999999403953554</v>
      </c>
      <c r="DT74" s="489">
        <f ca="1">IFERROR(XIRR($C62:DT62,$C$52:DT$52),"NaN")</f>
        <v>0.14999999403953554</v>
      </c>
      <c r="DU74" s="489">
        <f ca="1">IFERROR(XIRR($C62:DU62,$C$52:DU$52),"NaN")</f>
        <v>0.14999999403953554</v>
      </c>
      <c r="DV74" s="489">
        <f ca="1">IFERROR(XIRR($C62:DV62,$C$52:DV$52),"NaN")</f>
        <v>0.14999999403953554</v>
      </c>
      <c r="DW74" s="489">
        <f ca="1">IFERROR(XIRR($C62:DW62,$C$52:DW$52),"NaN")</f>
        <v>0.14999999403953554</v>
      </c>
      <c r="DX74" s="489">
        <f ca="1">IFERROR(XIRR($C62:DX62,$C$52:DX$52),"NaN")</f>
        <v>0.14999999403953554</v>
      </c>
      <c r="DY74" s="489">
        <f ca="1">IFERROR(XIRR($C62:DY62,$C$52:DY$52),"NaN")</f>
        <v>0.14999999403953554</v>
      </c>
      <c r="DZ74" s="489">
        <f ca="1">IFERROR(XIRR($C62:DZ62,$C$52:DZ$52),"NaN")</f>
        <v>0.14999999403953554</v>
      </c>
      <c r="EA74" s="489">
        <f ca="1">IFERROR(XIRR($C62:EA62,$C$52:EA$52),"NaN")</f>
        <v>0.14999999403953554</v>
      </c>
      <c r="EB74" s="489">
        <f ca="1">IFERROR(XIRR($C62:EB62,$C$52:EB$52),"NaN")</f>
        <v>0.14999999403953554</v>
      </c>
      <c r="EC74" s="489">
        <f ca="1">IFERROR(XIRR($C62:EC62,$C$52:EC$52),"NaN")</f>
        <v>0.14999999403953554</v>
      </c>
      <c r="ED74" s="489">
        <f ca="1">IFERROR(XIRR($C62:ED62,$C$52:ED$52),"NaN")</f>
        <v>0.14999999403953554</v>
      </c>
      <c r="EE74" s="489">
        <f ca="1">IFERROR(XIRR($C62:EE62,$C$52:EE$52),"NaN")</f>
        <v>0.14999999403953554</v>
      </c>
      <c r="EF74" s="489">
        <f ca="1">IFERROR(XIRR($C62:EF62,$C$52:EF$52),"NaN")</f>
        <v>0.14999999403953554</v>
      </c>
      <c r="EG74" s="489">
        <f ca="1">IFERROR(XIRR($C62:EG62,$C$52:EG$52),"NaN")</f>
        <v>0.14999999403953554</v>
      </c>
      <c r="EH74" s="489">
        <f ca="1">IFERROR(XIRR($C62:EH62,$C$52:EH$52),"NaN")</f>
        <v>0.14999999403953554</v>
      </c>
      <c r="EI74" s="489">
        <f ca="1">IFERROR(XIRR($C62:EI62,$C$52:EI$52),"NaN")</f>
        <v>0.14999999403953554</v>
      </c>
      <c r="EJ74" s="489">
        <f ca="1">IFERROR(XIRR($C62:EJ62,$C$52:EJ$52),"NaN")</f>
        <v>0.14999999403953554</v>
      </c>
      <c r="EK74" s="489">
        <f ca="1">IFERROR(XIRR($C62:EK62,$C$52:EK$52),"NaN")</f>
        <v>0.14999999403953554</v>
      </c>
      <c r="EL74" s="489">
        <f ca="1">IFERROR(XIRR($C62:EL62,$C$52:EL$52),"NaN")</f>
        <v>0.14999999403953554</v>
      </c>
      <c r="EM74" s="489">
        <f ca="1">IFERROR(XIRR($C62:EM62,$C$52:EM$52),"NaN")</f>
        <v>0.14999999403953554</v>
      </c>
      <c r="EN74" s="489">
        <f ca="1">IFERROR(XIRR($C62:EN62,$C$52:EN$52),"NaN")</f>
        <v>0.14999999403953554</v>
      </c>
      <c r="EO74" s="489">
        <f ca="1">IFERROR(XIRR($C62:EO62,$C$52:EO$52),"NaN")</f>
        <v>0.14999999403953554</v>
      </c>
      <c r="EP74" s="489">
        <f ca="1">IFERROR(XIRR($C62:EP62,$C$52:EP$52),"NaN")</f>
        <v>0.14999999403953554</v>
      </c>
      <c r="EQ74" s="489">
        <f ca="1">IFERROR(XIRR($C62:EQ62,$C$52:EQ$52),"NaN")</f>
        <v>0.14999999403953554</v>
      </c>
      <c r="ER74" s="489">
        <f ca="1">IFERROR(XIRR($C62:ER62,$C$52:ER$52),"NaN")</f>
        <v>0.14999999403953554</v>
      </c>
      <c r="ES74" s="489">
        <f ca="1">IFERROR(XIRR($C62:ES62,$C$52:ES$52),"NaN")</f>
        <v>0.14999999403953554</v>
      </c>
      <c r="ET74" s="489">
        <f ca="1">IFERROR(XIRR($C62:ET62,$C$52:ET$52),"NaN")</f>
        <v>0.14999999403953554</v>
      </c>
      <c r="EU74" s="489">
        <f ca="1">IFERROR(XIRR($C62:EU62,$C$52:EU$52),"NaN")</f>
        <v>0.14999999403953554</v>
      </c>
      <c r="EV74" s="489">
        <f ca="1">IFERROR(XIRR($C62:EV62,$C$52:EV$52),"NaN")</f>
        <v>0.14999999403953554</v>
      </c>
      <c r="EW74" s="489">
        <f ca="1">IFERROR(XIRR($C62:EW62,$C$52:EW$52),"NaN")</f>
        <v>0.14999999403953554</v>
      </c>
      <c r="EX74" s="489">
        <f ca="1">IFERROR(XIRR($C62:EX62,$C$52:EX$52),"NaN")</f>
        <v>0.14999999403953554</v>
      </c>
      <c r="EY74" s="489">
        <f ca="1">IFERROR(XIRR($C62:EY62,$C$52:EY$52),"NaN")</f>
        <v>0.14999999403953554</v>
      </c>
      <c r="EZ74" s="489">
        <f ca="1">IFERROR(XIRR($C62:EZ62,$C$52:EZ$52),"NaN")</f>
        <v>0.14999999403953554</v>
      </c>
      <c r="FA74" s="489">
        <f ca="1">IFERROR(XIRR($C62:FA62,$C$52:FA$52),"NaN")</f>
        <v>0.14999999403953554</v>
      </c>
      <c r="FB74" s="489">
        <f ca="1">IFERROR(XIRR($C62:FB62,$C$52:FB$52),"NaN")</f>
        <v>0.14999999403953554</v>
      </c>
      <c r="FC74" s="489">
        <f ca="1">IFERROR(XIRR($C62:FC62,$C$52:FC$52),"NaN")</f>
        <v>0.14999999403953554</v>
      </c>
      <c r="FD74" s="489">
        <f ca="1">IFERROR(XIRR($C62:FD62,$C$52:FD$52),"NaN")</f>
        <v>0.14999999403953554</v>
      </c>
      <c r="FE74" s="489">
        <f ca="1">IFERROR(XIRR($C62:FE62,$C$52:FE$52),"NaN")</f>
        <v>0.14999999403953554</v>
      </c>
      <c r="FF74" s="489">
        <f ca="1">IFERROR(XIRR($C62:FF62,$C$52:FF$52),"NaN")</f>
        <v>0.14999999403953554</v>
      </c>
      <c r="FG74" s="489">
        <f ca="1">IFERROR(XIRR($C62:FG62,$C$52:FG$52),"NaN")</f>
        <v>0.14999999403953554</v>
      </c>
      <c r="FH74" s="489">
        <f ca="1">IFERROR(XIRR($C62:FH62,$C$52:FH$52),"NaN")</f>
        <v>0.14999999403953554</v>
      </c>
      <c r="FI74" s="489">
        <f ca="1">IFERROR(XIRR($C62:FI62,$C$52:FI$52),"NaN")</f>
        <v>0.14999999403953554</v>
      </c>
      <c r="FJ74" s="489">
        <f ca="1">IFERROR(XIRR($C62:FJ62,$C$52:FJ$52),"NaN")</f>
        <v>0.14999999403953554</v>
      </c>
      <c r="FK74" s="489">
        <f ca="1">IFERROR(XIRR($C62:FK62,$C$52:FK$52),"NaN")</f>
        <v>0.14999999403953554</v>
      </c>
      <c r="FL74" s="489">
        <f ca="1">IFERROR(XIRR($C62:FL62,$C$52:FL$52),"NaN")</f>
        <v>0.14999999403953554</v>
      </c>
      <c r="FM74" s="489">
        <f ca="1">IFERROR(XIRR($C62:FM62,$C$52:FM$52),"NaN")</f>
        <v>0.14999999403953554</v>
      </c>
      <c r="FN74" s="489">
        <f ca="1">IFERROR(XIRR($C62:FN62,$C$52:FN$52),"NaN")</f>
        <v>0.14999999403953554</v>
      </c>
      <c r="FO74" s="489">
        <f ca="1">IFERROR(XIRR($C62:FO62,$C$52:FO$52),"NaN")</f>
        <v>0.14999999403953554</v>
      </c>
      <c r="FP74" s="489">
        <f ca="1">IFERROR(XIRR($C62:FP62,$C$52:FP$52),"NaN")</f>
        <v>0.14999999403953554</v>
      </c>
      <c r="FQ74" s="489">
        <f ca="1">IFERROR(XIRR($C62:FQ62,$C$52:FQ$52),"NaN")</f>
        <v>0.14999999403953554</v>
      </c>
      <c r="FR74" s="489">
        <f ca="1">IFERROR(XIRR($C62:FR62,$C$52:FR$52),"NaN")</f>
        <v>0.14999999403953554</v>
      </c>
      <c r="FS74" s="489">
        <f ca="1">IFERROR(XIRR($C62:FS62,$C$52:FS$52),"NaN")</f>
        <v>0.14999999403953554</v>
      </c>
      <c r="FT74" s="489">
        <f ca="1">IFERROR(XIRR($C62:FT62,$C$52:FT$52),"NaN")</f>
        <v>0.14999999403953554</v>
      </c>
      <c r="FU74" s="489">
        <f ca="1">IFERROR(XIRR($C62:FU62,$C$52:FU$52),"NaN")</f>
        <v>0.14999999403953554</v>
      </c>
      <c r="FV74" s="489">
        <f ca="1">IFERROR(XIRR($C62:FV62,$C$52:FV$52),"NaN")</f>
        <v>0.14999999403953554</v>
      </c>
      <c r="FW74" s="489">
        <f ca="1">IFERROR(XIRR($C62:FW62,$C$52:FW$52),"NaN")</f>
        <v>0.14999999403953554</v>
      </c>
      <c r="FX74" s="489">
        <f ca="1">IFERROR(XIRR($C62:FX62,$C$52:FX$52),"NaN")</f>
        <v>0.14999999403953554</v>
      </c>
      <c r="FY74" s="489">
        <f ca="1">IFERROR(XIRR($C62:FY62,$C$52:FY$52),"NaN")</f>
        <v>0.14999999403953554</v>
      </c>
      <c r="FZ74" s="489">
        <f ca="1">IFERROR(XIRR($C62:FZ62,$C$52:FZ$52),"NaN")</f>
        <v>0.14999999403953554</v>
      </c>
      <c r="GA74" s="490">
        <f ca="1">IFERROR(XIRR($C62:GA62,$C$52:GA$52),"NaN")</f>
        <v>0.14999999403953554</v>
      </c>
    </row>
    <row r="75" spans="1:183" x14ac:dyDescent="0.15">
      <c r="A75" s="310" t="s">
        <v>852</v>
      </c>
      <c r="C75" s="519" t="str">
        <f ca="1">HLOOKUP(Cust_LeaseTermYears*12,$D$50:$GA$77,26,FALSE)</f>
        <v>NaN</v>
      </c>
      <c r="D75" s="489" t="str">
        <f ca="1">IFERROR(XIRR($C66:D66,$C$52:D$52),"NaN")</f>
        <v>NaN</v>
      </c>
      <c r="E75" s="489" t="str">
        <f ca="1">IFERROR(XIRR($C66:E66,$C$52:E$52),"NaN")</f>
        <v>NaN</v>
      </c>
      <c r="F75" s="489" t="str">
        <f ca="1">IFERROR(XIRR($C66:F66,$C$52:F$52),"NaN")</f>
        <v>NaN</v>
      </c>
      <c r="G75" s="489" t="str">
        <f ca="1">IFERROR(XIRR($C66:G66,$C$52:G$52),"NaN")</f>
        <v>NaN</v>
      </c>
      <c r="H75" s="489" t="str">
        <f ca="1">IFERROR(XIRR($C66:H66,$C$52:H$52),"NaN")</f>
        <v>NaN</v>
      </c>
      <c r="I75" s="489" t="str">
        <f ca="1">IFERROR(XIRR($C66:I66,$C$52:I$52),"NaN")</f>
        <v>NaN</v>
      </c>
      <c r="J75" s="489" t="str">
        <f ca="1">IFERROR(XIRR($C66:J66,$C$52:J$52),"NaN")</f>
        <v>NaN</v>
      </c>
      <c r="K75" s="489" t="str">
        <f ca="1">IFERROR(XIRR($C66:K66,$C$52:K$52),"NaN")</f>
        <v>NaN</v>
      </c>
      <c r="L75" s="489" t="str">
        <f ca="1">IFERROR(XIRR($C66:L66,$C$52:L$52),"NaN")</f>
        <v>NaN</v>
      </c>
      <c r="M75" s="489" t="str">
        <f ca="1">IFERROR(XIRR($C66:M66,$C$52:M$52),"NaN")</f>
        <v>NaN</v>
      </c>
      <c r="N75" s="489" t="str">
        <f ca="1">IFERROR(XIRR($C66:N66,$C$52:N$52),"NaN")</f>
        <v>NaN</v>
      </c>
      <c r="O75" s="489" t="str">
        <f ca="1">IFERROR(XIRR($C66:O66,$C$52:O$52),"NaN")</f>
        <v>NaN</v>
      </c>
      <c r="P75" s="489" t="str">
        <f ca="1">IFERROR(XIRR($C66:P66,$C$52:P$52),"NaN")</f>
        <v>NaN</v>
      </c>
      <c r="Q75" s="489" t="str">
        <f ca="1">IFERROR(XIRR($C66:Q66,$C$52:Q$52),"NaN")</f>
        <v>NaN</v>
      </c>
      <c r="R75" s="489" t="str">
        <f ca="1">IFERROR(XIRR($C66:R66,$C$52:R$52),"NaN")</f>
        <v>NaN</v>
      </c>
      <c r="S75" s="489" t="str">
        <f ca="1">IFERROR(XIRR($C66:S66,$C$52:S$52),"NaN")</f>
        <v>NaN</v>
      </c>
      <c r="T75" s="489" t="str">
        <f ca="1">IFERROR(XIRR($C66:T66,$C$52:T$52),"NaN")</f>
        <v>NaN</v>
      </c>
      <c r="U75" s="489" t="str">
        <f ca="1">IFERROR(XIRR($C66:U66,$C$52:U$52),"NaN")</f>
        <v>NaN</v>
      </c>
      <c r="V75" s="489" t="str">
        <f ca="1">IFERROR(XIRR($C66:V66,$C$52:V$52),"NaN")</f>
        <v>NaN</v>
      </c>
      <c r="W75" s="489" t="str">
        <f ca="1">IFERROR(XIRR($C66:W66,$C$52:W$52),"NaN")</f>
        <v>NaN</v>
      </c>
      <c r="X75" s="489" t="str">
        <f ca="1">IFERROR(XIRR($C66:X66,$C$52:X$52),"NaN")</f>
        <v>NaN</v>
      </c>
      <c r="Y75" s="489" t="str">
        <f ca="1">IFERROR(XIRR($C66:Y66,$C$52:Y$52),"NaN")</f>
        <v>NaN</v>
      </c>
      <c r="Z75" s="489" t="str">
        <f ca="1">IFERROR(XIRR($C66:Z66,$C$52:Z$52),"NaN")</f>
        <v>NaN</v>
      </c>
      <c r="AA75" s="489" t="str">
        <f ca="1">IFERROR(XIRR($C66:AA66,$C$52:AA$52),"NaN")</f>
        <v>NaN</v>
      </c>
      <c r="AB75" s="489" t="str">
        <f ca="1">IFERROR(XIRR($C66:AB66,$C$52:AB$52),"NaN")</f>
        <v>NaN</v>
      </c>
      <c r="AC75" s="489" t="str">
        <f ca="1">IFERROR(XIRR($C66:AC66,$C$52:AC$52),"NaN")</f>
        <v>NaN</v>
      </c>
      <c r="AD75" s="489" t="str">
        <f ca="1">IFERROR(XIRR($C66:AD66,$C$52:AD$52),"NaN")</f>
        <v>NaN</v>
      </c>
      <c r="AE75" s="489" t="str">
        <f ca="1">IFERROR(XIRR($C66:AE66,$C$52:AE$52),"NaN")</f>
        <v>NaN</v>
      </c>
      <c r="AF75" s="489" t="str">
        <f ca="1">IFERROR(XIRR($C66:AF66,$C$52:AF$52),"NaN")</f>
        <v>NaN</v>
      </c>
      <c r="AG75" s="489" t="str">
        <f ca="1">IFERROR(XIRR($C66:AG66,$C$52:AG$52),"NaN")</f>
        <v>NaN</v>
      </c>
      <c r="AH75" s="489" t="str">
        <f ca="1">IFERROR(XIRR($C66:AH66,$C$52:AH$52),"NaN")</f>
        <v>NaN</v>
      </c>
      <c r="AI75" s="489" t="str">
        <f ca="1">IFERROR(XIRR($C66:AI66,$C$52:AI$52),"NaN")</f>
        <v>NaN</v>
      </c>
      <c r="AJ75" s="489" t="str">
        <f ca="1">IFERROR(XIRR($C66:AJ66,$C$52:AJ$52),"NaN")</f>
        <v>NaN</v>
      </c>
      <c r="AK75" s="489" t="str">
        <f ca="1">IFERROR(XIRR($C66:AK66,$C$52:AK$52),"NaN")</f>
        <v>NaN</v>
      </c>
      <c r="AL75" s="489" t="str">
        <f ca="1">IFERROR(XIRR($C66:AL66,$C$52:AL$52),"NaN")</f>
        <v>NaN</v>
      </c>
      <c r="AM75" s="489" t="str">
        <f ca="1">IFERROR(XIRR($C66:AM66,$C$52:AM$52),"NaN")</f>
        <v>NaN</v>
      </c>
      <c r="AN75" s="489" t="str">
        <f ca="1">IFERROR(XIRR($C66:AN66,$C$52:AN$52),"NaN")</f>
        <v>NaN</v>
      </c>
      <c r="AO75" s="489" t="str">
        <f ca="1">IFERROR(XIRR($C66:AO66,$C$52:AO$52),"NaN")</f>
        <v>NaN</v>
      </c>
      <c r="AP75" s="489" t="str">
        <f ca="1">IFERROR(XIRR($C66:AP66,$C$52:AP$52),"NaN")</f>
        <v>NaN</v>
      </c>
      <c r="AQ75" s="489" t="str">
        <f ca="1">IFERROR(XIRR($C66:AQ66,$C$52:AQ$52),"NaN")</f>
        <v>NaN</v>
      </c>
      <c r="AR75" s="489" t="str">
        <f ca="1">IFERROR(XIRR($C66:AR66,$C$52:AR$52),"NaN")</f>
        <v>NaN</v>
      </c>
      <c r="AS75" s="489" t="str">
        <f ca="1">IFERROR(XIRR($C66:AS66,$C$52:AS$52),"NaN")</f>
        <v>NaN</v>
      </c>
      <c r="AT75" s="489" t="str">
        <f ca="1">IFERROR(XIRR($C66:AT66,$C$52:AT$52),"NaN")</f>
        <v>NaN</v>
      </c>
      <c r="AU75" s="489" t="str">
        <f ca="1">IFERROR(XIRR($C66:AU66,$C$52:AU$52),"NaN")</f>
        <v>NaN</v>
      </c>
      <c r="AV75" s="489" t="str">
        <f ca="1">IFERROR(XIRR($C66:AV66,$C$52:AV$52),"NaN")</f>
        <v>NaN</v>
      </c>
      <c r="AW75" s="489" t="str">
        <f ca="1">IFERROR(XIRR($C66:AW66,$C$52:AW$52),"NaN")</f>
        <v>NaN</v>
      </c>
      <c r="AX75" s="489" t="str">
        <f ca="1">IFERROR(XIRR($C66:AX66,$C$52:AX$52),"NaN")</f>
        <v>NaN</v>
      </c>
      <c r="AY75" s="489" t="str">
        <f ca="1">IFERROR(XIRR($C66:AY66,$C$52:AY$52),"NaN")</f>
        <v>NaN</v>
      </c>
      <c r="AZ75" s="489" t="str">
        <f ca="1">IFERROR(XIRR($C66:AZ66,$C$52:AZ$52),"NaN")</f>
        <v>NaN</v>
      </c>
      <c r="BA75" s="489" t="str">
        <f ca="1">IFERROR(XIRR($C66:BA66,$C$52:BA$52),"NaN")</f>
        <v>NaN</v>
      </c>
      <c r="BB75" s="489" t="str">
        <f ca="1">IFERROR(XIRR($C66:BB66,$C$52:BB$52),"NaN")</f>
        <v>NaN</v>
      </c>
      <c r="BC75" s="489" t="str">
        <f ca="1">IFERROR(XIRR($C66:BC66,$C$52:BC$52),"NaN")</f>
        <v>NaN</v>
      </c>
      <c r="BD75" s="489" t="str">
        <f ca="1">IFERROR(XIRR($C66:BD66,$C$52:BD$52),"NaN")</f>
        <v>NaN</v>
      </c>
      <c r="BE75" s="489" t="str">
        <f ca="1">IFERROR(XIRR($C66:BE66,$C$52:BE$52),"NaN")</f>
        <v>NaN</v>
      </c>
      <c r="BF75" s="489" t="str">
        <f ca="1">IFERROR(XIRR($C66:BF66,$C$52:BF$52),"NaN")</f>
        <v>NaN</v>
      </c>
      <c r="BG75" s="489" t="str">
        <f ca="1">IFERROR(XIRR($C66:BG66,$C$52:BG$52),"NaN")</f>
        <v>NaN</v>
      </c>
      <c r="BH75" s="489" t="str">
        <f ca="1">IFERROR(XIRR($C66:BH66,$C$52:BH$52),"NaN")</f>
        <v>NaN</v>
      </c>
      <c r="BI75" s="489" t="str">
        <f ca="1">IFERROR(XIRR($C66:BI66,$C$52:BI$52),"NaN")</f>
        <v>NaN</v>
      </c>
      <c r="BJ75" s="489" t="str">
        <f ca="1">IFERROR(XIRR($C66:BJ66,$C$52:BJ$52),"NaN")</f>
        <v>NaN</v>
      </c>
      <c r="BK75" s="489" t="str">
        <f ca="1">IFERROR(XIRR($C66:BK66,$C$52:BK$52),"NaN")</f>
        <v>NaN</v>
      </c>
      <c r="BL75" s="489" t="str">
        <f ca="1">IFERROR(XIRR($C66:BL66,$C$52:BL$52),"NaN")</f>
        <v>NaN</v>
      </c>
      <c r="BM75" s="489" t="str">
        <f ca="1">IFERROR(XIRR($C66:BM66,$C$52:BM$52),"NaN")</f>
        <v>NaN</v>
      </c>
      <c r="BN75" s="489" t="str">
        <f ca="1">IFERROR(XIRR($C66:BN66,$C$52:BN$52),"NaN")</f>
        <v>NaN</v>
      </c>
      <c r="BO75" s="489" t="str">
        <f ca="1">IFERROR(XIRR($C66:BO66,$C$52:BO$52),"NaN")</f>
        <v>NaN</v>
      </c>
      <c r="BP75" s="489" t="str">
        <f ca="1">IFERROR(XIRR($C66:BP66,$C$52:BP$52),"NaN")</f>
        <v>NaN</v>
      </c>
      <c r="BQ75" s="489" t="str">
        <f ca="1">IFERROR(XIRR($C66:BQ66,$C$52:BQ$52),"NaN")</f>
        <v>NaN</v>
      </c>
      <c r="BR75" s="489" t="str">
        <f ca="1">IFERROR(XIRR($C66:BR66,$C$52:BR$52),"NaN")</f>
        <v>NaN</v>
      </c>
      <c r="BS75" s="489" t="str">
        <f ca="1">IFERROR(XIRR($C66:BS66,$C$52:BS$52),"NaN")</f>
        <v>NaN</v>
      </c>
      <c r="BT75" s="489" t="str">
        <f ca="1">IFERROR(XIRR($C66:BT66,$C$52:BT$52),"NaN")</f>
        <v>NaN</v>
      </c>
      <c r="BU75" s="489" t="str">
        <f ca="1">IFERROR(XIRR($C66:BU66,$C$52:BU$52),"NaN")</f>
        <v>NaN</v>
      </c>
      <c r="BV75" s="489" t="str">
        <f ca="1">IFERROR(XIRR($C66:BV66,$C$52:BV$52),"NaN")</f>
        <v>NaN</v>
      </c>
      <c r="BW75" s="489" t="str">
        <f ca="1">IFERROR(XIRR($C66:BW66,$C$52:BW$52),"NaN")</f>
        <v>NaN</v>
      </c>
      <c r="BX75" s="489" t="str">
        <f ca="1">IFERROR(XIRR($C66:BX66,$C$52:BX$52),"NaN")</f>
        <v>NaN</v>
      </c>
      <c r="BY75" s="489" t="str">
        <f ca="1">IFERROR(XIRR($C66:BY66,$C$52:BY$52),"NaN")</f>
        <v>NaN</v>
      </c>
      <c r="BZ75" s="489" t="str">
        <f ca="1">IFERROR(XIRR($C66:BZ66,$C$52:BZ$52),"NaN")</f>
        <v>NaN</v>
      </c>
      <c r="CA75" s="489" t="str">
        <f ca="1">IFERROR(XIRR($C66:CA66,$C$52:CA$52),"NaN")</f>
        <v>NaN</v>
      </c>
      <c r="CB75" s="489" t="str">
        <f ca="1">IFERROR(XIRR($C66:CB66,$C$52:CB$52),"NaN")</f>
        <v>NaN</v>
      </c>
      <c r="CC75" s="489" t="str">
        <f ca="1">IFERROR(XIRR($C66:CC66,$C$52:CC$52),"NaN")</f>
        <v>NaN</v>
      </c>
      <c r="CD75" s="489" t="str">
        <f ca="1">IFERROR(XIRR($C66:CD66,$C$52:CD$52),"NaN")</f>
        <v>NaN</v>
      </c>
      <c r="CE75" s="489" t="str">
        <f ca="1">IFERROR(XIRR($C66:CE66,$C$52:CE$52),"NaN")</f>
        <v>NaN</v>
      </c>
      <c r="CF75" s="489" t="str">
        <f ca="1">IFERROR(XIRR($C66:CF66,$C$52:CF$52),"NaN")</f>
        <v>NaN</v>
      </c>
      <c r="CG75" s="489" t="str">
        <f ca="1">IFERROR(XIRR($C66:CG66,$C$52:CG$52),"NaN")</f>
        <v>NaN</v>
      </c>
      <c r="CH75" s="489" t="str">
        <f ca="1">IFERROR(XIRR($C66:CH66,$C$52:CH$52),"NaN")</f>
        <v>NaN</v>
      </c>
      <c r="CI75" s="489" t="str">
        <f ca="1">IFERROR(XIRR($C66:CI66,$C$52:CI$52),"NaN")</f>
        <v>NaN</v>
      </c>
      <c r="CJ75" s="489" t="str">
        <f ca="1">IFERROR(XIRR($C66:CJ66,$C$52:CJ$52),"NaN")</f>
        <v>NaN</v>
      </c>
      <c r="CK75" s="489" t="str">
        <f ca="1">IFERROR(XIRR($C66:CK66,$C$52:CK$52),"NaN")</f>
        <v>NaN</v>
      </c>
      <c r="CL75" s="489" t="str">
        <f ca="1">IFERROR(XIRR($C66:CL66,$C$52:CL$52),"NaN")</f>
        <v>NaN</v>
      </c>
      <c r="CM75" s="489" t="str">
        <f ca="1">IFERROR(XIRR($C66:CM66,$C$52:CM$52),"NaN")</f>
        <v>NaN</v>
      </c>
      <c r="CN75" s="489" t="str">
        <f ca="1">IFERROR(XIRR($C66:CN66,$C$52:CN$52),"NaN")</f>
        <v>NaN</v>
      </c>
      <c r="CO75" s="489" t="str">
        <f ca="1">IFERROR(XIRR($C66:CO66,$C$52:CO$52),"NaN")</f>
        <v>NaN</v>
      </c>
      <c r="CP75" s="489" t="str">
        <f ca="1">IFERROR(XIRR($C66:CP66,$C$52:CP$52),"NaN")</f>
        <v>NaN</v>
      </c>
      <c r="CQ75" s="489" t="str">
        <f ca="1">IFERROR(XIRR($C66:CQ66,$C$52:CQ$52),"NaN")</f>
        <v>NaN</v>
      </c>
      <c r="CR75" s="489" t="str">
        <f ca="1">IFERROR(XIRR($C66:CR66,$C$52:CR$52),"NaN")</f>
        <v>NaN</v>
      </c>
      <c r="CS75" s="489" t="str">
        <f ca="1">IFERROR(XIRR($C66:CS66,$C$52:CS$52),"NaN")</f>
        <v>NaN</v>
      </c>
      <c r="CT75" s="489" t="str">
        <f ca="1">IFERROR(XIRR($C66:CT66,$C$52:CT$52),"NaN")</f>
        <v>NaN</v>
      </c>
      <c r="CU75" s="489" t="str">
        <f ca="1">IFERROR(XIRR($C66:CU66,$C$52:CU$52),"NaN")</f>
        <v>NaN</v>
      </c>
      <c r="CV75" s="489" t="str">
        <f ca="1">IFERROR(XIRR($C66:CV66,$C$52:CV$52),"NaN")</f>
        <v>NaN</v>
      </c>
      <c r="CW75" s="489" t="str">
        <f ca="1">IFERROR(XIRR($C66:CW66,$C$52:CW$52),"NaN")</f>
        <v>NaN</v>
      </c>
      <c r="CX75" s="489" t="str">
        <f ca="1">IFERROR(XIRR($C66:CX66,$C$52:CX$52),"NaN")</f>
        <v>NaN</v>
      </c>
      <c r="CY75" s="489" t="str">
        <f ca="1">IFERROR(XIRR($C66:CY66,$C$52:CY$52),"NaN")</f>
        <v>NaN</v>
      </c>
      <c r="CZ75" s="489" t="str">
        <f ca="1">IFERROR(XIRR($C66:CZ66,$C$52:CZ$52),"NaN")</f>
        <v>NaN</v>
      </c>
      <c r="DA75" s="489" t="str">
        <f ca="1">IFERROR(XIRR($C66:DA66,$C$52:DA$52),"NaN")</f>
        <v>NaN</v>
      </c>
      <c r="DB75" s="489" t="str">
        <f ca="1">IFERROR(XIRR($C66:DB66,$C$52:DB$52),"NaN")</f>
        <v>NaN</v>
      </c>
      <c r="DC75" s="489" t="str">
        <f ca="1">IFERROR(XIRR($C66:DC66,$C$52:DC$52),"NaN")</f>
        <v>NaN</v>
      </c>
      <c r="DD75" s="489" t="str">
        <f ca="1">IFERROR(XIRR($C66:DD66,$C$52:DD$52),"NaN")</f>
        <v>NaN</v>
      </c>
      <c r="DE75" s="489" t="str">
        <f ca="1">IFERROR(XIRR($C66:DE66,$C$52:DE$52),"NaN")</f>
        <v>NaN</v>
      </c>
      <c r="DF75" s="489" t="str">
        <f ca="1">IFERROR(XIRR($C66:DF66,$C$52:DF$52),"NaN")</f>
        <v>NaN</v>
      </c>
      <c r="DG75" s="489" t="str">
        <f ca="1">IFERROR(XIRR($C66:DG66,$C$52:DG$52),"NaN")</f>
        <v>NaN</v>
      </c>
      <c r="DH75" s="489" t="str">
        <f ca="1">IFERROR(XIRR($C66:DH66,$C$52:DH$52),"NaN")</f>
        <v>NaN</v>
      </c>
      <c r="DI75" s="489" t="str">
        <f ca="1">IFERROR(XIRR($C66:DI66,$C$52:DI$52),"NaN")</f>
        <v>NaN</v>
      </c>
      <c r="DJ75" s="489" t="str">
        <f ca="1">IFERROR(XIRR($C66:DJ66,$C$52:DJ$52),"NaN")</f>
        <v>NaN</v>
      </c>
      <c r="DK75" s="489" t="str">
        <f ca="1">IFERROR(XIRR($C66:DK66,$C$52:DK$52),"NaN")</f>
        <v>NaN</v>
      </c>
      <c r="DL75" s="489" t="str">
        <f ca="1">IFERROR(XIRR($C66:DL66,$C$52:DL$52),"NaN")</f>
        <v>NaN</v>
      </c>
      <c r="DM75" s="489" t="str">
        <f ca="1">IFERROR(XIRR($C66:DM66,$C$52:DM$52),"NaN")</f>
        <v>NaN</v>
      </c>
      <c r="DN75" s="489" t="str">
        <f ca="1">IFERROR(XIRR($C66:DN66,$C$52:DN$52),"NaN")</f>
        <v>NaN</v>
      </c>
      <c r="DO75" s="489" t="str">
        <f ca="1">IFERROR(XIRR($C66:DO66,$C$52:DO$52),"NaN")</f>
        <v>NaN</v>
      </c>
      <c r="DP75" s="489" t="str">
        <f ca="1">IFERROR(XIRR($C66:DP66,$C$52:DP$52),"NaN")</f>
        <v>NaN</v>
      </c>
      <c r="DQ75" s="489" t="str">
        <f ca="1">IFERROR(XIRR($C66:DQ66,$C$52:DQ$52),"NaN")</f>
        <v>NaN</v>
      </c>
      <c r="DR75" s="489" t="str">
        <f ca="1">IFERROR(XIRR($C66:DR66,$C$52:DR$52),"NaN")</f>
        <v>NaN</v>
      </c>
      <c r="DS75" s="489" t="str">
        <f ca="1">IFERROR(XIRR($C66:DS66,$C$52:DS$52),"NaN")</f>
        <v>NaN</v>
      </c>
      <c r="DT75" s="489" t="str">
        <f ca="1">IFERROR(XIRR($C66:DT66,$C$52:DT$52),"NaN")</f>
        <v>NaN</v>
      </c>
      <c r="DU75" s="489" t="str">
        <f ca="1">IFERROR(XIRR($C66:DU66,$C$52:DU$52),"NaN")</f>
        <v>NaN</v>
      </c>
      <c r="DV75" s="489" t="str">
        <f ca="1">IFERROR(XIRR($C66:DV66,$C$52:DV$52),"NaN")</f>
        <v>NaN</v>
      </c>
      <c r="DW75" s="489" t="str">
        <f ca="1">IFERROR(XIRR($C66:DW66,$C$52:DW$52),"NaN")</f>
        <v>NaN</v>
      </c>
      <c r="DX75" s="489" t="str">
        <f ca="1">IFERROR(XIRR($C66:DX66,$C$52:DX$52),"NaN")</f>
        <v>NaN</v>
      </c>
      <c r="DY75" s="489" t="str">
        <f ca="1">IFERROR(XIRR($C66:DY66,$C$52:DY$52),"NaN")</f>
        <v>NaN</v>
      </c>
      <c r="DZ75" s="489" t="str">
        <f ca="1">IFERROR(XIRR($C66:DZ66,$C$52:DZ$52),"NaN")</f>
        <v>NaN</v>
      </c>
      <c r="EA75" s="489" t="str">
        <f ca="1">IFERROR(XIRR($C66:EA66,$C$52:EA$52),"NaN")</f>
        <v>NaN</v>
      </c>
      <c r="EB75" s="489" t="str">
        <f ca="1">IFERROR(XIRR($C66:EB66,$C$52:EB$52),"NaN")</f>
        <v>NaN</v>
      </c>
      <c r="EC75" s="489" t="str">
        <f ca="1">IFERROR(XIRR($C66:EC66,$C$52:EC$52),"NaN")</f>
        <v>NaN</v>
      </c>
      <c r="ED75" s="489" t="str">
        <f ca="1">IFERROR(XIRR($C66:ED66,$C$52:ED$52),"NaN")</f>
        <v>NaN</v>
      </c>
      <c r="EE75" s="489" t="str">
        <f ca="1">IFERROR(XIRR($C66:EE66,$C$52:EE$52),"NaN")</f>
        <v>NaN</v>
      </c>
      <c r="EF75" s="489" t="str">
        <f ca="1">IFERROR(XIRR($C66:EF66,$C$52:EF$52),"NaN")</f>
        <v>NaN</v>
      </c>
      <c r="EG75" s="489" t="str">
        <f ca="1">IFERROR(XIRR($C66:EG66,$C$52:EG$52),"NaN")</f>
        <v>NaN</v>
      </c>
      <c r="EH75" s="489" t="str">
        <f ca="1">IFERROR(XIRR($C66:EH66,$C$52:EH$52),"NaN")</f>
        <v>NaN</v>
      </c>
      <c r="EI75" s="489" t="str">
        <f ca="1">IFERROR(XIRR($C66:EI66,$C$52:EI$52),"NaN")</f>
        <v>NaN</v>
      </c>
      <c r="EJ75" s="489" t="str">
        <f ca="1">IFERROR(XIRR($C66:EJ66,$C$52:EJ$52),"NaN")</f>
        <v>NaN</v>
      </c>
      <c r="EK75" s="489" t="str">
        <f ca="1">IFERROR(XIRR($C66:EK66,$C$52:EK$52),"NaN")</f>
        <v>NaN</v>
      </c>
      <c r="EL75" s="489" t="str">
        <f ca="1">IFERROR(XIRR($C66:EL66,$C$52:EL$52),"NaN")</f>
        <v>NaN</v>
      </c>
      <c r="EM75" s="489" t="str">
        <f ca="1">IFERROR(XIRR($C66:EM66,$C$52:EM$52),"NaN")</f>
        <v>NaN</v>
      </c>
      <c r="EN75" s="489" t="str">
        <f ca="1">IFERROR(XIRR($C66:EN66,$C$52:EN$52),"NaN")</f>
        <v>NaN</v>
      </c>
      <c r="EO75" s="489" t="str">
        <f ca="1">IFERROR(XIRR($C66:EO66,$C$52:EO$52),"NaN")</f>
        <v>NaN</v>
      </c>
      <c r="EP75" s="489" t="str">
        <f ca="1">IFERROR(XIRR($C66:EP66,$C$52:EP$52),"NaN")</f>
        <v>NaN</v>
      </c>
      <c r="EQ75" s="489" t="str">
        <f ca="1">IFERROR(XIRR($C66:EQ66,$C$52:EQ$52),"NaN")</f>
        <v>NaN</v>
      </c>
      <c r="ER75" s="489" t="str">
        <f ca="1">IFERROR(XIRR($C66:ER66,$C$52:ER$52),"NaN")</f>
        <v>NaN</v>
      </c>
      <c r="ES75" s="489" t="str">
        <f ca="1">IFERROR(XIRR($C66:ES66,$C$52:ES$52),"NaN")</f>
        <v>NaN</v>
      </c>
      <c r="ET75" s="489" t="str">
        <f ca="1">IFERROR(XIRR($C66:ET66,$C$52:ET$52),"NaN")</f>
        <v>NaN</v>
      </c>
      <c r="EU75" s="489" t="str">
        <f ca="1">IFERROR(XIRR($C66:EU66,$C$52:EU$52),"NaN")</f>
        <v>NaN</v>
      </c>
      <c r="EV75" s="489" t="str">
        <f ca="1">IFERROR(XIRR($C66:EV66,$C$52:EV$52),"NaN")</f>
        <v>NaN</v>
      </c>
      <c r="EW75" s="489" t="str">
        <f ca="1">IFERROR(XIRR($C66:EW66,$C$52:EW$52),"NaN")</f>
        <v>NaN</v>
      </c>
      <c r="EX75" s="489" t="str">
        <f ca="1">IFERROR(XIRR($C66:EX66,$C$52:EX$52),"NaN")</f>
        <v>NaN</v>
      </c>
      <c r="EY75" s="489" t="str">
        <f ca="1">IFERROR(XIRR($C66:EY66,$C$52:EY$52),"NaN")</f>
        <v>NaN</v>
      </c>
      <c r="EZ75" s="489" t="str">
        <f ca="1">IFERROR(XIRR($C66:EZ66,$C$52:EZ$52),"NaN")</f>
        <v>NaN</v>
      </c>
      <c r="FA75" s="489" t="str">
        <f ca="1">IFERROR(XIRR($C66:FA66,$C$52:FA$52),"NaN")</f>
        <v>NaN</v>
      </c>
      <c r="FB75" s="489" t="str">
        <f ca="1">IFERROR(XIRR($C66:FB66,$C$52:FB$52),"NaN")</f>
        <v>NaN</v>
      </c>
      <c r="FC75" s="489" t="str">
        <f ca="1">IFERROR(XIRR($C66:FC66,$C$52:FC$52),"NaN")</f>
        <v>NaN</v>
      </c>
      <c r="FD75" s="489" t="str">
        <f ca="1">IFERROR(XIRR($C66:FD66,$C$52:FD$52),"NaN")</f>
        <v>NaN</v>
      </c>
      <c r="FE75" s="489" t="str">
        <f ca="1">IFERROR(XIRR($C66:FE66,$C$52:FE$52),"NaN")</f>
        <v>NaN</v>
      </c>
      <c r="FF75" s="489" t="str">
        <f ca="1">IFERROR(XIRR($C66:FF66,$C$52:FF$52),"NaN")</f>
        <v>NaN</v>
      </c>
      <c r="FG75" s="489" t="str">
        <f ca="1">IFERROR(XIRR($C66:FG66,$C$52:FG$52),"NaN")</f>
        <v>NaN</v>
      </c>
      <c r="FH75" s="489" t="str">
        <f ca="1">IFERROR(XIRR($C66:FH66,$C$52:FH$52),"NaN")</f>
        <v>NaN</v>
      </c>
      <c r="FI75" s="489" t="str">
        <f ca="1">IFERROR(XIRR($C66:FI66,$C$52:FI$52),"NaN")</f>
        <v>NaN</v>
      </c>
      <c r="FJ75" s="489" t="str">
        <f ca="1">IFERROR(XIRR($C66:FJ66,$C$52:FJ$52),"NaN")</f>
        <v>NaN</v>
      </c>
      <c r="FK75" s="489" t="str">
        <f ca="1">IFERROR(XIRR($C66:FK66,$C$52:FK$52),"NaN")</f>
        <v>NaN</v>
      </c>
      <c r="FL75" s="489" t="str">
        <f ca="1">IFERROR(XIRR($C66:FL66,$C$52:FL$52),"NaN")</f>
        <v>NaN</v>
      </c>
      <c r="FM75" s="489" t="str">
        <f ca="1">IFERROR(XIRR($C66:FM66,$C$52:FM$52),"NaN")</f>
        <v>NaN</v>
      </c>
      <c r="FN75" s="489" t="str">
        <f ca="1">IFERROR(XIRR($C66:FN66,$C$52:FN$52),"NaN")</f>
        <v>NaN</v>
      </c>
      <c r="FO75" s="489" t="str">
        <f ca="1">IFERROR(XIRR($C66:FO66,$C$52:FO$52),"NaN")</f>
        <v>NaN</v>
      </c>
      <c r="FP75" s="489" t="str">
        <f ca="1">IFERROR(XIRR($C66:FP66,$C$52:FP$52),"NaN")</f>
        <v>NaN</v>
      </c>
      <c r="FQ75" s="489" t="str">
        <f ca="1">IFERROR(XIRR($C66:FQ66,$C$52:FQ$52),"NaN")</f>
        <v>NaN</v>
      </c>
      <c r="FR75" s="489" t="str">
        <f ca="1">IFERROR(XIRR($C66:FR66,$C$52:FR$52),"NaN")</f>
        <v>NaN</v>
      </c>
      <c r="FS75" s="489" t="str">
        <f ca="1">IFERROR(XIRR($C66:FS66,$C$52:FS$52),"NaN")</f>
        <v>NaN</v>
      </c>
      <c r="FT75" s="489" t="str">
        <f ca="1">IFERROR(XIRR($C66:FT66,$C$52:FT$52),"NaN")</f>
        <v>NaN</v>
      </c>
      <c r="FU75" s="489" t="str">
        <f ca="1">IFERROR(XIRR($C66:FU66,$C$52:FU$52),"NaN")</f>
        <v>NaN</v>
      </c>
      <c r="FV75" s="489" t="str">
        <f ca="1">IFERROR(XIRR($C66:FV66,$C$52:FV$52),"NaN")</f>
        <v>NaN</v>
      </c>
      <c r="FW75" s="489" t="str">
        <f ca="1">IFERROR(XIRR($C66:FW66,$C$52:FW$52),"NaN")</f>
        <v>NaN</v>
      </c>
      <c r="FX75" s="489" t="str">
        <f ca="1">IFERROR(XIRR($C66:FX66,$C$52:FX$52),"NaN")</f>
        <v>NaN</v>
      </c>
      <c r="FY75" s="489" t="str">
        <f ca="1">IFERROR(XIRR($C66:FY66,$C$52:FY$52),"NaN")</f>
        <v>NaN</v>
      </c>
      <c r="FZ75" s="489" t="str">
        <f ca="1">IFERROR(XIRR($C66:FZ66,$C$52:FZ$52),"NaN")</f>
        <v>NaN</v>
      </c>
      <c r="GA75" s="490" t="str">
        <f ca="1">IFERROR(XIRR($C66:GA66,$C$52:GA$52),"NaN")</f>
        <v>NaN</v>
      </c>
    </row>
    <row r="76" spans="1:183" x14ac:dyDescent="0.15">
      <c r="A76" s="310" t="s">
        <v>903</v>
      </c>
      <c r="C76" s="519">
        <f ca="1">HLOOKUP(Cust_LeaseTermYears*12,$D$50:$GA$77,27,FALSE)</f>
        <v>0.14999999403953554</v>
      </c>
      <c r="D76" s="489" t="str">
        <f ca="1">IFERROR(XIRR($C68:D68,$C$52:D$52),"NaN")</f>
        <v>NaN</v>
      </c>
      <c r="E76" s="489" t="str">
        <f ca="1">IFERROR(XIRR($C68:E68,$C$52:E$52),"NaN")</f>
        <v>NaN</v>
      </c>
      <c r="F76" s="489">
        <f ca="1">IFERROR(XIRR($C68:F68,$C$52:F$52),"NaN")</f>
        <v>-0.99999978551943247</v>
      </c>
      <c r="G76" s="489">
        <f ca="1">IFERROR(XIRR($C68:G68,$C$52:G$52),"NaN")</f>
        <v>-0.9999820901075509</v>
      </c>
      <c r="H76" s="489">
        <f ca="1">IFERROR(XIRR($C68:H68,$C$52:H$52),"NaN")</f>
        <v>-0.99975341444078381</v>
      </c>
      <c r="I76" s="489">
        <f ca="1">IFERROR(XIRR($C68:I68,$C$52:I$52),"NaN")</f>
        <v>-0.99870562292635456</v>
      </c>
      <c r="J76" s="489">
        <f ca="1">IFERROR(XIRR($C68:J68,$C$52:J$52),"NaN")</f>
        <v>-0.99569863905198863</v>
      </c>
      <c r="K76" s="489">
        <f ca="1">IFERROR(XIRR($C68:K68,$C$52:K$52),"NaN")</f>
        <v>-0.98959397030994301</v>
      </c>
      <c r="L76" s="489">
        <f ca="1">IFERROR(XIRR($C68:L68,$C$52:L$52),"NaN")</f>
        <v>-0.97945751855149876</v>
      </c>
      <c r="M76" s="489">
        <f ca="1">IFERROR(XIRR($C68:M68,$C$52:M$52),"NaN")</f>
        <v>-0.9650532053783536</v>
      </c>
      <c r="N76" s="489">
        <f ca="1">IFERROR(XIRR($C68:N68,$C$52:N$52),"NaN")</f>
        <v>-0.94635221883654608</v>
      </c>
      <c r="O76" s="489">
        <f ca="1">IFERROR(XIRR($C68:O68,$C$52:O$52),"NaN")</f>
        <v>-0.92378575839102262</v>
      </c>
      <c r="P76" s="489">
        <f ca="1">IFERROR(XIRR($C68:P68,$C$52:P$52),"NaN")</f>
        <v>-0.90143119245767567</v>
      </c>
      <c r="Q76" s="489">
        <f ca="1">IFERROR(XIRR($C68:Q68,$C$52:Q$52),"NaN")</f>
        <v>-0.87655058242380612</v>
      </c>
      <c r="R76" s="489">
        <f ca="1">IFERROR(XIRR($C68:R68,$C$52:R$52),"NaN")</f>
        <v>-0.84984216764569287</v>
      </c>
      <c r="S76" s="489">
        <f ca="1">IFERROR(XIRR($C68:S68,$C$52:S$52),"NaN")</f>
        <v>-0.82168145403265958</v>
      </c>
      <c r="T76" s="489">
        <f ca="1">IFERROR(XIRR($C68:T68,$C$52:T$52),"NaN")</f>
        <v>-0.79255369678139687</v>
      </c>
      <c r="U76" s="489">
        <f ca="1">IFERROR(XIRR($C68:U68,$C$52:U$52),"NaN")</f>
        <v>-0.76320752725005159</v>
      </c>
      <c r="V76" s="489">
        <f ca="1">IFERROR(XIRR($C68:V68,$C$52:V$52),"NaN")</f>
        <v>-0.7335793904960155</v>
      </c>
      <c r="W76" s="489">
        <f ca="1">IFERROR(XIRR($C68:W68,$C$52:W$52),"NaN")</f>
        <v>-0.70406451001763348</v>
      </c>
      <c r="X76" s="489">
        <f ca="1">IFERROR(XIRR($C68:X68,$C$52:X$52),"NaN")</f>
        <v>-0.67478644177317615</v>
      </c>
      <c r="Y76" s="489">
        <f ca="1">IFERROR(XIRR($C68:Y68,$C$52:Y$52),"NaN")</f>
        <v>-0.64601594135165219</v>
      </c>
      <c r="Z76" s="489">
        <f ca="1">IFERROR(XIRR($C68:Z68,$C$52:Z$52),"NaN")</f>
        <v>-0.61780291125178333</v>
      </c>
      <c r="AA76" s="489">
        <f ca="1">IFERROR(XIRR($C68:AA68,$C$52:AA$52),"NaN")</f>
        <v>-0.5902613587677481</v>
      </c>
      <c r="AB76" s="489">
        <f ca="1">IFERROR(XIRR($C68:AB68,$C$52:AB$52),"NaN")</f>
        <v>-0.56263895109295836</v>
      </c>
      <c r="AC76" s="489">
        <f ca="1">IFERROR(XIRR($C68:AC68,$C$52:AC$52),"NaN")</f>
        <v>-0.5359205551445485</v>
      </c>
      <c r="AD76" s="489">
        <f ca="1">IFERROR(XIRR($C68:AD68,$C$52:AD$52),"NaN")</f>
        <v>-0.51017761155962948</v>
      </c>
      <c r="AE76" s="489">
        <f ca="1">IFERROR(XIRR($C68:AE68,$C$52:AE$52),"NaN")</f>
        <v>-0.48535930588841436</v>
      </c>
      <c r="AF76" s="489">
        <f ca="1">IFERROR(XIRR($C68:AF68,$C$52:AF$52),"NaN")</f>
        <v>-0.46146655008196841</v>
      </c>
      <c r="AG76" s="489">
        <f ca="1">IFERROR(XIRR($C68:AG68,$C$52:AG$52),"NaN")</f>
        <v>-0.43856044486165058</v>
      </c>
      <c r="AH76" s="489">
        <f ca="1">IFERROR(XIRR($C68:AH68,$C$52:AH$52),"NaN")</f>
        <v>-0.41653930768370628</v>
      </c>
      <c r="AI76" s="489">
        <f ca="1">IFERROR(XIRR($C68:AI68,$C$52:AI$52),"NaN")</f>
        <v>-0.39541413560509692</v>
      </c>
      <c r="AJ76" s="489">
        <f ca="1">IFERROR(XIRR($C68:AJ68,$C$52:AJ$52),"NaN")</f>
        <v>-0.37512874975800525</v>
      </c>
      <c r="AK76" s="489">
        <f ca="1">IFERROR(XIRR($C68:AK68,$C$52:AK$52),"NaN")</f>
        <v>-0.35568227842450145</v>
      </c>
      <c r="AL76" s="489">
        <f ca="1">IFERROR(XIRR($C68:AL68,$C$52:AL$52),"NaN")</f>
        <v>-0.33702095672488225</v>
      </c>
      <c r="AM76" s="489">
        <f ca="1">IFERROR(XIRR($C68:AM68,$C$52:AM$52),"NaN")</f>
        <v>-0.31911832466721546</v>
      </c>
      <c r="AN76" s="489">
        <f ca="1">IFERROR(XIRR($C68:AN68,$C$52:AN$52),"NaN")</f>
        <v>-0.3013822846114636</v>
      </c>
      <c r="AO76" s="489">
        <f ca="1">IFERROR(XIRR($C68:AO68,$C$52:AO$52),"NaN")</f>
        <v>-0.284408488124609</v>
      </c>
      <c r="AP76" s="489">
        <f ca="1">IFERROR(XIRR($C68:AP68,$C$52:AP$52),"NaN")</f>
        <v>-0.26817453876137737</v>
      </c>
      <c r="AQ76" s="489">
        <f ca="1">IFERROR(XIRR($C68:AQ68,$C$52:AQ$52),"NaN")</f>
        <v>-0.25262946113944063</v>
      </c>
      <c r="AR76" s="489">
        <f ca="1">IFERROR(XIRR($C68:AR68,$C$52:AR$52),"NaN")</f>
        <v>-0.23774081394076352</v>
      </c>
      <c r="AS76" s="489">
        <f ca="1">IFERROR(XIRR($C68:AS68,$C$52:AS$52),"NaN")</f>
        <v>-0.22350611612200738</v>
      </c>
      <c r="AT76" s="489">
        <f ca="1">IFERROR(XIRR($C68:AT68,$C$52:AT$52),"NaN")</f>
        <v>-0.20986021682620049</v>
      </c>
      <c r="AU76" s="489">
        <f ca="1">IFERROR(XIRR($C68:AU68,$C$52:AU$52),"NaN")</f>
        <v>-0.19678341522812842</v>
      </c>
      <c r="AV76" s="489">
        <f ca="1">IFERROR(XIRR($C68:AV68,$C$52:AV$52),"NaN")</f>
        <v>-0.1842401184141636</v>
      </c>
      <c r="AW76" s="489">
        <f ca="1">IFERROR(XIRR($C68:AW68,$C$52:AW$52),"NaN")</f>
        <v>-0.17221155092120166</v>
      </c>
      <c r="AX76" s="489">
        <f ca="1">IFERROR(XIRR($C68:AX68,$C$52:AX$52),"NaN")</f>
        <v>-0.1606665220111608</v>
      </c>
      <c r="AY76" s="489">
        <f ca="1">IFERROR(XIRR($C68:AY68,$C$52:AY$52),"NaN")</f>
        <v>-0.14958258830010893</v>
      </c>
      <c r="AZ76" s="489">
        <f ca="1">IFERROR(XIRR($C68:AZ68,$C$52:AZ$52),"NaN")</f>
        <v>-0.1385787721723318</v>
      </c>
      <c r="BA76" s="489">
        <f ca="1">IFERROR(XIRR($C68:BA68,$C$52:BA$52),"NaN")</f>
        <v>-0.1280259225517511</v>
      </c>
      <c r="BB76" s="489">
        <f ca="1">IFERROR(XIRR($C68:BB68,$C$52:BB$52),"NaN")</f>
        <v>-0.11790460683405399</v>
      </c>
      <c r="BC76" s="489">
        <f ca="1">IFERROR(XIRR($C68:BC68,$C$52:BC$52),"NaN")</f>
        <v>-0.10818910934031009</v>
      </c>
      <c r="BD76" s="489">
        <f ca="1">IFERROR(XIRR($C68:BD68,$C$52:BD$52),"NaN")</f>
        <v>-9.8859399557113675E-2</v>
      </c>
      <c r="BE76" s="489">
        <f ca="1">IFERROR(XIRR($C68:BE68,$C$52:BE$52),"NaN")</f>
        <v>-8.9903375506401081E-2</v>
      </c>
      <c r="BF76" s="489">
        <f ca="1">IFERROR(XIRR($C68:BF68,$C$52:BF$52),"NaN")</f>
        <v>-8.1294605135917672E-2</v>
      </c>
      <c r="BG76" s="489">
        <f ca="1">IFERROR(XIRR($C68:BG68,$C$52:BG$52),"NaN")</f>
        <v>-7.3018303513526936E-2</v>
      </c>
      <c r="BH76" s="489">
        <f ca="1">IFERROR(XIRR($C68:BH68,$C$52:BH$52),"NaN")</f>
        <v>-6.5056708455085752E-2</v>
      </c>
      <c r="BI76" s="489">
        <f ca="1">IFERROR(XIRR($C68:BI68,$C$52:BI$52),"NaN")</f>
        <v>-5.739639103412629E-2</v>
      </c>
      <c r="BJ76" s="489">
        <f ca="1">IFERROR(XIRR($C68:BJ68,$C$52:BJ$52),"NaN")</f>
        <v>-5.0021865963935846E-2</v>
      </c>
      <c r="BK76" s="489">
        <f ca="1">IFERROR(XIRR($C68:BK68,$C$52:BK$52),"NaN")</f>
        <v>-4.2920085787773135E-2</v>
      </c>
      <c r="BL76" s="489">
        <f ca="1">IFERROR(XIRR($C68:BL68,$C$52:BL$52),"NaN")</f>
        <v>-3.5843935608863842E-2</v>
      </c>
      <c r="BM76" s="489">
        <f ca="1">IFERROR(XIRR($C68:BM68,$C$52:BM$52),"NaN")</f>
        <v>-2.9033902287483218E-2</v>
      </c>
      <c r="BN76" s="489">
        <f ca="1">IFERROR(XIRR($C68:BN68,$C$52:BN$52),"NaN")</f>
        <v>-2.2477725148200994E-2</v>
      </c>
      <c r="BO76" s="489">
        <f ca="1">IFERROR(XIRR($C68:BO68,$C$52:BO$52),"NaN")</f>
        <v>-1.6162839531898499E-2</v>
      </c>
      <c r="BP76" s="489">
        <f ca="1">IFERROR(XIRR($C68:BP68,$C$52:BP$52),"NaN")</f>
        <v>-1.0078069567680363E-2</v>
      </c>
      <c r="BQ76" s="489">
        <f ca="1">IFERROR(XIRR($C68:BQ68,$C$52:BQ$52),"NaN")</f>
        <v>-4.2130619287490852E-3</v>
      </c>
      <c r="BR76" s="489">
        <f ca="1">IFERROR(XIRR($C68:BR68,$C$52:BR$52),"NaN")</f>
        <v>1.4428585767745975E-3</v>
      </c>
      <c r="BS76" s="489">
        <f ca="1">IFERROR(XIRR($C68:BS68,$C$52:BS$52),"NaN")</f>
        <v>6.8991094827651981E-3</v>
      </c>
      <c r="BT76" s="489">
        <f ca="1">IFERROR(XIRR($C68:BT68,$C$52:BT$52),"NaN")</f>
        <v>1.2164553999900816E-2</v>
      </c>
      <c r="BU76" s="489">
        <f ca="1">IFERROR(XIRR($C68:BU68,$C$52:BU$52),"NaN")</f>
        <v>1.7247727513313296E-2</v>
      </c>
      <c r="BV76" s="489">
        <f ca="1">IFERROR(XIRR($C68:BV68,$C$52:BV$52),"NaN")</f>
        <v>2.2156402468681339E-2</v>
      </c>
      <c r="BW76" s="489">
        <f ca="1">IFERROR(XIRR($C68:BW68,$C$52:BW$52),"NaN")</f>
        <v>2.6898023486137391E-2</v>
      </c>
      <c r="BX76" s="489">
        <f ca="1">IFERROR(XIRR($C68:BX68,$C$52:BX$52),"NaN")</f>
        <v>3.1638440489768979E-2</v>
      </c>
      <c r="BY76" s="489">
        <f ca="1">IFERROR(XIRR($C68:BY68,$C$52:BY$52),"NaN")</f>
        <v>3.6215469241142287E-2</v>
      </c>
      <c r="BZ76" s="489">
        <f ca="1">IFERROR(XIRR($C68:BZ68,$C$52:BZ$52),"NaN")</f>
        <v>4.0636727213859566E-2</v>
      </c>
      <c r="CA76" s="489">
        <f ca="1">IFERROR(XIRR($C68:CA68,$C$52:CA$52),"NaN")</f>
        <v>4.4908556342124956E-2</v>
      </c>
      <c r="CB76" s="489">
        <f ca="1">IFERROR(XIRR($C68:CB68,$C$52:CB$52),"NaN")</f>
        <v>4.903732836246491E-2</v>
      </c>
      <c r="CC76" s="489">
        <f ca="1">IFERROR(XIRR($C68:CC68,$C$52:CC$52),"NaN")</f>
        <v>5.3030201792716988E-2</v>
      </c>
      <c r="CD76" s="489">
        <f ca="1">IFERROR(XIRR($C68:CD68,$C$52:CD$52),"NaN")</f>
        <v>5.6891861557960513E-2</v>
      </c>
      <c r="CE76" s="489">
        <f ca="1">IFERROR(XIRR($C68:CE68,$C$52:CE$52),"NaN")</f>
        <v>6.0628315806388861E-2</v>
      </c>
      <c r="CF76" s="489">
        <f ca="1">IFERROR(XIRR($C68:CF68,$C$52:CF$52),"NaN")</f>
        <v>6.4244136214256273E-2</v>
      </c>
      <c r="CG76" s="489">
        <f ca="1">IFERROR(XIRR($C68:CG68,$C$52:CG$52),"NaN")</f>
        <v>6.7744806408882155E-2</v>
      </c>
      <c r="CH76" s="489">
        <f ca="1">IFERROR(XIRR($C68:CH68,$C$52:CH$52),"NaN")</f>
        <v>7.1134361624717715E-2</v>
      </c>
      <c r="CI76" s="489">
        <f ca="1">IFERROR(XIRR($C68:CI68,$C$52:CI$52),"NaN")</f>
        <v>7.4417200684547435E-2</v>
      </c>
      <c r="CJ76" s="489">
        <f ca="1">IFERROR(XIRR($C68:CJ68,$C$52:CJ$52),"NaN")</f>
        <v>7.7708455920219424E-2</v>
      </c>
      <c r="CK76" s="489">
        <f ca="1">IFERROR(XIRR($C68:CK68,$C$52:CK$52),"NaN")</f>
        <v>8.089500963687897E-2</v>
      </c>
      <c r="CL76" s="489">
        <f ca="1">IFERROR(XIRR($C68:CL68,$C$52:CL$52),"NaN")</f>
        <v>8.398173153400422E-2</v>
      </c>
      <c r="CM76" s="489">
        <f ca="1">IFERROR(XIRR($C68:CM68,$C$52:CM$52),"NaN")</f>
        <v>8.6971953511238112E-2</v>
      </c>
      <c r="CN76" s="489">
        <f ca="1">IFERROR(XIRR($C68:CN68,$C$52:CN$52),"NaN")</f>
        <v>8.9869466423988353E-2</v>
      </c>
      <c r="CO76" s="489">
        <f ca="1">IFERROR(XIRR($C68:CO68,$C$52:CO$52),"NaN")</f>
        <v>9.2679896950721735E-2</v>
      </c>
      <c r="CP76" s="489">
        <f ca="1">IFERROR(XIRR($C68:CP68,$C$52:CP$52),"NaN")</f>
        <v>9.5404663681983956E-2</v>
      </c>
      <c r="CQ76" s="489">
        <f ca="1">IFERROR(XIRR($C68:CQ68,$C$52:CQ$52),"NaN")</f>
        <v>9.8047679662704473E-2</v>
      </c>
      <c r="CR76" s="489">
        <f ca="1">IFERROR(XIRR($C68:CR68,$C$52:CR$52),"NaN")</f>
        <v>0.10061140656471254</v>
      </c>
      <c r="CS76" s="489">
        <f ca="1">IFERROR(XIRR($C68:CS68,$C$52:CS$52),"NaN")</f>
        <v>0.1030994474887848</v>
      </c>
      <c r="CT76" s="489">
        <f ca="1">IFERROR(XIRR($C68:CT68,$C$52:CT$52),"NaN")</f>
        <v>0.10551396012306213</v>
      </c>
      <c r="CU76" s="489">
        <f ca="1">IFERROR(XIRR($C68:CU68,$C$52:CU$52),"NaN")</f>
        <v>0.1078576385974884</v>
      </c>
      <c r="CV76" s="489">
        <f ca="1">IFERROR(XIRR($C68:CV68,$C$52:CV$52),"NaN")</f>
        <v>0.11021283268928528</v>
      </c>
      <c r="CW76" s="489">
        <f ca="1">IFERROR(XIRR($C68:CW68,$C$52:CW$52),"NaN")</f>
        <v>0.11249832510948182</v>
      </c>
      <c r="CX76" s="489">
        <f ca="1">IFERROR(XIRR($C68:CX68,$C$52:CX$52),"NaN")</f>
        <v>0.11471734642982484</v>
      </c>
      <c r="CY76" s="489">
        <f ca="1">IFERROR(XIRR($C68:CY68,$C$52:CY$52),"NaN")</f>
        <v>0.11687168478965759</v>
      </c>
      <c r="CZ76" s="489">
        <f ca="1">IFERROR(XIRR($C68:CZ68,$C$52:CZ$52),"NaN")</f>
        <v>0.11896371245384216</v>
      </c>
      <c r="DA76" s="489">
        <f ca="1">IFERROR(XIRR($C68:DA68,$C$52:DA$52),"NaN")</f>
        <v>0.12099754214286804</v>
      </c>
      <c r="DB76" s="489">
        <f ca="1">IFERROR(XIRR($C68:DB68,$C$52:DB$52),"NaN")</f>
        <v>0.12297340035438539</v>
      </c>
      <c r="DC76" s="489">
        <f ca="1">IFERROR(XIRR($C68:DC68,$C$52:DC$52),"NaN")</f>
        <v>0.12489394545555116</v>
      </c>
      <c r="DD76" s="489">
        <f ca="1">IFERROR(XIRR($C68:DD68,$C$52:DD$52),"NaN")</f>
        <v>0.12676052451133732</v>
      </c>
      <c r="DE76" s="489">
        <f ca="1">IFERROR(XIRR($C68:DE68,$C$52:DE$52),"NaN")</f>
        <v>0.12857558131217953</v>
      </c>
      <c r="DF76" s="489">
        <f ca="1">IFERROR(XIRR($C68:DF68,$C$52:DF$52),"NaN")</f>
        <v>0.1303403198719025</v>
      </c>
      <c r="DG76" s="489">
        <f ca="1">IFERROR(XIRR($C68:DG68,$C$52:DG$52),"NaN")</f>
        <v>0.13205644488334656</v>
      </c>
      <c r="DH76" s="489">
        <f ca="1">IFERROR(XIRR($C68:DH68,$C$52:DH$52),"NaN")</f>
        <v>0.13378432393074036</v>
      </c>
      <c r="DI76" s="489">
        <f ca="1">IFERROR(XIRR($C68:DI68,$C$52:DI$52),"NaN")</f>
        <v>0.13546424508094793</v>
      </c>
      <c r="DJ76" s="489">
        <f ca="1">IFERROR(XIRR($C68:DJ68,$C$52:DJ$52),"NaN")</f>
        <v>0.13709841370582582</v>
      </c>
      <c r="DK76" s="489">
        <f ca="1">IFERROR(XIRR($C68:DK68,$C$52:DK$52),"NaN")</f>
        <v>0.13868783116340636</v>
      </c>
      <c r="DL76" s="489">
        <f ca="1">IFERROR(XIRR($C68:DL68,$C$52:DL$52),"NaN")</f>
        <v>0.14023401141166686</v>
      </c>
      <c r="DM76" s="489">
        <f ca="1">IFERROR(XIRR($C68:DM68,$C$52:DM$52),"NaN")</f>
        <v>0.14174003005027774</v>
      </c>
      <c r="DN76" s="489">
        <f ca="1">IFERROR(XIRR($C68:DN68,$C$52:DN$52),"NaN")</f>
        <v>0.14320561289787295</v>
      </c>
      <c r="DO76" s="489">
        <f ca="1">IFERROR(XIRR($C68:DO68,$C$52:DO$52),"NaN")</f>
        <v>0.14463259577751156</v>
      </c>
      <c r="DP76" s="489">
        <f ca="1">IFERROR(XIRR($C68:DP68,$C$52:DP$52),"NaN")</f>
        <v>0.14602175354957586</v>
      </c>
      <c r="DQ76" s="489">
        <f ca="1">IFERROR(XIRR($C68:DQ68,$C$52:DQ$52),"NaN")</f>
        <v>0.14737479090690617</v>
      </c>
      <c r="DR76" s="489">
        <f ca="1">IFERROR(XIRR($C68:DR68,$C$52:DR$52),"NaN")</f>
        <v>0.14869237542152411</v>
      </c>
      <c r="DS76" s="489">
        <f ca="1">IFERROR(XIRR($C68:DS68,$C$52:DS$52),"NaN")</f>
        <v>0.14999999403953554</v>
      </c>
      <c r="DT76" s="489">
        <f ca="1">IFERROR(XIRR($C68:DT68,$C$52:DT$52),"NaN")</f>
        <v>0.14999999403953554</v>
      </c>
      <c r="DU76" s="489">
        <f ca="1">IFERROR(XIRR($C68:DU68,$C$52:DU$52),"NaN")</f>
        <v>0.14999999403953554</v>
      </c>
      <c r="DV76" s="489">
        <f ca="1">IFERROR(XIRR($C68:DV68,$C$52:DV$52),"NaN")</f>
        <v>0.14999999403953554</v>
      </c>
      <c r="DW76" s="489">
        <f ca="1">IFERROR(XIRR($C68:DW68,$C$52:DW$52),"NaN")</f>
        <v>0.14999999403953554</v>
      </c>
      <c r="DX76" s="489">
        <f ca="1">IFERROR(XIRR($C68:DX68,$C$52:DX$52),"NaN")</f>
        <v>0.14999999403953554</v>
      </c>
      <c r="DY76" s="489">
        <f ca="1">IFERROR(XIRR($C68:DY68,$C$52:DY$52),"NaN")</f>
        <v>0.14999999403953554</v>
      </c>
      <c r="DZ76" s="489">
        <f ca="1">IFERROR(XIRR($C68:DZ68,$C$52:DZ$52),"NaN")</f>
        <v>0.14999999403953554</v>
      </c>
      <c r="EA76" s="489">
        <f ca="1">IFERROR(XIRR($C68:EA68,$C$52:EA$52),"NaN")</f>
        <v>0.14999999403953554</v>
      </c>
      <c r="EB76" s="489">
        <f ca="1">IFERROR(XIRR($C68:EB68,$C$52:EB$52),"NaN")</f>
        <v>0.14999999403953554</v>
      </c>
      <c r="EC76" s="489">
        <f ca="1">IFERROR(XIRR($C68:EC68,$C$52:EC$52),"NaN")</f>
        <v>0.14999999403953554</v>
      </c>
      <c r="ED76" s="489">
        <f ca="1">IFERROR(XIRR($C68:ED68,$C$52:ED$52),"NaN")</f>
        <v>0.14999999403953554</v>
      </c>
      <c r="EE76" s="489">
        <f ca="1">IFERROR(XIRR($C68:EE68,$C$52:EE$52),"NaN")</f>
        <v>0.14999999403953554</v>
      </c>
      <c r="EF76" s="489">
        <f ca="1">IFERROR(XIRR($C68:EF68,$C$52:EF$52),"NaN")</f>
        <v>0.14999999403953554</v>
      </c>
      <c r="EG76" s="489">
        <f ca="1">IFERROR(XIRR($C68:EG68,$C$52:EG$52),"NaN")</f>
        <v>0.14999999403953554</v>
      </c>
      <c r="EH76" s="489">
        <f ca="1">IFERROR(XIRR($C68:EH68,$C$52:EH$52),"NaN")</f>
        <v>0.14999999403953554</v>
      </c>
      <c r="EI76" s="489">
        <f ca="1">IFERROR(XIRR($C68:EI68,$C$52:EI$52),"NaN")</f>
        <v>0.14999999403953554</v>
      </c>
      <c r="EJ76" s="489">
        <f ca="1">IFERROR(XIRR($C68:EJ68,$C$52:EJ$52),"NaN")</f>
        <v>0.14999999403953554</v>
      </c>
      <c r="EK76" s="489">
        <f ca="1">IFERROR(XIRR($C68:EK68,$C$52:EK$52),"NaN")</f>
        <v>0.14999999403953554</v>
      </c>
      <c r="EL76" s="489">
        <f ca="1">IFERROR(XIRR($C68:EL68,$C$52:EL$52),"NaN")</f>
        <v>0.14999999403953554</v>
      </c>
      <c r="EM76" s="489">
        <f ca="1">IFERROR(XIRR($C68:EM68,$C$52:EM$52),"NaN")</f>
        <v>0.14999999403953554</v>
      </c>
      <c r="EN76" s="489">
        <f ca="1">IFERROR(XIRR($C68:EN68,$C$52:EN$52),"NaN")</f>
        <v>0.14999999403953554</v>
      </c>
      <c r="EO76" s="489">
        <f ca="1">IFERROR(XIRR($C68:EO68,$C$52:EO$52),"NaN")</f>
        <v>0.14999999403953554</v>
      </c>
      <c r="EP76" s="489">
        <f ca="1">IFERROR(XIRR($C68:EP68,$C$52:EP$52),"NaN")</f>
        <v>0.14999999403953554</v>
      </c>
      <c r="EQ76" s="489">
        <f ca="1">IFERROR(XIRR($C68:EQ68,$C$52:EQ$52),"NaN")</f>
        <v>0.14999999403953554</v>
      </c>
      <c r="ER76" s="489">
        <f ca="1">IFERROR(XIRR($C68:ER68,$C$52:ER$52),"NaN")</f>
        <v>0.14999999403953554</v>
      </c>
      <c r="ES76" s="489">
        <f ca="1">IFERROR(XIRR($C68:ES68,$C$52:ES$52),"NaN")</f>
        <v>0.14999999403953554</v>
      </c>
      <c r="ET76" s="489">
        <f ca="1">IFERROR(XIRR($C68:ET68,$C$52:ET$52),"NaN")</f>
        <v>0.14999999403953554</v>
      </c>
      <c r="EU76" s="489">
        <f ca="1">IFERROR(XIRR($C68:EU68,$C$52:EU$52),"NaN")</f>
        <v>0.14999999403953554</v>
      </c>
      <c r="EV76" s="489">
        <f ca="1">IFERROR(XIRR($C68:EV68,$C$52:EV$52),"NaN")</f>
        <v>0.14999999403953554</v>
      </c>
      <c r="EW76" s="489">
        <f ca="1">IFERROR(XIRR($C68:EW68,$C$52:EW$52),"NaN")</f>
        <v>0.14999999403953554</v>
      </c>
      <c r="EX76" s="489">
        <f ca="1">IFERROR(XIRR($C68:EX68,$C$52:EX$52),"NaN")</f>
        <v>0.14999999403953554</v>
      </c>
      <c r="EY76" s="489">
        <f ca="1">IFERROR(XIRR($C68:EY68,$C$52:EY$52),"NaN")</f>
        <v>0.14999999403953554</v>
      </c>
      <c r="EZ76" s="489">
        <f ca="1">IFERROR(XIRR($C68:EZ68,$C$52:EZ$52),"NaN")</f>
        <v>0.14999999403953554</v>
      </c>
      <c r="FA76" s="489">
        <f ca="1">IFERROR(XIRR($C68:FA68,$C$52:FA$52),"NaN")</f>
        <v>0.14999999403953554</v>
      </c>
      <c r="FB76" s="489">
        <f ca="1">IFERROR(XIRR($C68:FB68,$C$52:FB$52),"NaN")</f>
        <v>0.14999999403953554</v>
      </c>
      <c r="FC76" s="489">
        <f ca="1">IFERROR(XIRR($C68:FC68,$C$52:FC$52),"NaN")</f>
        <v>0.14999999403953554</v>
      </c>
      <c r="FD76" s="489">
        <f ca="1">IFERROR(XIRR($C68:FD68,$C$52:FD$52),"NaN")</f>
        <v>0.14999999403953554</v>
      </c>
      <c r="FE76" s="489">
        <f ca="1">IFERROR(XIRR($C68:FE68,$C$52:FE$52),"NaN")</f>
        <v>0.14999999403953554</v>
      </c>
      <c r="FF76" s="489">
        <f ca="1">IFERROR(XIRR($C68:FF68,$C$52:FF$52),"NaN")</f>
        <v>0.14999999403953554</v>
      </c>
      <c r="FG76" s="489">
        <f ca="1">IFERROR(XIRR($C68:FG68,$C$52:FG$52),"NaN")</f>
        <v>0.14999999403953554</v>
      </c>
      <c r="FH76" s="489">
        <f ca="1">IFERROR(XIRR($C68:FH68,$C$52:FH$52),"NaN")</f>
        <v>0.14999999403953554</v>
      </c>
      <c r="FI76" s="489">
        <f ca="1">IFERROR(XIRR($C68:FI68,$C$52:FI$52),"NaN")</f>
        <v>0.14999999403953554</v>
      </c>
      <c r="FJ76" s="489">
        <f ca="1">IFERROR(XIRR($C68:FJ68,$C$52:FJ$52),"NaN")</f>
        <v>0.14999999403953554</v>
      </c>
      <c r="FK76" s="489">
        <f ca="1">IFERROR(XIRR($C68:FK68,$C$52:FK$52),"NaN")</f>
        <v>0.14999999403953554</v>
      </c>
      <c r="FL76" s="489">
        <f ca="1">IFERROR(XIRR($C68:FL68,$C$52:FL$52),"NaN")</f>
        <v>0.14999999403953554</v>
      </c>
      <c r="FM76" s="489">
        <f ca="1">IFERROR(XIRR($C68:FM68,$C$52:FM$52),"NaN")</f>
        <v>0.14999999403953554</v>
      </c>
      <c r="FN76" s="489">
        <f ca="1">IFERROR(XIRR($C68:FN68,$C$52:FN$52),"NaN")</f>
        <v>0.14999999403953554</v>
      </c>
      <c r="FO76" s="489">
        <f ca="1">IFERROR(XIRR($C68:FO68,$C$52:FO$52),"NaN")</f>
        <v>0.14999999403953554</v>
      </c>
      <c r="FP76" s="489">
        <f ca="1">IFERROR(XIRR($C68:FP68,$C$52:FP$52),"NaN")</f>
        <v>0.14999999403953554</v>
      </c>
      <c r="FQ76" s="489">
        <f ca="1">IFERROR(XIRR($C68:FQ68,$C$52:FQ$52),"NaN")</f>
        <v>0.14999999403953554</v>
      </c>
      <c r="FR76" s="489">
        <f ca="1">IFERROR(XIRR($C68:FR68,$C$52:FR$52),"NaN")</f>
        <v>0.14999999403953554</v>
      </c>
      <c r="FS76" s="489">
        <f ca="1">IFERROR(XIRR($C68:FS68,$C$52:FS$52),"NaN")</f>
        <v>0.14999999403953554</v>
      </c>
      <c r="FT76" s="489">
        <f ca="1">IFERROR(XIRR($C68:FT68,$C$52:FT$52),"NaN")</f>
        <v>0.14999999403953554</v>
      </c>
      <c r="FU76" s="489">
        <f ca="1">IFERROR(XIRR($C68:FU68,$C$52:FU$52),"NaN")</f>
        <v>0.14999999403953554</v>
      </c>
      <c r="FV76" s="489">
        <f ca="1">IFERROR(XIRR($C68:FV68,$C$52:FV$52),"NaN")</f>
        <v>0.14999999403953554</v>
      </c>
      <c r="FW76" s="489">
        <f ca="1">IFERROR(XIRR($C68:FW68,$C$52:FW$52),"NaN")</f>
        <v>0.14999999403953554</v>
      </c>
      <c r="FX76" s="489">
        <f ca="1">IFERROR(XIRR($C68:FX68,$C$52:FX$52),"NaN")</f>
        <v>0.14999999403953554</v>
      </c>
      <c r="FY76" s="489">
        <f ca="1">IFERROR(XIRR($C68:FY68,$C$52:FY$52),"NaN")</f>
        <v>0.14999999403953554</v>
      </c>
      <c r="FZ76" s="489">
        <f ca="1">IFERROR(XIRR($C68:FZ68,$C$52:FZ$52),"NaN")</f>
        <v>0.14999999403953554</v>
      </c>
      <c r="GA76" s="490">
        <f ca="1">IFERROR(XIRR($C68:GA68,$C$52:GA$52),"NaN")</f>
        <v>0.14999999403953554</v>
      </c>
    </row>
    <row r="77" spans="1:183" x14ac:dyDescent="0.15">
      <c r="A77" s="312" t="s">
        <v>904</v>
      </c>
      <c r="C77" s="520">
        <f ca="1">HLOOKUP(Cust_LeaseTermYears*12,$D$50:$GA$77,28,FALSE)</f>
        <v>0.2238162338733673</v>
      </c>
      <c r="D77" s="491" t="str">
        <f ca="1">IFERROR(XIRR($C71:D71,$C$52:D$52),"NaN")</f>
        <v>NaN</v>
      </c>
      <c r="E77" s="491" t="str">
        <f ca="1">IFERROR(XIRR($C71:E71,$C$52:E$52),"NaN")</f>
        <v>NaN</v>
      </c>
      <c r="F77" s="491">
        <f ca="1">IFERROR(XIRR($C71:F71,$C$52:F$52),"NaN")</f>
        <v>-0.99999956716392269</v>
      </c>
      <c r="G77" s="491">
        <f ca="1">IFERROR(XIRR($C71:G71,$C$52:G$52),"NaN")</f>
        <v>-0.99996909729816241</v>
      </c>
      <c r="H77" s="491">
        <f ca="1">IFERROR(XIRR($C71:H71,$C$52:H$52),"NaN")</f>
        <v>-0.99961366661009365</v>
      </c>
      <c r="I77" s="491">
        <f ca="1">IFERROR(XIRR($C71:I71,$C$52:I$52),"NaN")</f>
        <v>-0.99809202067554004</v>
      </c>
      <c r="J77" s="491">
        <f ca="1">IFERROR(XIRR($C71:J71,$C$52:J$52),"NaN")</f>
        <v>-0.99395644539035866</v>
      </c>
      <c r="K77" s="491">
        <f ca="1">IFERROR(XIRR($C71:K71,$C$52:K$52),"NaN")</f>
        <v>-0.98590194312855606</v>
      </c>
      <c r="L77" s="491">
        <f ca="1">IFERROR(XIRR($C71:L71,$C$52:L$52),"NaN")</f>
        <v>-0.97297284994274369</v>
      </c>
      <c r="M77" s="491">
        <f ca="1">IFERROR(XIRR($C71:M71,$C$52:M$52),"NaN")</f>
        <v>-0.95508711077272901</v>
      </c>
      <c r="N77" s="491">
        <f ca="1">IFERROR(XIRR($C71:N71,$C$52:N$52),"NaN")</f>
        <v>-0.93239361420273803</v>
      </c>
      <c r="O77" s="491">
        <f ca="1">IFERROR(XIRR($C71:O71,$C$52:O$52),"NaN")</f>
        <v>-0.90553577020764342</v>
      </c>
      <c r="P77" s="491">
        <f ca="1">IFERROR(XIRR($C71:P71,$C$52:P$52),"NaN")</f>
        <v>-0.87867089547216903</v>
      </c>
      <c r="Q77" s="491">
        <f ca="1">IFERROR(XIRR($C71:Q71,$C$52:Q$52),"NaN")</f>
        <v>-0.84926282390952124</v>
      </c>
      <c r="R77" s="491">
        <f ca="1">IFERROR(XIRR($C71:R71,$C$52:R$52),"NaN")</f>
        <v>-0.81813872531056409</v>
      </c>
      <c r="S77" s="491">
        <f ca="1">IFERROR(XIRR($C71:S71,$C$52:S$52),"NaN")</f>
        <v>-0.78575000204145906</v>
      </c>
      <c r="T77" s="491">
        <f ca="1">IFERROR(XIRR($C71:T71,$C$52:T$52),"NaN")</f>
        <v>-0.75263987518846998</v>
      </c>
      <c r="U77" s="491">
        <f ca="1">IFERROR(XIRR($C71:U71,$C$52:U$52),"NaN")</f>
        <v>-0.71958950795233256</v>
      </c>
      <c r="V77" s="491">
        <f ca="1">IFERROR(XIRR($C71:V71,$C$52:V$52),"NaN")</f>
        <v>-0.68654800876975064</v>
      </c>
      <c r="W77" s="491">
        <f ca="1">IFERROR(XIRR($C71:W71,$C$52:W$52),"NaN")</f>
        <v>-0.65391249880194668</v>
      </c>
      <c r="X77" s="491">
        <f ca="1">IFERROR(XIRR($C71:X71,$C$52:X$52),"NaN")</f>
        <v>-0.62180475369095811</v>
      </c>
      <c r="Y77" s="491">
        <f ca="1">IFERROR(XIRR($C71:Y71,$C$52:Y$52),"NaN")</f>
        <v>-0.59048020020127323</v>
      </c>
      <c r="Z77" s="491">
        <f ca="1">IFERROR(XIRR($C71:Z71,$C$52:Z$52),"NaN")</f>
        <v>-0.55997913852334014</v>
      </c>
      <c r="AA77" s="491">
        <f ca="1">IFERROR(XIRR($C71:AA71,$C$52:AA$52),"NaN")</f>
        <v>-0.53039873167872442</v>
      </c>
      <c r="AB77" s="491">
        <f ca="1">IFERROR(XIRR($C71:AB71,$C$52:AB$52),"NaN")</f>
        <v>-0.50092311874032025</v>
      </c>
      <c r="AC77" s="491">
        <f ca="1">IFERROR(XIRR($C71:AC71,$C$52:AC$52),"NaN")</f>
        <v>-0.47257072106003761</v>
      </c>
      <c r="AD77" s="491">
        <f ca="1">IFERROR(XIRR($C71:AD71,$C$52:AD$52),"NaN")</f>
        <v>-0.44538830295205123</v>
      </c>
      <c r="AE77" s="491">
        <f ca="1">IFERROR(XIRR($C71:AE71,$C$52:AE$52),"NaN")</f>
        <v>-0.41931405290961271</v>
      </c>
      <c r="AF77" s="491">
        <f ca="1">IFERROR(XIRR($C71:AF71,$C$52:AF$52),"NaN")</f>
        <v>-0.39433187767863281</v>
      </c>
      <c r="AG77" s="491">
        <f ca="1">IFERROR(XIRR($C71:AG71,$C$52:AG$52),"NaN")</f>
        <v>-0.3704757742583753</v>
      </c>
      <c r="AH77" s="491">
        <f ca="1">IFERROR(XIRR($C71:AH71,$C$52:AH$52),"NaN")</f>
        <v>-0.34764239713549633</v>
      </c>
      <c r="AI77" s="491">
        <f ca="1">IFERROR(XIRR($C71:AI71,$C$52:AI$52),"NaN")</f>
        <v>-0.32582376673817642</v>
      </c>
      <c r="AJ77" s="491">
        <f ca="1">IFERROR(XIRR($C71:AJ71,$C$52:AJ$52),"NaN")</f>
        <v>-0.3049573205411435</v>
      </c>
      <c r="AK77" s="491">
        <f ca="1">IFERROR(XIRR($C71:AK71,$C$52:AK$52),"NaN")</f>
        <v>-0.28502579852938653</v>
      </c>
      <c r="AL77" s="491">
        <f ca="1">IFERROR(XIRR($C71:AL71,$C$52:AL$52),"NaN")</f>
        <v>-0.26597066149115561</v>
      </c>
      <c r="AM77" s="491">
        <f ca="1">IFERROR(XIRR($C71:AM71,$C$52:AM$52),"NaN")</f>
        <v>-0.24775595441460613</v>
      </c>
      <c r="AN77" s="491">
        <f ca="1">IFERROR(XIRR($C71:AN71,$C$52:AN$52),"NaN")</f>
        <v>-0.22978142574429516</v>
      </c>
      <c r="AO77" s="491">
        <f ca="1">IFERROR(XIRR($C71:AO71,$C$52:AO$52),"NaN")</f>
        <v>-0.21263392940163611</v>
      </c>
      <c r="AP77" s="491">
        <f ca="1">IFERROR(XIRR($C71:AP71,$C$52:AP$52),"NaN")</f>
        <v>-0.19628040716052059</v>
      </c>
      <c r="AQ77" s="491">
        <f ca="1">IFERROR(XIRR($C71:AQ71,$C$52:AQ$52),"NaN")</f>
        <v>-0.18066826090216637</v>
      </c>
      <c r="AR77" s="491">
        <f ca="1">IFERROR(XIRR($C71:AR71,$C$52:AR$52),"NaN")</f>
        <v>-0.16575946025550367</v>
      </c>
      <c r="AS77" s="491">
        <f ca="1">IFERROR(XIRR($C71:AS71,$C$52:AS$52),"NaN")</f>
        <v>-0.15153645016252995</v>
      </c>
      <c r="AT77" s="491">
        <f ca="1">IFERROR(XIRR($C71:AT71,$C$52:AT$52),"NaN")</f>
        <v>-0.13794090263545511</v>
      </c>
      <c r="AU77" s="491">
        <f ca="1">IFERROR(XIRR($C71:AU71,$C$52:AU$52),"NaN")</f>
        <v>-0.12494581453502179</v>
      </c>
      <c r="AV77" s="491">
        <f ca="1">IFERROR(XIRR($C71:AV71,$C$52:AV$52),"NaN")</f>
        <v>-0.11251511014997959</v>
      </c>
      <c r="AW77" s="491">
        <f ca="1">IFERROR(XIRR($C71:AW71,$C$52:AW$52),"NaN")</f>
        <v>-0.10062381811439991</v>
      </c>
      <c r="AX77" s="491">
        <f ca="1">IFERROR(XIRR($C71:AX71,$C$52:AX$52),"NaN")</f>
        <v>-8.9240595698356656E-2</v>
      </c>
      <c r="AY77" s="491">
        <f ca="1">IFERROR(XIRR($C71:AY71,$C$52:AY$52),"NaN")</f>
        <v>-7.8340116143226654E-2</v>
      </c>
      <c r="AZ77" s="491">
        <f ca="1">IFERROR(XIRR($C71:AZ71,$C$52:AZ$52),"NaN")</f>
        <v>-6.7551258206367523E-2</v>
      </c>
      <c r="BA77" s="491">
        <f ca="1">IFERROR(XIRR($C71:BA71,$C$52:BA$52),"NaN")</f>
        <v>-5.7228466868400579E-2</v>
      </c>
      <c r="BB77" s="491">
        <f ca="1">IFERROR(XIRR($C71:BB71,$C$52:BB$52),"NaN")</f>
        <v>-4.7348341345787054E-2</v>
      </c>
      <c r="BC77" s="491">
        <f ca="1">IFERROR(XIRR($C71:BC71,$C$52:BC$52),"NaN")</f>
        <v>-3.7885853648185724E-2</v>
      </c>
      <c r="BD77" s="491">
        <f ca="1">IFERROR(XIRR($C71:BD71,$C$52:BD$52),"NaN")</f>
        <v>-2.8819414973258971E-2</v>
      </c>
      <c r="BE77" s="491">
        <f ca="1">IFERROR(XIRR($C71:BE71,$C$52:BE$52),"NaN")</f>
        <v>-2.0130166411399846E-2</v>
      </c>
      <c r="BF77" s="491">
        <f ca="1">IFERROR(XIRR($C71:BF71,$C$52:BF$52),"NaN")</f>
        <v>-1.1796370148658749E-2</v>
      </c>
      <c r="BG77" s="491">
        <f ca="1">IFERROR(XIRR($C71:BG71,$C$52:BG$52),"NaN")</f>
        <v>-3.800413012504578E-3</v>
      </c>
      <c r="BH77" s="491">
        <f ca="1">IFERROR(XIRR($C71:BH71,$C$52:BH$52),"NaN")</f>
        <v>3.8747996091842655E-3</v>
      </c>
      <c r="BI77" s="491">
        <f ca="1">IFERROR(XIRR($C71:BI71,$C$52:BI$52),"NaN")</f>
        <v>1.1245134472846991E-2</v>
      </c>
      <c r="BJ77" s="491">
        <f ca="1">IFERROR(XIRR($C71:BJ71,$C$52:BJ$52),"NaN")</f>
        <v>1.8325397372245793E-2</v>
      </c>
      <c r="BK77" s="491">
        <f ca="1">IFERROR(XIRR($C71:BK71,$C$52:BK$52),"NaN")</f>
        <v>2.5129488110542299E-2</v>
      </c>
      <c r="BL77" s="491">
        <f ca="1">IFERROR(XIRR($C71:BL71,$C$52:BL$52),"NaN")</f>
        <v>3.1891176104545588E-2</v>
      </c>
      <c r="BM77" s="491">
        <f ca="1">IFERROR(XIRR($C71:BM71,$C$52:BM$52),"NaN")</f>
        <v>3.8386121392250061E-2</v>
      </c>
      <c r="BN77" s="491">
        <f ca="1">IFERROR(XIRR($C71:BN71,$C$52:BN$52),"NaN")</f>
        <v>4.4628170132637035E-2</v>
      </c>
      <c r="BO77" s="491">
        <f ca="1">IFERROR(XIRR($C71:BO71,$C$52:BO$52),"NaN")</f>
        <v>5.0629040598869315E-2</v>
      </c>
      <c r="BP77" s="491">
        <f ca="1">IFERROR(XIRR($C71:BP71,$C$52:BP$52),"NaN")</f>
        <v>5.6400296092033383E-2</v>
      </c>
      <c r="BQ77" s="491">
        <f ca="1">IFERROR(XIRR($C71:BQ71,$C$52:BQ$52),"NaN")</f>
        <v>6.1955532431602484E-2</v>
      </c>
      <c r="BR77" s="491">
        <f ca="1">IFERROR(XIRR($C71:BR71,$C$52:BR$52),"NaN")</f>
        <v>6.7302551865577723E-2</v>
      </c>
      <c r="BS77" s="491">
        <f ca="1">IFERROR(XIRR($C71:BS71,$C$52:BS$52),"NaN")</f>
        <v>7.2451964020729065E-2</v>
      </c>
      <c r="BT77" s="491">
        <f ca="1">IFERROR(XIRR($C71:BT71,$C$52:BT$52),"NaN")</f>
        <v>7.7411934733390822E-2</v>
      </c>
      <c r="BU77" s="491">
        <f ca="1">IFERROR(XIRR($C71:BU71,$C$52:BU$52),"NaN")</f>
        <v>8.219206035137179E-2</v>
      </c>
      <c r="BV77" s="491">
        <f ca="1">IFERROR(XIRR($C71:BV71,$C$52:BV$52),"NaN")</f>
        <v>8.6799463629722601E-2</v>
      </c>
      <c r="BW77" s="491">
        <f ca="1">IFERROR(XIRR($C71:BW71,$C$52:BW$52),"NaN")</f>
        <v>9.1241815686225899E-2</v>
      </c>
      <c r="BX77" s="491">
        <f ca="1">IFERROR(XIRR($C71:BX71,$C$52:BX$52),"NaN")</f>
        <v>9.5672246813774106E-2</v>
      </c>
      <c r="BY77" s="491">
        <f ca="1">IFERROR(XIRR($C71:BY71,$C$52:BY$52),"NaN")</f>
        <v>9.9942654371261597E-2</v>
      </c>
      <c r="BZ77" s="491">
        <f ca="1">IFERROR(XIRR($C71:BZ71,$C$52:BZ$52),"NaN")</f>
        <v>0.10406133532524109</v>
      </c>
      <c r="CA77" s="491">
        <f ca="1">IFERROR(XIRR($C71:CA71,$C$52:CA$52),"NaN")</f>
        <v>0.10803398489952087</v>
      </c>
      <c r="CB77" s="491">
        <f ca="1">IFERROR(XIRR($C71:CB71,$C$52:CB$52),"NaN")</f>
        <v>0.11186700463294985</v>
      </c>
      <c r="CC77" s="491">
        <f ca="1">IFERROR(XIRR($C71:CC71,$C$52:CC$52),"NaN")</f>
        <v>0.11556867957115172</v>
      </c>
      <c r="CD77" s="491">
        <f ca="1">IFERROR(XIRR($C71:CD71,$C$52:CD$52),"NaN")</f>
        <v>0.1191425383090973</v>
      </c>
      <c r="CE77" s="491">
        <f ca="1">IFERROR(XIRR($C71:CE71,$C$52:CE$52),"NaN")</f>
        <v>0.12259511351585387</v>
      </c>
      <c r="CF77" s="491">
        <f ca="1">IFERROR(XIRR($C71:CF71,$C$52:CF$52),"NaN")</f>
        <v>0.1259304702281952</v>
      </c>
      <c r="CG77" s="491">
        <f ca="1">IFERROR(XIRR($C71:CG71,$C$52:CG$52),"NaN")</f>
        <v>0.12915453314781186</v>
      </c>
      <c r="CH77" s="491">
        <f ca="1">IFERROR(XIRR($C71:CH71,$C$52:CH$52),"NaN")</f>
        <v>0.13227090239524841</v>
      </c>
      <c r="CI77" s="491">
        <f ca="1">IFERROR(XIRR($C71:CI71,$C$52:CI$52),"NaN")</f>
        <v>0.13528395295143131</v>
      </c>
      <c r="CJ77" s="491">
        <f ca="1">IFERROR(XIRR($C71:CJ71,$C$52:CJ$52),"NaN")</f>
        <v>0.13829773068428045</v>
      </c>
      <c r="CK77" s="491">
        <f ca="1">IFERROR(XIRR($C71:CK71,$C$52:CK$52),"NaN")</f>
        <v>0.14121096730232241</v>
      </c>
      <c r="CL77" s="491">
        <f ca="1">IFERROR(XIRR($C71:CL71,$C$52:CL$52),"NaN")</f>
        <v>0.14402881264686587</v>
      </c>
      <c r="CM77" s="491">
        <f ca="1">IFERROR(XIRR($C71:CM71,$C$52:CM$52),"NaN")</f>
        <v>0.14675415158271796</v>
      </c>
      <c r="CN77" s="491">
        <f ca="1">IFERROR(XIRR($C71:CN71,$C$52:CN$52),"NaN")</f>
        <v>0.14939072728157043</v>
      </c>
      <c r="CO77" s="491">
        <f ca="1">IFERROR(XIRR($C71:CO71,$C$52:CO$52),"NaN")</f>
        <v>0.15194502472877505</v>
      </c>
      <c r="CP77" s="491">
        <f ca="1">IFERROR(XIRR($C71:CP71,$C$52:CP$52),"NaN")</f>
        <v>0.15441740155220035</v>
      </c>
      <c r="CQ77" s="491">
        <f ca="1">IFERROR(XIRR($C71:CQ71,$C$52:CQ$52),"NaN")</f>
        <v>0.15681204199790957</v>
      </c>
      <c r="CR77" s="491">
        <f ca="1">IFERROR(XIRR($C71:CR71,$C$52:CR$52),"NaN")</f>
        <v>0.15913100838661201</v>
      </c>
      <c r="CS77" s="491">
        <f ca="1">IFERROR(XIRR($C71:CS71,$C$52:CS$52),"NaN")</f>
        <v>0.16137812733650214</v>
      </c>
      <c r="CT77" s="491">
        <f ca="1">IFERROR(XIRR($C71:CT71,$C$52:CT$52),"NaN")</f>
        <v>0.16355525851249694</v>
      </c>
      <c r="CU77" s="491">
        <f ca="1">IFERROR(XIRR($C71:CU71,$C$52:CU$52),"NaN")</f>
        <v>0.16566502451896672</v>
      </c>
      <c r="CV77" s="491">
        <f ca="1">IFERROR(XIRR($C71:CV71,$C$52:CV$52),"NaN")</f>
        <v>0.16778035759925844</v>
      </c>
      <c r="CW77" s="491">
        <f ca="1">IFERROR(XIRR($C71:CW71,$C$52:CW$52),"NaN")</f>
        <v>0.16982988715171812</v>
      </c>
      <c r="CX77" s="491">
        <f ca="1">IFERROR(XIRR($C71:CX71,$C$52:CX$52),"NaN")</f>
        <v>0.17181698679924012</v>
      </c>
      <c r="CY77" s="491">
        <f ca="1">IFERROR(XIRR($C71:CY71,$C$52:CY$52),"NaN")</f>
        <v>0.17374314665794374</v>
      </c>
      <c r="CZ77" s="491">
        <f ca="1">IFERROR(XIRR($C71:CZ71,$C$52:CZ$52),"NaN")</f>
        <v>0.17561063170433044</v>
      </c>
      <c r="DA77" s="491">
        <f ca="1">IFERROR(XIRR($C71:DA71,$C$52:DA$52),"NaN")</f>
        <v>0.17742404341697696</v>
      </c>
      <c r="DB77" s="491">
        <f ca="1">IFERROR(XIRR($C71:DB71,$C$52:DB$52),"NaN")</f>
        <v>0.17918296456336977</v>
      </c>
      <c r="DC77" s="491">
        <f ca="1">IFERROR(XIRR($C71:DC71,$C$52:DC$52),"NaN")</f>
        <v>0.18089013695716857</v>
      </c>
      <c r="DD77" s="491">
        <f ca="1">IFERROR(XIRR($C71:DD71,$C$52:DD$52),"NaN")</f>
        <v>0.18254668116569522</v>
      </c>
      <c r="DE77" s="491">
        <f ca="1">IFERROR(XIRR($C71:DE71,$C$52:DE$52),"NaN")</f>
        <v>0.18415511250495914</v>
      </c>
      <c r="DF77" s="491">
        <f ca="1">IFERROR(XIRR($C71:DF71,$C$52:DF$52),"NaN")</f>
        <v>0.1857164442539215</v>
      </c>
      <c r="DG77" s="491">
        <f ca="1">IFERROR(XIRR($C71:DG71,$C$52:DG$52),"NaN")</f>
        <v>0.1872322976589203</v>
      </c>
      <c r="DH77" s="491">
        <f ca="1">IFERROR(XIRR($C71:DH71,$C$52:DH$52),"NaN")</f>
        <v>0.18875511288642879</v>
      </c>
      <c r="DI77" s="491">
        <f ca="1">IFERROR(XIRR($C71:DI71,$C$52:DI$52),"NaN")</f>
        <v>0.19023337960243222</v>
      </c>
      <c r="DJ77" s="491">
        <f ca="1">IFERROR(XIRR($C71:DJ71,$C$52:DJ$52),"NaN")</f>
        <v>0.191669362783432</v>
      </c>
      <c r="DK77" s="491">
        <f ca="1">IFERROR(XIRR($C71:DK71,$C$52:DK$52),"NaN")</f>
        <v>0.19306386113166812</v>
      </c>
      <c r="DL77" s="491">
        <f ca="1">IFERROR(XIRR($C71:DL71,$C$52:DL$52),"NaN")</f>
        <v>0.19441830515861508</v>
      </c>
      <c r="DM77" s="491">
        <f ca="1">IFERROR(XIRR($C71:DM71,$C$52:DM$52),"NaN")</f>
        <v>0.19573599696159363</v>
      </c>
      <c r="DN77" s="491">
        <f ca="1">IFERROR(XIRR($C71:DN71,$C$52:DN$52),"NaN")</f>
        <v>0.19701628088951115</v>
      </c>
      <c r="DO77" s="491">
        <f ca="1">IFERROR(XIRR($C71:DO71,$C$52:DO$52),"NaN")</f>
        <v>0.19826104044914244</v>
      </c>
      <c r="DP77" s="491">
        <f ca="1">IFERROR(XIRR($C71:DP71,$C$52:DP$52),"NaN")</f>
        <v>0.19947087168693542</v>
      </c>
      <c r="DQ77" s="491">
        <f ca="1">IFERROR(XIRR($C71:DQ71,$C$52:DQ$52),"NaN")</f>
        <v>0.20064750313758853</v>
      </c>
      <c r="DR77" s="491">
        <f ca="1">IFERROR(XIRR($C71:DR71,$C$52:DR$52),"NaN")</f>
        <v>0.20179148316383366</v>
      </c>
      <c r="DS77" s="491">
        <f ca="1">IFERROR(XIRR($C71:DS71,$C$52:DS$52),"NaN")</f>
        <v>0.2238162338733673</v>
      </c>
      <c r="DT77" s="491">
        <f ca="1">IFERROR(XIRR($C71:DT71,$C$52:DT$52),"NaN")</f>
        <v>0.22367141842842106</v>
      </c>
      <c r="DU77" s="491">
        <f ca="1">IFERROR(XIRR($C71:DU71,$C$52:DU$52),"NaN")</f>
        <v>0.2235288441181183</v>
      </c>
      <c r="DV77" s="491">
        <f ca="1">IFERROR(XIRR($C71:DV71,$C$52:DV$52),"NaN")</f>
        <v>0.22338840365409851</v>
      </c>
      <c r="DW77" s="491">
        <f ca="1">IFERROR(XIRR($C71:DW71,$C$52:DW$52),"NaN")</f>
        <v>0.22325013279914857</v>
      </c>
      <c r="DX77" s="491">
        <f ca="1">IFERROR(XIRR($C71:DX71,$C$52:DX$52),"NaN")</f>
        <v>0.22311400771141052</v>
      </c>
      <c r="DY77" s="491">
        <f ca="1">IFERROR(XIRR($C71:DY71,$C$52:DY$52),"NaN")</f>
        <v>0.22297983765602114</v>
      </c>
      <c r="DZ77" s="491">
        <f ca="1">IFERROR(XIRR($C71:DZ71,$C$52:DZ$52),"NaN")</f>
        <v>0.22284774184226988</v>
      </c>
      <c r="EA77" s="491">
        <f ca="1">IFERROR(XIRR($C71:EA71,$C$52:EA$52),"NaN")</f>
        <v>0.2227176249027252</v>
      </c>
      <c r="EB77" s="491">
        <f ca="1">IFERROR(XIRR($C71:EB71,$C$52:EB$52),"NaN")</f>
        <v>0.22258952260017395</v>
      </c>
      <c r="EC77" s="491">
        <f ca="1">IFERROR(XIRR($C71:EC71,$C$52:EC$52),"NaN")</f>
        <v>0.22246331572532657</v>
      </c>
      <c r="ED77" s="491">
        <f ca="1">IFERROR(XIRR($C71:ED71,$C$52:ED$52),"NaN")</f>
        <v>0.22233907580375667</v>
      </c>
      <c r="EE77" s="491">
        <f ca="1">IFERROR(XIRR($C71:EE71,$C$52:EE$52),"NaN")</f>
        <v>0.22221674323081972</v>
      </c>
      <c r="EF77" s="491">
        <f ca="1">IFERROR(XIRR($C71:EF71,$C$52:EF$52),"NaN")</f>
        <v>0.22209262251853942</v>
      </c>
      <c r="EG77" s="491">
        <f ca="1">IFERROR(XIRR($C71:EG71,$C$52:EG$52),"NaN")</f>
        <v>0.22197040915489194</v>
      </c>
      <c r="EH77" s="491">
        <f ca="1">IFERROR(XIRR($C71:EH71,$C$52:EH$52),"NaN")</f>
        <v>0.22185001969337462</v>
      </c>
      <c r="EI77" s="491">
        <f ca="1">IFERROR(XIRR($C71:EI71,$C$52:EI$52),"NaN")</f>
        <v>0.22173147797584536</v>
      </c>
      <c r="EJ77" s="491">
        <f ca="1">IFERROR(XIRR($C71:EJ71,$C$52:EJ$52),"NaN")</f>
        <v>0.22161476016044615</v>
      </c>
      <c r="EK77" s="491">
        <f ca="1">IFERROR(XIRR($C71:EK71,$C$52:EK$52),"NaN")</f>
        <v>0.2214996635913849</v>
      </c>
      <c r="EL77" s="491">
        <f ca="1">IFERROR(XIRR($C71:EL71,$C$52:EL$52),"NaN")</f>
        <v>0.22138631939888001</v>
      </c>
      <c r="EM77" s="491">
        <f ca="1">IFERROR(XIRR($C71:EM71,$C$52:EM$52),"NaN")</f>
        <v>0.22127466797828671</v>
      </c>
      <c r="EN77" s="491">
        <f ca="1">IFERROR(XIRR($C71:EN71,$C$52:EN$52),"NaN")</f>
        <v>0.22116473317146296</v>
      </c>
      <c r="EO77" s="491">
        <f ca="1">IFERROR(XIRR($C71:EO71,$C$52:EO$52),"NaN")</f>
        <v>0.2210564315319061</v>
      </c>
      <c r="EP77" s="491">
        <f ca="1">IFERROR(XIRR($C71:EP71,$C$52:EP$52),"NaN")</f>
        <v>0.22094979882240298</v>
      </c>
      <c r="EQ77" s="491">
        <f ca="1">IFERROR(XIRR($C71:EQ71,$C$52:EQ$52),"NaN")</f>
        <v>0.22084479928016662</v>
      </c>
      <c r="ER77" s="491">
        <f ca="1">IFERROR(XIRR($C71:ER71,$C$52:ER$52),"NaN")</f>
        <v>0.22073826193809512</v>
      </c>
      <c r="ES77" s="491">
        <f ca="1">IFERROR(XIRR($C71:ES71,$C$52:ES$52),"NaN")</f>
        <v>0.22063334584236147</v>
      </c>
      <c r="ET77" s="491">
        <f ca="1">IFERROR(XIRR($C71:ET71,$C$52:ET$52),"NaN")</f>
        <v>0.22052999138832094</v>
      </c>
      <c r="EU77" s="491">
        <f ca="1">IFERROR(XIRR($C71:EU71,$C$52:EU$52),"NaN")</f>
        <v>0.22042822241783142</v>
      </c>
      <c r="EV77" s="491">
        <f ca="1">IFERROR(XIRR($C71:EV71,$C$52:EV$52),"NaN")</f>
        <v>0.22032801508903505</v>
      </c>
      <c r="EW77" s="491">
        <f ca="1">IFERROR(XIRR($C71:EW71,$C$52:EW$52),"NaN")</f>
        <v>0.22022919058799742</v>
      </c>
      <c r="EX77" s="491">
        <f ca="1">IFERROR(XIRR($C71:EX71,$C$52:EX$52),"NaN")</f>
        <v>0.22013188004493714</v>
      </c>
      <c r="EY77" s="491">
        <f ca="1">IFERROR(XIRR($C71:EY71,$C$52:EY$52),"NaN")</f>
        <v>0.22003600001335144</v>
      </c>
      <c r="EZ77" s="491">
        <f ca="1">IFERROR(XIRR($C71:EZ71,$C$52:EZ$52),"NaN")</f>
        <v>0.21994159817695619</v>
      </c>
      <c r="FA77" s="491">
        <f ca="1">IFERROR(XIRR($C71:FA71,$C$52:FA$52),"NaN")</f>
        <v>0.21984860301017761</v>
      </c>
      <c r="FB77" s="491">
        <f ca="1">IFERROR(XIRR($C71:FB71,$C$52:FB$52),"NaN")</f>
        <v>0.21975702643394471</v>
      </c>
      <c r="FC77" s="491">
        <f ca="1">IFERROR(XIRR($C71:FC71,$C$52:FC$52),"NaN")</f>
        <v>0.21966685652732851</v>
      </c>
      <c r="FD77" s="491">
        <f ca="1">IFERROR(XIRR($C71:FD71,$C$52:FD$52),"NaN")</f>
        <v>0.21957535147666932</v>
      </c>
      <c r="FE77" s="491">
        <f ca="1">IFERROR(XIRR($C71:FE71,$C$52:FE$52),"NaN")</f>
        <v>0.21948525309562683</v>
      </c>
      <c r="FF77" s="491">
        <f ca="1">IFERROR(XIRR($C71:FF71,$C$52:FF$52),"NaN")</f>
        <v>0.21939648985862734</v>
      </c>
      <c r="FG77" s="491">
        <f ca="1">IFERROR(XIRR($C71:FG71,$C$52:FG$52),"NaN")</f>
        <v>0.21930908560752868</v>
      </c>
      <c r="FH77" s="491">
        <f ca="1">IFERROR(XIRR($C71:FH71,$C$52:FH$52),"NaN")</f>
        <v>0.21922301650047302</v>
      </c>
      <c r="FI77" s="491">
        <f ca="1">IFERROR(XIRR($C71:FI71,$C$52:FI$52),"NaN")</f>
        <v>0.21913812756538392</v>
      </c>
      <c r="FJ77" s="491">
        <f ca="1">IFERROR(XIRR($C71:FJ71,$C$52:FJ$52),"NaN")</f>
        <v>0.21905453801155092</v>
      </c>
      <c r="FK77" s="491">
        <f ca="1">IFERROR(XIRR($C71:FK71,$C$52:FK$52),"NaN")</f>
        <v>0.21897218823432923</v>
      </c>
      <c r="FL77" s="491">
        <f ca="1">IFERROR(XIRR($C71:FL71,$C$52:FL$52),"NaN")</f>
        <v>0.2188911020755768</v>
      </c>
      <c r="FM77" s="491">
        <f ca="1">IFERROR(XIRR($C71:FM71,$C$52:FM$52),"NaN")</f>
        <v>0.21881121993064881</v>
      </c>
      <c r="FN77" s="491">
        <f ca="1">IFERROR(XIRR($C71:FN71,$C$52:FN$52),"NaN")</f>
        <v>0.21873256564140317</v>
      </c>
      <c r="FO77" s="491">
        <f ca="1">IFERROR(XIRR($C71:FO71,$C$52:FO$52),"NaN")</f>
        <v>0.2186551034450531</v>
      </c>
      <c r="FP77" s="491">
        <f ca="1">IFERROR(XIRR($C71:FP71,$C$52:FP$52),"NaN")</f>
        <v>0.21857650876045231</v>
      </c>
      <c r="FQ77" s="491">
        <f ca="1">IFERROR(XIRR($C71:FQ71,$C$52:FQ$52),"NaN")</f>
        <v>0.2184991180896759</v>
      </c>
      <c r="FR77" s="491">
        <f ca="1">IFERROR(XIRR($C71:FR71,$C$52:FR$52),"NaN")</f>
        <v>0.21842287182807923</v>
      </c>
      <c r="FS77" s="491">
        <f ca="1">IFERROR(XIRR($C71:FS71,$C$52:FS$52),"NaN")</f>
        <v>0.21834779381752009</v>
      </c>
      <c r="FT77" s="491">
        <f ca="1">IFERROR(XIRR($C71:FT71,$C$52:FT$52),"NaN")</f>
        <v>0.21827386021614073</v>
      </c>
      <c r="FU77" s="491">
        <f ca="1">IFERROR(XIRR($C71:FU71,$C$52:FU$52),"NaN")</f>
        <v>0.21820098757743833</v>
      </c>
      <c r="FV77" s="491">
        <f ca="1">IFERROR(XIRR($C71:FV71,$C$52:FV$52),"NaN")</f>
        <v>0.21812922358512873</v>
      </c>
      <c r="FW77" s="491">
        <f ca="1">IFERROR(XIRR($C71:FW71,$C$52:FW$52),"NaN")</f>
        <v>0.21805853247642518</v>
      </c>
      <c r="FX77" s="491">
        <f ca="1">IFERROR(XIRR($C71:FX71,$C$52:FX$52),"NaN")</f>
        <v>0.21798892617225649</v>
      </c>
      <c r="FY77" s="491">
        <f ca="1">IFERROR(XIRR($C71:FY71,$C$52:FY$52),"NaN")</f>
        <v>0.21792034506797789</v>
      </c>
      <c r="FZ77" s="491">
        <f ca="1">IFERROR(XIRR($C71:FZ71,$C$52:FZ$52),"NaN")</f>
        <v>0.21785281300544737</v>
      </c>
      <c r="GA77" s="492">
        <f ca="1">IFERROR(XIRR($C71:GA71,$C$52:GA$52),"NaN")</f>
        <v>0.21778632998466488</v>
      </c>
    </row>
    <row r="80" spans="1:183" x14ac:dyDescent="0.15">
      <c r="A80" s="70" t="s">
        <v>316</v>
      </c>
      <c r="BK80" s="277">
        <f ca="1">MAX((-XNPV(BlendedReqIRR,$C58:BK58,$C52:BK52)*FV(BlendedReqIRR,(BK52-$C52)/365,0,-1))+$C20,0)</f>
        <v>220962.80386794516</v>
      </c>
      <c r="BL80" s="277">
        <f ca="1">MAX((-XNPV(BlendedReqIRR,$C58:BL58,$C52:BL52)*FV(BlendedReqIRR,(BL52-$C52)/365,0,-1))+$C20,0)</f>
        <v>218808.54892010035</v>
      </c>
      <c r="BM80" s="277">
        <f ca="1">MAX((-XNPV(BlendedReqIRR,$C58:BM58,$C52:BM52)*FV(BlendedReqIRR,(BM52-$C52)/365,0,-1))+$C20,0)</f>
        <v>216709.050064365</v>
      </c>
      <c r="BN80" s="277">
        <f ca="1">MAX((-XNPV(BlendedReqIRR,$C58:BN58,$C52:BN52)*FV(BlendedReqIRR,(BN52-$C52)/365,0,-1))+$C20,0)</f>
        <v>214505.64930756597</v>
      </c>
      <c r="BO80" s="277">
        <f ca="1">MAX((-XNPV(BlendedReqIRR,$C58:BO58,$C52:BO52)*FV(BlendedReqIRR,(BO52-$C52)/365,0,-1))+$C20,0)</f>
        <v>212354.7698602434</v>
      </c>
      <c r="BP80" s="277">
        <f ca="1">MAX((-XNPV(BlendedReqIRR,$C58:BP58,$C52:BP52)*FV(BlendedReqIRR,(BP52-$C52)/365,0,-1))+$C20,0)</f>
        <v>210178.20692773932</v>
      </c>
      <c r="BQ80" s="277">
        <f ca="1">MAX((-XNPV(BlendedReqIRR,$C58:BQ58,$C52:BQ52)*FV(BlendedReqIRR,(BQ52-$C52)/365,0,-1))+$C20,0)</f>
        <v>207746.8358987782</v>
      </c>
      <c r="BR80" s="277">
        <f ca="1">MAX((-XNPV(BlendedReqIRR,$C58:BR58,$C52:BR52)*FV(BlendedReqIRR,(BR52-$C52)/365,0,-1))+$C20,0)</f>
        <v>205515.24998311055</v>
      </c>
      <c r="BS80" s="277">
        <f ca="1">MAX((-XNPV(BlendedReqIRR,$C58:BS58,$C52:BS52)*FV(BlendedReqIRR,(BS52-$C52)/365,0,-1))+$C20,0)</f>
        <v>203182.52148764406</v>
      </c>
      <c r="BT80" s="277">
        <f ca="1">MAX((-XNPV(BlendedReqIRR,$C58:BT58,$C52:BT52)*FV(BlendedReqIRR,(BT52-$C52)/365,0,-1))+$C20,0)</f>
        <v>200896.43344649082</v>
      </c>
      <c r="BU80" s="277">
        <f ca="1">MAX((-XNPV(BlendedReqIRR,$C58:BU58,$C52:BU52)*FV(BlendedReqIRR,(BU52-$C52)/365,0,-1))+$C20,0)</f>
        <v>198510.3413842583</v>
      </c>
      <c r="BV80" s="277">
        <f ca="1">MAX((-XNPV(BlendedReqIRR,$C58:BV58,$C52:BV52)*FV(BlendedReqIRR,(BV52-$C52)/365,0,-1))+$C20,0)</f>
        <v>196168.46320172818</v>
      </c>
      <c r="BW80" s="277">
        <f ca="1">MAX((-XNPV(BlendedReqIRR,$C58:BW58,$C52:BW52)*FV(BlendedReqIRR,(BW52-$C52)/365,0,-1))+$C20,0)</f>
        <v>193798.62083288681</v>
      </c>
      <c r="BX80" s="277">
        <f ca="1">MAX((-XNPV(BlendedReqIRR,$C58:BX58,$C52:BX52)*FV(BlendedReqIRR,(BX52-$C52)/365,0,-1))+$C20,0)</f>
        <v>191170.49424181628</v>
      </c>
      <c r="BY80" s="277">
        <f ca="1">MAX((-XNPV(BlendedReqIRR,$C58:BY58,$C52:BY52)*FV(BlendedReqIRR,(BY52-$C52)/365,0,-1))+$C20,0)</f>
        <v>188580.94166867645</v>
      </c>
      <c r="BZ80" s="277">
        <f ca="1">MAX((-XNPV(BlendedReqIRR,$C58:BZ58,$C52:BZ52)*FV(BlendedReqIRR,(BZ52-$C52)/365,0,-1))+$C20,0)</f>
        <v>185892.53254240775</v>
      </c>
      <c r="CA80" s="277">
        <f ca="1">MAX((-XNPV(BlendedReqIRR,$C58:CA58,$C52:CA52)*FV(BlendedReqIRR,(CA52-$C52)/365,0,-1))+$C20,0)</f>
        <v>183239.95623668993</v>
      </c>
      <c r="CB80" s="277">
        <f ca="1">MAX((-XNPV(BlendedReqIRR,$C58:CB58,$C52:CB52)*FV(BlendedReqIRR,(CB52-$C52)/365,0,-1))+$C20,0)</f>
        <v>180555.70572239405</v>
      </c>
      <c r="CC80" s="277">
        <f ca="1">MAX((-XNPV(BlendedReqIRR,$C58:CC58,$C52:CC52)*FV(BlendedReqIRR,(CC52-$C52)/365,0,-1))+$C20,0)</f>
        <v>177709.77585974138</v>
      </c>
      <c r="CD80" s="277">
        <f ca="1">MAX((-XNPV(BlendedReqIRR,$C58:CD58,$C52:CD52)*FV(BlendedReqIRR,(CD52-$C52)/365,0,-1))+$C20,0)</f>
        <v>174959.48988913972</v>
      </c>
      <c r="CE80" s="277">
        <f ca="1">MAX((-XNPV(BlendedReqIRR,$C58:CE58,$C52:CE52)*FV(BlendedReqIRR,(CE52-$C52)/365,0,-1))+$C20,0)</f>
        <v>172113.70511356255</v>
      </c>
      <c r="CF80" s="277">
        <f ca="1">MAX((-XNPV(BlendedReqIRR,$C58:CF58,$C52:CF52)*FV(BlendedReqIRR,(CF52-$C52)/365,0,-1))+$C20,0)</f>
        <v>169296.59689485061</v>
      </c>
      <c r="CG80" s="277">
        <f ca="1">MAX((-XNPV(BlendedReqIRR,$C58:CG58,$C52:CG52)*FV(BlendedReqIRR,(CG52-$C52)/365,0,-1))+$C20,0)</f>
        <v>166385.38579935074</v>
      </c>
      <c r="CH80" s="277">
        <f ca="1">MAX((-XNPV(BlendedReqIRR,$C58:CH58,$C52:CH52)*FV(BlendedReqIRR,(CH52-$C52)/365,0,-1))+$C20,0)</f>
        <v>163499.8761626026</v>
      </c>
      <c r="CI80" s="277">
        <f ca="1">MAX((-XNPV(BlendedReqIRR,$C58:CI58,$C52:CI52)*FV(BlendedReqIRR,(CI52-$C52)/365,0,-1))+$C20,0)</f>
        <v>160579.91087838021</v>
      </c>
      <c r="CJ80" s="277">
        <f ca="1">MAX((-XNPV(BlendedReqIRR,$C58:CJ58,$C52:CJ52)*FV(BlendedReqIRR,(CJ52-$C52)/365,0,-1))+$C20,0)</f>
        <v>157402.34173214072</v>
      </c>
      <c r="CK80" s="277">
        <f ca="1">MAX((-XNPV(BlendedReqIRR,$C58:CK58,$C52:CK52)*FV(BlendedReqIRR,(CK52-$C52)/365,0,-1))+$C20,0)</f>
        <v>154243.91657381249</v>
      </c>
      <c r="CL80" s="277">
        <f ca="1">MAX((-XNPV(BlendedReqIRR,$C58:CL58,$C52:CL52)*FV(BlendedReqIRR,(CL52-$C52)/365,0,-1))+$C20,0)</f>
        <v>150993.14442147399</v>
      </c>
      <c r="CM80" s="277">
        <f ca="1">MAX((-XNPV(BlendedReqIRR,$C58:CM58,$C52:CM52)*FV(BlendedReqIRR,(CM52-$C52)/365,0,-1))+$C20,0)</f>
        <v>147758.18753359714</v>
      </c>
      <c r="CN80" s="277">
        <f ca="1">MAX((-XNPV(BlendedReqIRR,$C58:CN58,$C52:CN52)*FV(BlendedReqIRR,(CN52-$C52)/365,0,-1))+$C20,0)</f>
        <v>144484.6022756384</v>
      </c>
      <c r="CO80" s="277">
        <f ca="1">MAX((-XNPV(BlendedReqIRR,$C58:CO58,$C52:CO52)*FV(BlendedReqIRR,(CO52-$C52)/365,0,-1))+$C20,0)</f>
        <v>141019.43083117931</v>
      </c>
      <c r="CP80" s="277">
        <f ca="1">MAX((-XNPV(BlendedReqIRR,$C58:CP58,$C52:CP52)*FV(BlendedReqIRR,(CP52-$C52)/365,0,-1))+$C20,0)</f>
        <v>137665.37860045556</v>
      </c>
      <c r="CQ80" s="277">
        <f ca="1">MAX((-XNPV(BlendedReqIRR,$C58:CQ58,$C52:CQ52)*FV(BlendedReqIRR,(CQ52-$C52)/365,0,-1))+$C20,0)</f>
        <v>134223.06605871004</v>
      </c>
      <c r="CR80" s="277">
        <f ca="1">MAX((-XNPV(BlendedReqIRR,$C58:CR58,$C52:CR52)*FV(BlendedReqIRR,(CR52-$C52)/365,0,-1))+$C20,0)</f>
        <v>130787.85896171081</v>
      </c>
      <c r="CS80" s="277">
        <f ca="1">MAX((-XNPV(BlendedReqIRR,$C58:CS58,$C52:CS52)*FV(BlendedReqIRR,(CS52-$C52)/365,0,-1))+$C20,0)</f>
        <v>127266.08689272132</v>
      </c>
      <c r="CT80" s="277">
        <f ca="1">MAX((-XNPV(BlendedReqIRR,$C58:CT58,$C52:CT52)*FV(BlendedReqIRR,(CT52-$C52)/365,0,-1))+$C20,0)</f>
        <v>123747.80704539179</v>
      </c>
      <c r="CU80" s="277">
        <f ca="1">MAX((-XNPV(BlendedReqIRR,$C58:CU58,$C52:CU52)*FV(BlendedReqIRR,(CU52-$C52)/365,0,-1))+$C20,0)</f>
        <v>120187.51569042713</v>
      </c>
      <c r="CV80" s="277">
        <f ca="1">MAX((-XNPV(BlendedReqIRR,$C58:CV58,$C52:CV52)*FV(BlendedReqIRR,(CV52-$C52)/365,0,-1))+$C20,0)</f>
        <v>116371.80560606084</v>
      </c>
      <c r="CW80" s="277">
        <f ca="1">MAX((-XNPV(BlendedReqIRR,$C58:CW58,$C52:CW52)*FV(BlendedReqIRR,(CW52-$C52)/365,0,-1))+$C20,0)</f>
        <v>112551.97119925151</v>
      </c>
      <c r="CX80" s="277">
        <f ca="1">MAX((-XNPV(BlendedReqIRR,$C58:CX58,$C52:CX52)*FV(BlendedReqIRR,(CX52-$C52)/365,0,-1))+$C20,0)</f>
        <v>108648.04373603522</v>
      </c>
      <c r="CY80" s="277">
        <f ca="1">MAX((-XNPV(BlendedReqIRR,$C58:CY58,$C52:CY52)*FV(BlendedReqIRR,(CY52-$C52)/365,0,-1))+$C20,0)</f>
        <v>104735.98048591184</v>
      </c>
      <c r="CZ80" s="277">
        <f ca="1">MAX((-XNPV(BlendedReqIRR,$C58:CZ58,$C52:CZ52)*FV(BlendedReqIRR,(CZ52-$C52)/365,0,-1))+$C20,0)</f>
        <v>100777.2035909866</v>
      </c>
      <c r="DA80" s="277">
        <f ca="1">MAX((-XNPV(BlendedReqIRR,$C58:DA58,$C52:DA52)*FV(BlendedReqIRR,(DA52-$C52)/365,0,-1))+$C20,0)</f>
        <v>96669.436972852025</v>
      </c>
      <c r="DB80" s="277">
        <f ca="1">MAX((-XNPV(BlendedReqIRR,$C58:DB58,$C52:DB52)*FV(BlendedReqIRR,(DB52-$C52)/365,0,-1))+$C20,0)</f>
        <v>92614.33810551597</v>
      </c>
      <c r="DC80" s="277">
        <f ca="1">MAX((-XNPV(BlendedReqIRR,$C58:DC58,$C52:DC52)*FV(BlendedReqIRR,(DC52-$C52)/365,0,-1))+$C20,0)</f>
        <v>88480.060896576339</v>
      </c>
      <c r="DD80" s="277">
        <f ca="1">MAX((-XNPV(BlendedReqIRR,$C58:DD58,$C52:DD52)*FV(BlendedReqIRR,(DD52-$C52)/365,0,-1))+$C20,0)</f>
        <v>84327.173322689167</v>
      </c>
      <c r="DE80" s="277">
        <f ca="1">MAX((-XNPV(BlendedReqIRR,$C58:DE58,$C52:DE52)*FV(BlendedReqIRR,(DE52-$C52)/365,0,-1))+$C20,0)</f>
        <v>80097.150229997089</v>
      </c>
      <c r="DF80" s="277">
        <f ca="1">MAX((-XNPV(BlendedReqIRR,$C58:DF58,$C52:DF52)*FV(BlendedReqIRR,(DF52-$C52)/365,0,-1))+$C20,0)</f>
        <v>75844.162967979384</v>
      </c>
      <c r="DG80" s="277">
        <f ca="1">MAX((-XNPV(BlendedReqIRR,$C58:DG58,$C52:DG52)*FV(BlendedReqIRR,(DG52-$C52)/365,0,-1))+$C20,0)</f>
        <v>71540.391113892925</v>
      </c>
      <c r="DH80" s="277">
        <f ca="1">MAX((-XNPV(BlendedReqIRR,$C58:DH58,$C52:DH52)*FV(BlendedReqIRR,(DH52-$C52)/365,0,-1))+$C20,0)</f>
        <v>66985.147668972029</v>
      </c>
      <c r="DI80" s="277">
        <f ca="1">MAX((-XNPV(BlendedReqIRR,$C58:DI58,$C52:DI52)*FV(BlendedReqIRR,(DI52-$C52)/365,0,-1))+$C20,0)</f>
        <v>62398.10292771057</v>
      </c>
      <c r="DJ80" s="277">
        <f ca="1">MAX((-XNPV(BlendedReqIRR,$C58:DJ58,$C52:DJ52)*FV(BlendedReqIRR,(DJ52-$C52)/365,0,-1))+$C20,0)</f>
        <v>57737.233917853453</v>
      </c>
      <c r="DK80" s="277">
        <f ca="1">MAX((-XNPV(BlendedReqIRR,$C58:DK58,$C52:DK52)*FV(BlendedReqIRR,(DK52-$C52)/365,0,-1))+$C20,0)</f>
        <v>53039.760553508197</v>
      </c>
      <c r="DL80" s="277">
        <f ca="1">MAX((-XNPV(BlendedReqIRR,$C58:DL58,$C52:DL52)*FV(BlendedReqIRR,(DL52-$C52)/365,0,-1))+$C20,0)</f>
        <v>48286.195022912529</v>
      </c>
      <c r="DM80" s="277">
        <f ca="1">MAX((-XNPV(BlendedReqIRR,$C58:DM58,$C52:DM52)*FV(BlendedReqIRR,(DM52-$C52)/365,0,-1))+$C20,0)</f>
        <v>43435.132145708056</v>
      </c>
      <c r="DN80" s="277">
        <f ca="1">MAX((-XNPV(BlendedReqIRR,$C58:DN58,$C52:DN52)*FV(BlendedReqIRR,(DN52-$C52)/365,0,-1))+$C20,0)</f>
        <v>38566.878489893141</v>
      </c>
      <c r="DO80" s="277">
        <f ca="1">MAX((-XNPV(BlendedReqIRR,$C58:DO58,$C52:DO52)*FV(BlendedReqIRR,(DO52-$C52)/365,0,-1))+$C20,0)</f>
        <v>33630.67506778564</v>
      </c>
      <c r="DP80" s="277">
        <f ca="1">MAX((-XNPV(BlendedReqIRR,$C58:DP58,$C52:DP52)*FV(BlendedReqIRR,(DP52-$C52)/365,0,-1))+$C20,0)</f>
        <v>28645.347148051675</v>
      </c>
      <c r="DQ80" s="277">
        <f ca="1">MAX((-XNPV(BlendedReqIRR,$C58:DQ58,$C52:DQ52)*FV(BlendedReqIRR,(DQ52-$C52)/365,0,-1))+$C20,0)</f>
        <v>23594.515163414468</v>
      </c>
      <c r="DR80" s="277">
        <f ca="1">MAX((-XNPV(BlendedReqIRR,$C58:DR58,$C52:DR52)*FV(BlendedReqIRR,(DR52-$C52)/365,0,-1))+$C20,0)</f>
        <v>18489.346234225326</v>
      </c>
      <c r="DS80" s="277">
        <f ca="1">MAX((-XNPV(BlendedReqIRR,$C58:DS58,$C52:DS52)*FV(BlendedReqIRR,(DS52-$C52)/365,0,-1))+$C20,0)</f>
        <v>13223.216877567625</v>
      </c>
      <c r="DT80" s="277">
        <f ca="1">MAX((-XNPV(BlendedReqIRR,$C58:DT58,$C52:DT52)*FV(BlendedReqIRR,(DT52-$C52)/365,0,-1))+$C20,0)</f>
        <v>13223.21687756764</v>
      </c>
      <c r="DU80" s="277">
        <f ca="1">MAX((-XNPV(BlendedReqIRR,$C58:DU58,$C52:DU52)*FV(BlendedReqIRR,(DU52-$C52)/365,0,-1))+$C20,0)</f>
        <v>13223.216877567655</v>
      </c>
      <c r="DV80" s="277">
        <f ca="1">MAX((-XNPV(BlendedReqIRR,$C58:DV58,$C52:DV52)*FV(BlendedReqIRR,(DV52-$C52)/365,0,-1))+$C20,0)</f>
        <v>13223.216877567671</v>
      </c>
      <c r="DW80" s="277">
        <f ca="1">MAX((-XNPV(BlendedReqIRR,$C58:DW58,$C52:DW52)*FV(BlendedReqIRR,(DW52-$C52)/365,0,-1))+$C20,0)</f>
        <v>13223.216877567686</v>
      </c>
      <c r="DX80" s="277">
        <f ca="1">MAX((-XNPV(BlendedReqIRR,$C58:DX58,$C52:DX52)*FV(BlendedReqIRR,(DX52-$C52)/365,0,-1))+$C20,0)</f>
        <v>13223.216877567702</v>
      </c>
      <c r="DY80" s="277">
        <f ca="1">MAX((-XNPV(BlendedReqIRR,$C58:DY58,$C52:DY52)*FV(BlendedReqIRR,(DY52-$C52)/365,0,-1))+$C20,0)</f>
        <v>13223.216877567716</v>
      </c>
      <c r="DZ80" s="277">
        <f ca="1">MAX((-XNPV(BlendedReqIRR,$C58:DZ58,$C52:DZ52)*FV(BlendedReqIRR,(DZ52-$C52)/365,0,-1))+$C20,0)</f>
        <v>13223.216877567733</v>
      </c>
      <c r="EA80" s="277">
        <f ca="1">MAX((-XNPV(BlendedReqIRR,$C58:EA58,$C52:EA52)*FV(BlendedReqIRR,(EA52-$C52)/365,0,-1))+$C20,0)</f>
        <v>13223.216877567749</v>
      </c>
      <c r="EB80" s="277">
        <f ca="1">MAX((-XNPV(BlendedReqIRR,$C58:EB58,$C52:EB52)*FV(BlendedReqIRR,(EB52-$C52)/365,0,-1))+$C20,0)</f>
        <v>13223.216877567766</v>
      </c>
      <c r="EC80" s="277">
        <f ca="1">MAX((-XNPV(BlendedReqIRR,$C58:EC58,$C52:EC52)*FV(BlendedReqIRR,(EC52-$C52)/365,0,-1))+$C20,0)</f>
        <v>13223.216877567782</v>
      </c>
      <c r="ED80" s="277">
        <f ca="1">MAX((-XNPV(BlendedReqIRR,$C58:ED58,$C52:ED52)*FV(BlendedReqIRR,(ED52-$C52)/365,0,-1))+$C20,0)</f>
        <v>13223.216877567798</v>
      </c>
      <c r="EE80" s="277">
        <f ca="1">MAX((-XNPV(BlendedReqIRR,$C58:EE58,$C52:EE52)*FV(BlendedReqIRR,(EE52-$C52)/365,0,-1))+$C20,0)</f>
        <v>13223.216877567816</v>
      </c>
      <c r="EF80" s="277">
        <f ca="1">MAX((-XNPV(BlendedReqIRR,$C58:EF58,$C52:EF52)*FV(BlendedReqIRR,(EF52-$C52)/365,0,-1))+$C20,0)</f>
        <v>13223.216877567833</v>
      </c>
      <c r="EG80" s="277">
        <f ca="1">MAX((-XNPV(BlendedReqIRR,$C58:EG58,$C52:EG52)*FV(BlendedReqIRR,(EG52-$C52)/365,0,-1))+$C20,0)</f>
        <v>13223.216877567851</v>
      </c>
      <c r="EH80" s="277">
        <f ca="1">MAX((-XNPV(BlendedReqIRR,$C58:EH58,$C52:EH52)*FV(BlendedReqIRR,(EH52-$C52)/365,0,-1))+$C20,0)</f>
        <v>13223.216877567867</v>
      </c>
      <c r="EI80" s="277">
        <f ca="1">MAX((-XNPV(BlendedReqIRR,$C58:EI58,$C52:EI52)*FV(BlendedReqIRR,(EI52-$C52)/365,0,-1))+$C20,0)</f>
        <v>13223.216877567886</v>
      </c>
      <c r="EJ80" s="277">
        <f ca="1">MAX((-XNPV(BlendedReqIRR,$C58:EJ58,$C52:EJ52)*FV(BlendedReqIRR,(EJ52-$C52)/365,0,-1))+$C20,0)</f>
        <v>13223.216877567904</v>
      </c>
      <c r="EK80" s="277">
        <f ca="1">MAX((-XNPV(BlendedReqIRR,$C58:EK58,$C52:EK52)*FV(BlendedReqIRR,(EK52-$C52)/365,0,-1))+$C20,0)</f>
        <v>13223.21687756792</v>
      </c>
      <c r="EL80" s="277">
        <f ca="1">MAX((-XNPV(BlendedReqIRR,$C58:EL58,$C52:EL52)*FV(BlendedReqIRR,(EL52-$C52)/365,0,-1))+$C20,0)</f>
        <v>13223.21687756794</v>
      </c>
      <c r="EM80" s="277">
        <f ca="1">MAX((-XNPV(BlendedReqIRR,$C58:EM58,$C52:EM52)*FV(BlendedReqIRR,(EM52-$C52)/365,0,-1))+$C20,0)</f>
        <v>13223.216877567958</v>
      </c>
      <c r="EN80" s="277">
        <f ca="1">MAX((-XNPV(BlendedReqIRR,$C58:EN58,$C52:EN52)*FV(BlendedReqIRR,(EN52-$C52)/365,0,-1))+$C20,0)</f>
        <v>13223.216877567977</v>
      </c>
      <c r="EO80" s="277">
        <f ca="1">MAX((-XNPV(BlendedReqIRR,$C58:EO58,$C52:EO52)*FV(BlendedReqIRR,(EO52-$C52)/365,0,-1))+$C20,0)</f>
        <v>13223.216877567995</v>
      </c>
      <c r="EP80" s="277">
        <f ca="1">MAX((-XNPV(BlendedReqIRR,$C58:EP58,$C52:EP52)*FV(BlendedReqIRR,(EP52-$C52)/365,0,-1))+$C20,0)</f>
        <v>13223.216877568015</v>
      </c>
      <c r="EQ80" s="277">
        <f ca="1">MAX((-XNPV(BlendedReqIRR,$C58:EQ58,$C52:EQ52)*FV(BlendedReqIRR,(EQ52-$C52)/365,0,-1))+$C20,0)</f>
        <v>13223.216877568035</v>
      </c>
      <c r="ER80" s="277">
        <f ca="1">MAX((-XNPV(BlendedReqIRR,$C58:ER58,$C52:ER52)*FV(BlendedReqIRR,(ER52-$C52)/365,0,-1))+$C20,0)</f>
        <v>13223.216877568055</v>
      </c>
      <c r="ES80" s="277">
        <f ca="1">MAX((-XNPV(BlendedReqIRR,$C58:ES58,$C52:ES52)*FV(BlendedReqIRR,(ES52-$C52)/365,0,-1))+$C20,0)</f>
        <v>13223.216877568075</v>
      </c>
      <c r="ET80" s="277">
        <f ca="1">MAX((-XNPV(BlendedReqIRR,$C58:ET58,$C52:ET52)*FV(BlendedReqIRR,(ET52-$C52)/365,0,-1))+$C20,0)</f>
        <v>13223.216877568095</v>
      </c>
      <c r="EU80" s="277">
        <f ca="1">MAX((-XNPV(BlendedReqIRR,$C58:EU58,$C52:EU52)*FV(BlendedReqIRR,(EU52-$C52)/365,0,-1))+$C20,0)</f>
        <v>13223.216877568115</v>
      </c>
      <c r="EV80" s="277">
        <f ca="1">MAX((-XNPV(BlendedReqIRR,$C58:EV58,$C52:EV52)*FV(BlendedReqIRR,(EV52-$C52)/365,0,-1))+$C20,0)</f>
        <v>13223.216877568137</v>
      </c>
      <c r="EW80" s="277">
        <f ca="1">MAX((-XNPV(BlendedReqIRR,$C58:EW58,$C52:EW52)*FV(BlendedReqIRR,(EW52-$C52)/365,0,-1))+$C20,0)</f>
        <v>13223.216877568155</v>
      </c>
      <c r="EX80" s="277">
        <f ca="1">MAX((-XNPV(BlendedReqIRR,$C58:EX58,$C52:EX52)*FV(BlendedReqIRR,(EX52-$C52)/365,0,-1))+$C20,0)</f>
        <v>13223.216877568177</v>
      </c>
      <c r="EY80" s="277">
        <f ca="1">MAX((-XNPV(BlendedReqIRR,$C58:EY58,$C52:EY52)*FV(BlendedReqIRR,(EY52-$C52)/365,0,-1))+$C20,0)</f>
        <v>13223.216877568197</v>
      </c>
      <c r="EZ80" s="277">
        <f ca="1">MAX((-XNPV(BlendedReqIRR,$C58:EZ58,$C52:EZ52)*FV(BlendedReqIRR,(EZ52-$C52)/365,0,-1))+$C20,0)</f>
        <v>13223.21687756822</v>
      </c>
      <c r="FA80" s="277">
        <f ca="1">MAX((-XNPV(BlendedReqIRR,$C58:FA58,$C52:FA52)*FV(BlendedReqIRR,(FA52-$C52)/365,0,-1))+$C20,0)</f>
        <v>13223.21687756824</v>
      </c>
      <c r="FB80" s="277">
        <f ca="1">MAX((-XNPV(BlendedReqIRR,$C58:FB58,$C52:FB52)*FV(BlendedReqIRR,(FB52-$C52)/365,0,-1))+$C20,0)</f>
        <v>13223.216877568264</v>
      </c>
      <c r="FC80" s="277">
        <f ca="1">MAX((-XNPV(BlendedReqIRR,$C58:FC58,$C52:FC52)*FV(BlendedReqIRR,(FC52-$C52)/365,0,-1))+$C20,0)</f>
        <v>13223.216877568286</v>
      </c>
      <c r="FD80" s="277">
        <f ca="1">MAX((-XNPV(BlendedReqIRR,$C58:FD58,$C52:FD52)*FV(BlendedReqIRR,(FD52-$C52)/365,0,-1))+$C20,0)</f>
        <v>13223.216877568309</v>
      </c>
      <c r="FE80" s="277">
        <f ca="1">MAX((-XNPV(BlendedReqIRR,$C58:FE58,$C52:FE52)*FV(BlendedReqIRR,(FE52-$C52)/365,0,-1))+$C20,0)</f>
        <v>13223.216877568331</v>
      </c>
      <c r="FF80" s="277">
        <f ca="1">MAX((-XNPV(BlendedReqIRR,$C58:FF58,$C52:FF52)*FV(BlendedReqIRR,(FF52-$C52)/365,0,-1))+$C20,0)</f>
        <v>13223.216877568355</v>
      </c>
      <c r="FG80" s="277">
        <f ca="1">MAX((-XNPV(BlendedReqIRR,$C58:FG58,$C52:FG52)*FV(BlendedReqIRR,(FG52-$C52)/365,0,-1))+$C20,0)</f>
        <v>13223.216877568379</v>
      </c>
      <c r="FH80" s="277">
        <f ca="1">MAX((-XNPV(BlendedReqIRR,$C58:FH58,$C52:FH52)*FV(BlendedReqIRR,(FH52-$C52)/365,0,-1))+$C20,0)</f>
        <v>13223.216877568402</v>
      </c>
      <c r="FI80" s="277">
        <f ca="1">MAX((-XNPV(BlendedReqIRR,$C58:FI58,$C52:FI52)*FV(BlendedReqIRR,(FI52-$C52)/365,0,-1))+$C20,0)</f>
        <v>13223.216877568424</v>
      </c>
      <c r="FJ80" s="277">
        <f ca="1">MAX((-XNPV(BlendedReqIRR,$C58:FJ58,$C52:FJ52)*FV(BlendedReqIRR,(FJ52-$C52)/365,0,-1))+$C20,0)</f>
        <v>13223.216877568449</v>
      </c>
      <c r="FK80" s="277">
        <f ca="1">MAX((-XNPV(BlendedReqIRR,$C58:FK58,$C52:FK52)*FV(BlendedReqIRR,(FK52-$C52)/365,0,-1))+$C20,0)</f>
        <v>13223.216877568473</v>
      </c>
      <c r="FL80" s="277">
        <f ca="1">MAX((-XNPV(BlendedReqIRR,$C58:FL58,$C52:FL52)*FV(BlendedReqIRR,(FL52-$C52)/365,0,-1))+$C20,0)</f>
        <v>13223.216877568499</v>
      </c>
      <c r="FM80" s="277">
        <f ca="1">MAX((-XNPV(BlendedReqIRR,$C58:FM58,$C52:FM52)*FV(BlendedReqIRR,(FM52-$C52)/365,0,-1))+$C20,0)</f>
        <v>13223.216877568524</v>
      </c>
      <c r="FN80" s="277">
        <f ca="1">MAX((-XNPV(BlendedReqIRR,$C58:FN58,$C52:FN52)*FV(BlendedReqIRR,(FN52-$C52)/365,0,-1))+$C20,0)</f>
        <v>13223.21687756855</v>
      </c>
      <c r="FO80" s="277">
        <f ca="1">MAX((-XNPV(BlendedReqIRR,$C58:FO58,$C52:FO52)*FV(BlendedReqIRR,(FO52-$C52)/365,0,-1))+$C20,0)</f>
        <v>13223.216877568575</v>
      </c>
      <c r="FP80" s="277">
        <f ca="1">MAX((-XNPV(BlendedReqIRR,$C58:FP58,$C52:FP52)*FV(BlendedReqIRR,(FP52-$C52)/365,0,-1))+$C20,0)</f>
        <v>13223.2168775686</v>
      </c>
      <c r="FQ80" s="277">
        <f ca="1">MAX((-XNPV(BlendedReqIRR,$C58:FQ58,$C52:FQ52)*FV(BlendedReqIRR,(FQ52-$C52)/365,0,-1))+$C20,0)</f>
        <v>13223.216877568628</v>
      </c>
      <c r="FR80" s="277">
        <f ca="1">MAX((-XNPV(BlendedReqIRR,$C58:FR58,$C52:FR52)*FV(BlendedReqIRR,(FR52-$C52)/365,0,-1))+$C20,0)</f>
        <v>13223.216877568655</v>
      </c>
      <c r="FS80" s="277">
        <f ca="1">MAX((-XNPV(BlendedReqIRR,$C58:FS58,$C52:FS52)*FV(BlendedReqIRR,(FS52-$C52)/365,0,-1))+$C20,0)</f>
        <v>13223.216877568682</v>
      </c>
      <c r="FT80" s="277">
        <f ca="1">MAX((-XNPV(BlendedReqIRR,$C58:FT58,$C52:FT52)*FV(BlendedReqIRR,(FT52-$C52)/365,0,-1))+$C20,0)</f>
        <v>13223.21687756871</v>
      </c>
      <c r="FU80" s="277">
        <f ca="1">MAX((-XNPV(BlendedReqIRR,$C58:FU58,$C52:FU52)*FV(BlendedReqIRR,(FU52-$C52)/365,0,-1))+$C20,0)</f>
        <v>13223.216877568735</v>
      </c>
      <c r="FV80" s="277">
        <f ca="1">MAX((-XNPV(BlendedReqIRR,$C58:FV58,$C52:FV52)*FV(BlendedReqIRR,(FV52-$C52)/365,0,-1))+$C20,0)</f>
        <v>13223.216877568764</v>
      </c>
      <c r="FW80" s="277">
        <f ca="1">MAX((-XNPV(BlendedReqIRR,$C58:FW58,$C52:FW52)*FV(BlendedReqIRR,(FW52-$C52)/365,0,-1))+$C20,0)</f>
        <v>13223.216877568791</v>
      </c>
      <c r="FX80" s="277">
        <f ca="1">MAX((-XNPV(BlendedReqIRR,$C58:FX58,$C52:FX52)*FV(BlendedReqIRR,(FX52-$C52)/365,0,-1))+$C20,0)</f>
        <v>13223.216877568821</v>
      </c>
      <c r="FY80" s="277">
        <f ca="1">MAX((-XNPV(BlendedReqIRR,$C58:FY58,$C52:FY52)*FV(BlendedReqIRR,(FY52-$C52)/365,0,-1))+$C20,0)</f>
        <v>13223.21687756885</v>
      </c>
      <c r="FZ80" s="277">
        <f ca="1">MAX((-XNPV(BlendedReqIRR,$C58:FZ58,$C52:FZ52)*FV(BlendedReqIRR,(FZ52-$C52)/365,0,-1))+$C20,0)</f>
        <v>13223.216877568879</v>
      </c>
      <c r="GA80" s="277">
        <f ca="1">MAX((-XNPV(BlendedReqIRR,$C58:GA58,$C52:GA52)*FV(BlendedReqIRR,(GA52-$C52)/365,0,-1))+$C20,0)</f>
        <v>13223.21687756891</v>
      </c>
    </row>
    <row r="81" spans="1:183" x14ac:dyDescent="0.15">
      <c r="A81" s="70" t="s">
        <v>317</v>
      </c>
      <c r="BK81" s="326">
        <f t="shared" ref="BK81:DW81" ca="1" si="47">BK80/$C$2</f>
        <v>0.73956353734849201</v>
      </c>
      <c r="BL81" s="326">
        <f t="shared" ca="1" si="47"/>
        <v>0.73235323596885005</v>
      </c>
      <c r="BM81" s="326">
        <f t="shared" ca="1" si="47"/>
        <v>0.72532620348543397</v>
      </c>
      <c r="BN81" s="326">
        <f t="shared" ca="1" si="47"/>
        <v>0.71795141085350977</v>
      </c>
      <c r="BO81" s="326">
        <f t="shared" ca="1" si="47"/>
        <v>0.7107524072898932</v>
      </c>
      <c r="BP81" s="326">
        <f t="shared" ca="1" si="47"/>
        <v>0.70346744098132696</v>
      </c>
      <c r="BQ81" s="326">
        <f t="shared" ca="1" si="47"/>
        <v>0.69532963078292009</v>
      </c>
      <c r="BR81" s="326">
        <f t="shared" ca="1" si="47"/>
        <v>0.68786050229252238</v>
      </c>
      <c r="BS81" s="326">
        <f t="shared" ca="1" si="47"/>
        <v>0.68005284911478725</v>
      </c>
      <c r="BT81" s="326">
        <f t="shared" ca="1" si="47"/>
        <v>0.67240130175564072</v>
      </c>
      <c r="BU81" s="326">
        <f t="shared" ca="1" si="47"/>
        <v>0.66441504047051303</v>
      </c>
      <c r="BV81" s="326">
        <f t="shared" ca="1" si="47"/>
        <v>0.65657676324740943</v>
      </c>
      <c r="BW81" s="326">
        <f t="shared" ca="1" si="47"/>
        <v>0.64864488976201451</v>
      </c>
      <c r="BX81" s="326">
        <f t="shared" ca="1" si="47"/>
        <v>0.63984853777757222</v>
      </c>
      <c r="BY81" s="326">
        <f t="shared" ca="1" si="47"/>
        <v>0.63118129321144267</v>
      </c>
      <c r="BZ81" s="326">
        <f t="shared" ca="1" si="47"/>
        <v>0.62218317529992528</v>
      </c>
      <c r="CA81" s="326">
        <f t="shared" ca="1" si="47"/>
        <v>0.61330499000627803</v>
      </c>
      <c r="CB81" s="326">
        <f t="shared" ca="1" si="47"/>
        <v>0.60432079098847147</v>
      </c>
      <c r="CC81" s="326">
        <f t="shared" ca="1" si="47"/>
        <v>0.59479545043600912</v>
      </c>
      <c r="CD81" s="326">
        <f t="shared" ca="1" si="47"/>
        <v>0.58559023043729075</v>
      </c>
      <c r="CE81" s="326">
        <f t="shared" ca="1" si="47"/>
        <v>0.57606537549194836</v>
      </c>
      <c r="CF81" s="326">
        <f t="shared" ca="1" si="47"/>
        <v>0.5666365011164709</v>
      </c>
      <c r="CG81" s="326">
        <f t="shared" ca="1" si="47"/>
        <v>0.55689266397253789</v>
      </c>
      <c r="CH81" s="326">
        <f t="shared" ca="1" si="47"/>
        <v>0.5472348497311782</v>
      </c>
      <c r="CI81" s="326">
        <f t="shared" ca="1" si="47"/>
        <v>0.53746171227667294</v>
      </c>
      <c r="CJ81" s="326">
        <f t="shared" ca="1" si="47"/>
        <v>0.52682637349193007</v>
      </c>
      <c r="CK81" s="326">
        <f t="shared" ca="1" si="47"/>
        <v>0.51625510972420696</v>
      </c>
      <c r="CL81" s="326">
        <f t="shared" ca="1" si="47"/>
        <v>0.50537476013589244</v>
      </c>
      <c r="CM81" s="326">
        <f t="shared" ca="1" si="47"/>
        <v>0.49454734431165315</v>
      </c>
      <c r="CN81" s="326">
        <f t="shared" ca="1" si="47"/>
        <v>0.48359063915219691</v>
      </c>
      <c r="CO81" s="326">
        <f t="shared" ca="1" si="47"/>
        <v>0.47199269413103073</v>
      </c>
      <c r="CP81" s="326">
        <f t="shared" ca="1" si="47"/>
        <v>0.4607666656376192</v>
      </c>
      <c r="CQ81" s="326">
        <f t="shared" ca="1" si="47"/>
        <v>0.44924522947068019</v>
      </c>
      <c r="CR81" s="326">
        <f t="shared" ca="1" si="47"/>
        <v>0.43774757526051855</v>
      </c>
      <c r="CS81" s="326">
        <f t="shared" ca="1" si="47"/>
        <v>0.42596018768449206</v>
      </c>
      <c r="CT81" s="326">
        <f t="shared" ca="1" si="47"/>
        <v>0.41418448859068452</v>
      </c>
      <c r="CU81" s="326">
        <f t="shared" ca="1" si="47"/>
        <v>0.40226817678445614</v>
      </c>
      <c r="CV81" s="326">
        <f t="shared" ca="1" si="47"/>
        <v>0.38949697729706756</v>
      </c>
      <c r="CW81" s="326">
        <f t="shared" ca="1" si="47"/>
        <v>0.37671197368318465</v>
      </c>
      <c r="CX81" s="326">
        <f t="shared" ca="1" si="47"/>
        <v>0.36364551021644814</v>
      </c>
      <c r="CY81" s="326">
        <f t="shared" ca="1" si="47"/>
        <v>0.35055181623290615</v>
      </c>
      <c r="CZ81" s="326">
        <f t="shared" ca="1" si="47"/>
        <v>0.33730177146186802</v>
      </c>
      <c r="DA81" s="326">
        <f t="shared" ca="1" si="47"/>
        <v>0.32355305739085521</v>
      </c>
      <c r="DB81" s="326">
        <f t="shared" ca="1" si="47"/>
        <v>0.30998062252793945</v>
      </c>
      <c r="DC81" s="326">
        <f t="shared" ca="1" si="47"/>
        <v>0.29614317738558898</v>
      </c>
      <c r="DD81" s="326">
        <f t="shared" ca="1" si="47"/>
        <v>0.2822434432647723</v>
      </c>
      <c r="DE81" s="326">
        <f t="shared" ca="1" si="47"/>
        <v>0.26808553620197645</v>
      </c>
      <c r="DF81" s="326">
        <f t="shared" ca="1" si="47"/>
        <v>0.25385076795711081</v>
      </c>
      <c r="DG81" s="326">
        <f t="shared" ca="1" si="47"/>
        <v>0.23944602344521879</v>
      </c>
      <c r="DH81" s="326">
        <f t="shared" ca="1" si="47"/>
        <v>0.22419960234340025</v>
      </c>
      <c r="DI81" s="326">
        <f t="shared" ca="1" si="47"/>
        <v>0.20884674215408738</v>
      </c>
      <c r="DJ81" s="326">
        <f t="shared" ca="1" si="47"/>
        <v>0.19324679179272275</v>
      </c>
      <c r="DK81" s="326">
        <f t="shared" ca="1" si="47"/>
        <v>0.17752432648579389</v>
      </c>
      <c r="DL81" s="326">
        <f t="shared" ca="1" si="47"/>
        <v>0.1616141204362444</v>
      </c>
      <c r="DM81" s="326">
        <f t="shared" ca="1" si="47"/>
        <v>0.14537759031188283</v>
      </c>
      <c r="DN81" s="326">
        <f t="shared" ca="1" si="47"/>
        <v>0.12908352257116062</v>
      </c>
      <c r="DO81" s="326">
        <f t="shared" ca="1" si="47"/>
        <v>0.1125620266450531</v>
      </c>
      <c r="DP81" s="326">
        <f t="shared" ca="1" si="47"/>
        <v>9.5876110795776917E-2</v>
      </c>
      <c r="DQ81" s="326">
        <f t="shared" ca="1" si="47"/>
        <v>7.8970952535096964E-2</v>
      </c>
      <c r="DR81" s="326">
        <f t="shared" ca="1" si="47"/>
        <v>6.1883928267025316E-2</v>
      </c>
      <c r="DS81" s="326">
        <f t="shared" ca="1" si="47"/>
        <v>4.4258168695871097E-2</v>
      </c>
      <c r="DT81" s="326">
        <f t="shared" ca="1" si="47"/>
        <v>4.4258168695871146E-2</v>
      </c>
      <c r="DU81" s="326">
        <f t="shared" ca="1" si="47"/>
        <v>4.4258168695871195E-2</v>
      </c>
      <c r="DV81" s="326">
        <f t="shared" ca="1" si="47"/>
        <v>4.425816869587125E-2</v>
      </c>
      <c r="DW81" s="326">
        <f t="shared" ca="1" si="47"/>
        <v>4.4258168695871299E-2</v>
      </c>
      <c r="DX81" s="326">
        <f t="shared" ref="DX81:GA81" ca="1" si="48">DX80/$C$2</f>
        <v>4.4258168695871347E-2</v>
      </c>
      <c r="DY81" s="326">
        <f t="shared" ca="1" si="48"/>
        <v>4.4258168695871396E-2</v>
      </c>
      <c r="DZ81" s="326">
        <f t="shared" ca="1" si="48"/>
        <v>4.4258168695871451E-2</v>
      </c>
      <c r="EA81" s="326">
        <f t="shared" ca="1" si="48"/>
        <v>4.4258168695871507E-2</v>
      </c>
      <c r="EB81" s="326">
        <f t="shared" ca="1" si="48"/>
        <v>4.4258168695871562E-2</v>
      </c>
      <c r="EC81" s="326">
        <f t="shared" ca="1" si="48"/>
        <v>4.4258168695871618E-2</v>
      </c>
      <c r="ED81" s="326">
        <f t="shared" ca="1" si="48"/>
        <v>4.4258168695871673E-2</v>
      </c>
      <c r="EE81" s="326">
        <f t="shared" ca="1" si="48"/>
        <v>4.4258168695871736E-2</v>
      </c>
      <c r="EF81" s="326">
        <f t="shared" ca="1" si="48"/>
        <v>4.4258168695871791E-2</v>
      </c>
      <c r="EG81" s="326">
        <f t="shared" ca="1" si="48"/>
        <v>4.4258168695871847E-2</v>
      </c>
      <c r="EH81" s="326">
        <f t="shared" ca="1" si="48"/>
        <v>4.4258168695871902E-2</v>
      </c>
      <c r="EI81" s="326">
        <f t="shared" ca="1" si="48"/>
        <v>4.4258168695871965E-2</v>
      </c>
      <c r="EJ81" s="326">
        <f t="shared" ca="1" si="48"/>
        <v>4.4258168695872027E-2</v>
      </c>
      <c r="EK81" s="326">
        <f t="shared" ca="1" si="48"/>
        <v>4.4258168695872083E-2</v>
      </c>
      <c r="EL81" s="326">
        <f t="shared" ca="1" si="48"/>
        <v>4.4258168695872145E-2</v>
      </c>
      <c r="EM81" s="326">
        <f t="shared" ca="1" si="48"/>
        <v>4.4258168695872208E-2</v>
      </c>
      <c r="EN81" s="326">
        <f t="shared" ca="1" si="48"/>
        <v>4.425816869587227E-2</v>
      </c>
      <c r="EO81" s="326">
        <f t="shared" ca="1" si="48"/>
        <v>4.4258168695872332E-2</v>
      </c>
      <c r="EP81" s="326">
        <f t="shared" ca="1" si="48"/>
        <v>4.4258168695872395E-2</v>
      </c>
      <c r="EQ81" s="326">
        <f t="shared" ca="1" si="48"/>
        <v>4.4258168695872464E-2</v>
      </c>
      <c r="ER81" s="326">
        <f t="shared" ca="1" si="48"/>
        <v>4.4258168695872534E-2</v>
      </c>
      <c r="ES81" s="326">
        <f t="shared" ca="1" si="48"/>
        <v>4.4258168695872596E-2</v>
      </c>
      <c r="ET81" s="326">
        <f t="shared" ca="1" si="48"/>
        <v>4.4258168695872666E-2</v>
      </c>
      <c r="EU81" s="326">
        <f t="shared" ca="1" si="48"/>
        <v>4.4258168695872735E-2</v>
      </c>
      <c r="EV81" s="326">
        <f t="shared" ca="1" si="48"/>
        <v>4.4258168695872804E-2</v>
      </c>
      <c r="EW81" s="326">
        <f t="shared" ca="1" si="48"/>
        <v>4.4258168695872867E-2</v>
      </c>
      <c r="EX81" s="326">
        <f t="shared" ca="1" si="48"/>
        <v>4.4258168695872936E-2</v>
      </c>
      <c r="EY81" s="326">
        <f t="shared" ca="1" si="48"/>
        <v>4.4258168695873006E-2</v>
      </c>
      <c r="EZ81" s="326">
        <f t="shared" ca="1" si="48"/>
        <v>4.4258168695873089E-2</v>
      </c>
      <c r="FA81" s="326">
        <f t="shared" ca="1" si="48"/>
        <v>4.4258168695873151E-2</v>
      </c>
      <c r="FB81" s="326">
        <f t="shared" ca="1" si="48"/>
        <v>4.4258168695873235E-2</v>
      </c>
      <c r="FC81" s="326">
        <f t="shared" ca="1" si="48"/>
        <v>4.4258168695873304E-2</v>
      </c>
      <c r="FD81" s="326">
        <f t="shared" ca="1" si="48"/>
        <v>4.4258168695873387E-2</v>
      </c>
      <c r="FE81" s="326">
        <f t="shared" ca="1" si="48"/>
        <v>4.4258168695873457E-2</v>
      </c>
      <c r="FF81" s="326">
        <f t="shared" ca="1" si="48"/>
        <v>4.4258168695873533E-2</v>
      </c>
      <c r="FG81" s="326">
        <f t="shared" ca="1" si="48"/>
        <v>4.4258168695873616E-2</v>
      </c>
      <c r="FH81" s="326">
        <f t="shared" ca="1" si="48"/>
        <v>4.4258168695873693E-2</v>
      </c>
      <c r="FI81" s="326">
        <f t="shared" ca="1" si="48"/>
        <v>4.4258168695873769E-2</v>
      </c>
      <c r="FJ81" s="326">
        <f t="shared" ca="1" si="48"/>
        <v>4.4258168695873852E-2</v>
      </c>
      <c r="FK81" s="326">
        <f t="shared" ca="1" si="48"/>
        <v>4.4258168695873928E-2</v>
      </c>
      <c r="FL81" s="326">
        <f t="shared" ca="1" si="48"/>
        <v>4.4258168695874019E-2</v>
      </c>
      <c r="FM81" s="326">
        <f t="shared" ca="1" si="48"/>
        <v>4.4258168695874102E-2</v>
      </c>
      <c r="FN81" s="326">
        <f t="shared" ca="1" si="48"/>
        <v>4.4258168695874185E-2</v>
      </c>
      <c r="FO81" s="326">
        <f t="shared" ca="1" si="48"/>
        <v>4.4258168695874275E-2</v>
      </c>
      <c r="FP81" s="326">
        <f t="shared" ca="1" si="48"/>
        <v>4.4258168695874359E-2</v>
      </c>
      <c r="FQ81" s="326">
        <f t="shared" ca="1" si="48"/>
        <v>4.4258168695874449E-2</v>
      </c>
      <c r="FR81" s="326">
        <f t="shared" ca="1" si="48"/>
        <v>4.4258168695874539E-2</v>
      </c>
      <c r="FS81" s="326">
        <f t="shared" ca="1" si="48"/>
        <v>4.4258168695874629E-2</v>
      </c>
      <c r="FT81" s="326">
        <f t="shared" ca="1" si="48"/>
        <v>4.4258168695874726E-2</v>
      </c>
      <c r="FU81" s="326">
        <f t="shared" ca="1" si="48"/>
        <v>4.425816869587481E-2</v>
      </c>
      <c r="FV81" s="326">
        <f t="shared" ca="1" si="48"/>
        <v>4.4258168695874907E-2</v>
      </c>
      <c r="FW81" s="326">
        <f t="shared" ca="1" si="48"/>
        <v>4.4258168695874997E-2</v>
      </c>
      <c r="FX81" s="326">
        <f t="shared" ca="1" si="48"/>
        <v>4.4258168695875094E-2</v>
      </c>
      <c r="FY81" s="326">
        <f t="shared" ca="1" si="48"/>
        <v>4.4258168695875191E-2</v>
      </c>
      <c r="FZ81" s="326">
        <f t="shared" ca="1" si="48"/>
        <v>4.4258168695875288E-2</v>
      </c>
      <c r="GA81" s="326">
        <f t="shared" ca="1" si="48"/>
        <v>4.4258168695875393E-2</v>
      </c>
    </row>
    <row r="83" spans="1:183" x14ac:dyDescent="0.15">
      <c r="A83" s="70" t="s">
        <v>626</v>
      </c>
      <c r="P83" s="442">
        <f>$C$17/12</f>
        <v>528.95999999999992</v>
      </c>
      <c r="Q83" s="442">
        <f t="shared" ref="Q83:AA83" si="49">$C$17/12</f>
        <v>528.95999999999992</v>
      </c>
      <c r="R83" s="442">
        <f t="shared" si="49"/>
        <v>528.95999999999992</v>
      </c>
      <c r="S83" s="442">
        <f t="shared" si="49"/>
        <v>528.95999999999992</v>
      </c>
      <c r="T83" s="442">
        <f t="shared" si="49"/>
        <v>528.95999999999992</v>
      </c>
      <c r="U83" s="442">
        <f t="shared" si="49"/>
        <v>528.95999999999992</v>
      </c>
      <c r="V83" s="442">
        <f t="shared" si="49"/>
        <v>528.95999999999992</v>
      </c>
      <c r="W83" s="442">
        <f t="shared" si="49"/>
        <v>528.95999999999992</v>
      </c>
      <c r="X83" s="442">
        <f t="shared" si="49"/>
        <v>528.95999999999992</v>
      </c>
      <c r="Y83" s="442">
        <f t="shared" si="49"/>
        <v>528.95999999999992</v>
      </c>
      <c r="Z83" s="442">
        <f t="shared" si="49"/>
        <v>528.95999999999992</v>
      </c>
      <c r="AA83" s="442">
        <f t="shared" si="49"/>
        <v>528.95999999999992</v>
      </c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  <c r="CK83" s="277"/>
      <c r="CL83" s="277"/>
      <c r="CM83" s="277"/>
      <c r="CN83" s="277"/>
      <c r="CO83" s="277"/>
      <c r="CP83" s="277"/>
      <c r="CQ83" s="277"/>
      <c r="CR83" s="277"/>
      <c r="CS83" s="277"/>
      <c r="CT83" s="277"/>
      <c r="CU83" s="277"/>
      <c r="CV83" s="277"/>
      <c r="CW83" s="277"/>
      <c r="CX83" s="277"/>
      <c r="CY83" s="277"/>
      <c r="CZ83" s="277"/>
      <c r="DA83" s="277"/>
      <c r="DB83" s="277"/>
      <c r="DC83" s="277"/>
      <c r="DD83" s="277"/>
      <c r="DE83" s="277"/>
      <c r="DF83" s="277"/>
      <c r="DG83" s="277"/>
      <c r="DH83" s="277"/>
      <c r="DI83" s="277"/>
      <c r="DJ83" s="277"/>
      <c r="DK83" s="277"/>
      <c r="DL83" s="277"/>
      <c r="DM83" s="277"/>
      <c r="DN83" s="277"/>
      <c r="DO83" s="277"/>
      <c r="DP83" s="277"/>
      <c r="DQ83" s="277"/>
      <c r="DR83" s="277"/>
      <c r="DS83" s="277"/>
      <c r="DT83" s="277"/>
      <c r="DU83" s="277"/>
      <c r="DV83" s="277"/>
      <c r="DW83" s="277"/>
      <c r="DX83" s="277"/>
      <c r="DY83" s="277"/>
      <c r="DZ83" s="277"/>
      <c r="EA83" s="277"/>
      <c r="EB83" s="277"/>
      <c r="EC83" s="277"/>
      <c r="ED83" s="277"/>
      <c r="EE83" s="277"/>
      <c r="EF83" s="277"/>
      <c r="EG83" s="277"/>
      <c r="EH83" s="277"/>
      <c r="EI83" s="277"/>
      <c r="EJ83" s="277"/>
      <c r="EK83" s="277"/>
      <c r="EL83" s="277"/>
      <c r="EM83" s="277"/>
      <c r="EN83" s="277"/>
      <c r="EO83" s="277"/>
      <c r="EP83" s="277"/>
      <c r="EQ83" s="277"/>
      <c r="ER83" s="277"/>
      <c r="ES83" s="277"/>
      <c r="ET83" s="277"/>
      <c r="EU83" s="277"/>
      <c r="EV83" s="277"/>
      <c r="EW83" s="277"/>
      <c r="EX83" s="277"/>
      <c r="EY83" s="277"/>
      <c r="EZ83" s="277"/>
      <c r="FA83" s="277"/>
      <c r="FB83" s="277"/>
      <c r="FC83" s="277"/>
      <c r="FD83" s="277"/>
      <c r="FE83" s="277"/>
      <c r="FF83" s="277"/>
      <c r="FG83" s="277"/>
      <c r="FH83" s="277"/>
      <c r="FI83" s="277"/>
      <c r="FJ83" s="277"/>
      <c r="FK83" s="277"/>
      <c r="FL83" s="277"/>
      <c r="FM83" s="277"/>
      <c r="FN83" s="277"/>
      <c r="FO83" s="277"/>
      <c r="FP83" s="277"/>
      <c r="FQ83" s="277"/>
      <c r="FR83" s="277"/>
      <c r="FS83" s="277"/>
      <c r="FT83" s="277"/>
      <c r="FU83" s="277"/>
      <c r="FV83" s="277"/>
      <c r="FW83" s="277"/>
      <c r="FX83" s="277"/>
      <c r="FY83" s="277"/>
      <c r="FZ83" s="277"/>
      <c r="GA83" s="277"/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landscape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20"/>
  <sheetViews>
    <sheetView zoomScaleNormal="100" zoomScalePageLayoutView="150" workbookViewId="0">
      <pane xSplit="2" ySplit="4" topLeftCell="C5" activePane="bottomRight" state="frozen"/>
      <selection sqref="A1:H8"/>
      <selection pane="topRight" sqref="A1:H8"/>
      <selection pane="bottomLeft" sqref="A1:H8"/>
      <selection pane="bottomRight" activeCell="C5" sqref="C5"/>
    </sheetView>
  </sheetViews>
  <sheetFormatPr defaultColWidth="11.42578125" defaultRowHeight="10.5" x14ac:dyDescent="0.15"/>
  <cols>
    <col min="1" max="1" width="8.42578125" style="36" bestFit="1" customWidth="1"/>
    <col min="2" max="2" width="5.28515625" style="36" bestFit="1" customWidth="1"/>
    <col min="3" max="3" width="9.85546875" style="37" bestFit="1" customWidth="1"/>
    <col min="4" max="4" width="10.42578125" style="37" bestFit="1" customWidth="1"/>
    <col min="5" max="7" width="10.42578125" style="71" customWidth="1"/>
    <col min="8" max="9" width="9" style="71" bestFit="1" customWidth="1"/>
    <col min="10" max="10" width="10" style="36" bestFit="1" customWidth="1"/>
    <col min="11" max="11" width="2.7109375" style="36" customWidth="1"/>
    <col min="12" max="12" width="11.7109375" style="39" customWidth="1"/>
    <col min="13" max="13" width="8" style="39" customWidth="1"/>
    <col min="14" max="14" width="9.85546875" style="39" bestFit="1" customWidth="1"/>
    <col min="15" max="15" width="9.85546875" style="73" bestFit="1" customWidth="1"/>
    <col min="16" max="16" width="2.7109375" style="39" customWidth="1"/>
    <col min="17" max="17" width="9.140625" style="209" customWidth="1"/>
    <col min="18" max="18" width="10.42578125" style="73" bestFit="1" customWidth="1"/>
    <col min="19" max="21" width="10.42578125" style="73" customWidth="1"/>
    <col min="22" max="22" width="8.42578125" style="73" customWidth="1"/>
    <col min="23" max="23" width="9" style="73" bestFit="1" customWidth="1"/>
    <col min="24" max="24" width="9.28515625" style="39" bestFit="1" customWidth="1"/>
    <col min="25" max="25" width="2.7109375" style="73" customWidth="1"/>
    <col min="26" max="26" width="10.7109375" style="36" customWidth="1"/>
    <col min="27" max="27" width="7.5703125" style="70" bestFit="1" customWidth="1"/>
    <col min="28" max="28" width="9.85546875" style="70" bestFit="1" customWidth="1"/>
    <col min="29" max="29" width="2.7109375" style="36" customWidth="1"/>
    <col min="30" max="30" width="12.5703125" style="70" customWidth="1"/>
    <col min="31" max="32" width="9.140625" style="36" bestFit="1" customWidth="1"/>
    <col min="33" max="33" width="2.7109375" style="70" customWidth="1"/>
    <col min="34" max="34" width="10.140625" style="70" bestFit="1" customWidth="1"/>
    <col min="35" max="35" width="13.42578125" style="70" bestFit="1" customWidth="1"/>
    <col min="36" max="36" width="4.7109375" style="38" customWidth="1"/>
    <col min="37" max="39" width="11.42578125" style="72"/>
    <col min="40" max="40" width="2.7109375" style="72" customWidth="1"/>
    <col min="41" max="41" width="9.85546875" style="72" bestFit="1" customWidth="1"/>
    <col min="42" max="42" width="12" style="72" customWidth="1"/>
    <col min="43" max="43" width="10.7109375" style="38" bestFit="1" customWidth="1"/>
    <col min="44" max="44" width="11.28515625" style="38" bestFit="1" customWidth="1"/>
    <col min="45" max="45" width="11" style="72" bestFit="1" customWidth="1"/>
    <col min="46" max="46" width="10.85546875" style="38" customWidth="1"/>
    <col min="47" max="47" width="10.85546875" style="72" customWidth="1"/>
    <col min="48" max="48" width="10.7109375" style="38" bestFit="1" customWidth="1"/>
    <col min="49" max="49" width="11.28515625" style="38" bestFit="1" customWidth="1"/>
    <col min="50" max="50" width="11" style="72" bestFit="1" customWidth="1"/>
    <col min="51" max="51" width="10.85546875" style="38" customWidth="1"/>
    <col min="52" max="52" width="3" style="38" bestFit="1" customWidth="1"/>
    <col min="53" max="53" width="2.7109375" style="72" customWidth="1"/>
    <col min="54" max="54" width="9" style="38" bestFit="1" customWidth="1"/>
    <col min="55" max="16384" width="11.42578125" style="38"/>
  </cols>
  <sheetData>
    <row r="1" spans="1:57" s="72" customFormat="1" ht="13.5" customHeight="1" thickBot="1" x14ac:dyDescent="0.25">
      <c r="A1" s="70"/>
      <c r="B1" s="70"/>
      <c r="C1" s="71"/>
      <c r="D1" s="736" t="s">
        <v>37</v>
      </c>
      <c r="E1" s="737"/>
      <c r="F1" s="737"/>
      <c r="G1" s="737"/>
      <c r="H1" s="737"/>
      <c r="I1" s="737"/>
      <c r="J1" s="738"/>
      <c r="K1" s="70"/>
      <c r="L1" s="739" t="s">
        <v>216</v>
      </c>
      <c r="M1" s="740"/>
      <c r="N1" s="740"/>
      <c r="O1" s="741"/>
      <c r="P1" s="73"/>
      <c r="Q1" s="736" t="s">
        <v>38</v>
      </c>
      <c r="R1" s="744"/>
      <c r="S1" s="744"/>
      <c r="T1" s="744"/>
      <c r="U1" s="744"/>
      <c r="V1" s="744"/>
      <c r="W1" s="744"/>
      <c r="X1" s="745"/>
      <c r="Y1" s="73"/>
      <c r="Z1" s="739" t="s">
        <v>483</v>
      </c>
      <c r="AA1" s="740"/>
      <c r="AB1" s="741"/>
      <c r="AC1" s="70"/>
      <c r="AD1" s="739" t="s">
        <v>482</v>
      </c>
      <c r="AE1" s="740"/>
      <c r="AF1" s="741"/>
      <c r="AG1" s="43"/>
      <c r="AH1" s="742" t="s">
        <v>508</v>
      </c>
      <c r="AI1" s="743"/>
      <c r="AK1" s="246" t="str">
        <f>"Tarifa "&amp;CFE_Limite</f>
        <v>Tarifa 1</v>
      </c>
      <c r="AL1" s="246" t="s">
        <v>114</v>
      </c>
      <c r="AM1" s="246" t="s">
        <v>56</v>
      </c>
      <c r="AN1" s="202"/>
      <c r="AO1" s="246" t="s">
        <v>594</v>
      </c>
      <c r="AP1" s="597" t="str">
        <f>"Tarifa "&amp;CFE_Limite&amp;" - TEMPORADA DE VERANO"</f>
        <v>Tarifa 1 - TEMPORADA DE VERANO</v>
      </c>
      <c r="AQ1" s="599"/>
      <c r="AR1" s="599"/>
      <c r="AS1" s="599"/>
      <c r="AT1" s="598"/>
      <c r="AU1" s="597" t="str">
        <f>"Tarifa "&amp;CFE_Limite&amp;" - TEMPORADA FUERA DE VERANO"</f>
        <v>Tarifa 1 - TEMPORADA FUERA DE VERANO</v>
      </c>
      <c r="AV1" s="599"/>
      <c r="AW1" s="599"/>
      <c r="AX1" s="599"/>
      <c r="AY1" s="598"/>
      <c r="AZ1" s="72">
        <f>MATCH(AP1,CFE_History_Tarifa1!$B$1:$B$98,0)</f>
        <v>2</v>
      </c>
      <c r="BB1" s="597" t="s">
        <v>56</v>
      </c>
      <c r="BC1" s="599"/>
      <c r="BD1" s="599"/>
      <c r="BE1" s="598"/>
    </row>
    <row r="2" spans="1:57" s="34" customFormat="1" ht="31.5" customHeight="1" thickTop="1" x14ac:dyDescent="0.15">
      <c r="A2" s="206"/>
      <c r="B2" s="206"/>
      <c r="C2" s="196" t="s">
        <v>146</v>
      </c>
      <c r="D2" s="195" t="s">
        <v>209</v>
      </c>
      <c r="E2" s="194" t="s">
        <v>210</v>
      </c>
      <c r="F2" s="194" t="s">
        <v>211</v>
      </c>
      <c r="G2" s="194" t="s">
        <v>215</v>
      </c>
      <c r="H2" s="194" t="s">
        <v>212</v>
      </c>
      <c r="I2" s="194" t="s">
        <v>213</v>
      </c>
      <c r="J2" s="193" t="s">
        <v>16</v>
      </c>
      <c r="K2" s="206"/>
      <c r="L2" s="143" t="s">
        <v>217</v>
      </c>
      <c r="M2" s="144" t="s">
        <v>214</v>
      </c>
      <c r="N2" s="144" t="s">
        <v>147</v>
      </c>
      <c r="O2" s="145" t="s">
        <v>191</v>
      </c>
      <c r="P2" s="206"/>
      <c r="Q2" s="195" t="s">
        <v>166</v>
      </c>
      <c r="R2" s="194" t="s">
        <v>209</v>
      </c>
      <c r="S2" s="194" t="s">
        <v>210</v>
      </c>
      <c r="T2" s="194" t="s">
        <v>211</v>
      </c>
      <c r="U2" s="194" t="s">
        <v>215</v>
      </c>
      <c r="V2" s="194" t="s">
        <v>212</v>
      </c>
      <c r="W2" s="194" t="s">
        <v>213</v>
      </c>
      <c r="X2" s="193" t="s">
        <v>16</v>
      </c>
      <c r="Y2" s="206"/>
      <c r="Z2" s="143" t="s">
        <v>479</v>
      </c>
      <c r="AA2" s="144" t="s">
        <v>480</v>
      </c>
      <c r="AB2" s="145" t="s">
        <v>478</v>
      </c>
      <c r="AC2" s="206"/>
      <c r="AD2" s="143" t="s">
        <v>481</v>
      </c>
      <c r="AE2" s="144" t="s">
        <v>218</v>
      </c>
      <c r="AF2" s="145" t="s">
        <v>219</v>
      </c>
      <c r="AG2" s="161"/>
      <c r="AH2" s="161" t="str">
        <f>X2&amp;" (Year 1)"</f>
        <v>CFE Bill (Year 1)</v>
      </c>
      <c r="AI2" s="162" t="str">
        <f>AD2&amp;" (Year 1)"</f>
        <v>CFE + MySOL Bill (Year 1)</v>
      </c>
      <c r="AJ2" s="72"/>
      <c r="AK2" s="730" t="s">
        <v>295</v>
      </c>
      <c r="AL2" s="731"/>
      <c r="AM2" s="732"/>
      <c r="AN2" s="202"/>
      <c r="AO2" s="728" t="s">
        <v>294</v>
      </c>
      <c r="AP2" s="232" t="s">
        <v>293</v>
      </c>
      <c r="AQ2" s="232" t="s">
        <v>276</v>
      </c>
      <c r="AR2" s="233" t="s">
        <v>277</v>
      </c>
      <c r="AS2" s="233" t="s">
        <v>278</v>
      </c>
      <c r="AT2" s="234" t="s">
        <v>255</v>
      </c>
      <c r="AU2" s="261" t="s">
        <v>293</v>
      </c>
      <c r="AV2" s="262" t="s">
        <v>276</v>
      </c>
      <c r="AW2" s="233" t="s">
        <v>277</v>
      </c>
      <c r="AX2" s="233" t="s">
        <v>278</v>
      </c>
      <c r="AY2" s="234" t="s">
        <v>255</v>
      </c>
      <c r="AZ2" s="72">
        <f>MATCH(AU1,CFE_History_Tarifa1!$B$1:$B$98,0)</f>
        <v>9</v>
      </c>
      <c r="BA2" s="72"/>
      <c r="BB2" s="261" t="s">
        <v>293</v>
      </c>
      <c r="BC2" s="262" t="s">
        <v>276</v>
      </c>
      <c r="BD2" s="233" t="s">
        <v>277</v>
      </c>
      <c r="BE2" s="234" t="s">
        <v>255</v>
      </c>
    </row>
    <row r="3" spans="1:57" s="205" customFormat="1" ht="21" x14ac:dyDescent="0.15">
      <c r="A3" s="206"/>
      <c r="B3" s="166"/>
      <c r="C3" s="165"/>
      <c r="D3" s="164"/>
      <c r="E3" s="163"/>
      <c r="F3" s="163"/>
      <c r="G3" s="163"/>
      <c r="H3" s="163"/>
      <c r="I3" s="163"/>
      <c r="J3" s="162" t="s">
        <v>128</v>
      </c>
      <c r="K3" s="166"/>
      <c r="L3" s="161"/>
      <c r="M3" s="160"/>
      <c r="N3" s="160"/>
      <c r="O3" s="162"/>
      <c r="P3" s="166"/>
      <c r="Q3" s="164"/>
      <c r="R3" s="163"/>
      <c r="S3" s="163"/>
      <c r="T3" s="163"/>
      <c r="U3" s="163"/>
      <c r="V3" s="163"/>
      <c r="W3" s="163"/>
      <c r="X3" s="162" t="s">
        <v>128</v>
      </c>
      <c r="Y3" s="166"/>
      <c r="Z3" s="161"/>
      <c r="AA3" s="160"/>
      <c r="AB3" s="162"/>
      <c r="AC3" s="166"/>
      <c r="AD3" s="161" t="s">
        <v>484</v>
      </c>
      <c r="AE3" s="160" t="s">
        <v>159</v>
      </c>
      <c r="AF3" s="162" t="s">
        <v>175</v>
      </c>
      <c r="AG3" s="161"/>
      <c r="AH3" s="382" t="str">
        <f>X3&amp;" (Año 1)"</f>
        <v>Recibo CFE (Año 1)</v>
      </c>
      <c r="AI3" s="383" t="str">
        <f>AD3&amp;" (Año 1)"</f>
        <v>Recibo CFE + MySOL (Año 1)</v>
      </c>
      <c r="AK3" s="733"/>
      <c r="AL3" s="734"/>
      <c r="AM3" s="735"/>
      <c r="AN3" s="202"/>
      <c r="AO3" s="729"/>
      <c r="AP3" s="256" t="s">
        <v>291</v>
      </c>
      <c r="AQ3" s="235">
        <f>INDEX(CFE_History_Tarifa1!$A$1:$DV$98,$AZ$1+2,1)</f>
        <v>75</v>
      </c>
      <c r="AR3" s="236">
        <f>INDEX(CFE_History_Tarifa1!$A$1:$DV$98,$AZ$1+3,1)</f>
        <v>65</v>
      </c>
      <c r="AS3" s="236">
        <f>INDEX(CFE_History_Tarifa1!$A$1:$DV$98,$AZ$1+4,1)</f>
        <v>0</v>
      </c>
      <c r="AT3" s="237">
        <f>INDEX(CFE_History_Tarifa1!$A$1:$DV$98,$AZ$1+5,1)</f>
        <v>0</v>
      </c>
      <c r="AU3" s="263"/>
      <c r="AV3" s="264">
        <f>INDEX(CFE_History_Tarifa1!$A$1:$DV$98,$AZ$2+2,1)</f>
        <v>75</v>
      </c>
      <c r="AW3" s="236">
        <f>INDEX(CFE_History_Tarifa1!$A$1:$DV$98,$AZ$2+3,1)</f>
        <v>65</v>
      </c>
      <c r="AX3" s="236">
        <f>INDEX(CFE_History_Tarifa1!$A$1:$DV$98,$AZ$2+4,1)</f>
        <v>0</v>
      </c>
      <c r="AY3" s="237">
        <f>INDEX(CFE_History_Tarifa1!$A$1:$DV$98,$AZ$2+5,1)</f>
        <v>0</v>
      </c>
      <c r="AZ3" s="72">
        <f>MATCH(CFE_RatePeriod,CFE_History_Tarifa1!$A$1:$DV$1,0)</f>
        <v>11</v>
      </c>
      <c r="BA3" s="72"/>
      <c r="BB3" s="263" t="s">
        <v>291</v>
      </c>
      <c r="BC3" s="264">
        <f>INDEX(CFE_History_Tarifa2!$A$1:$DV$9,5,1)</f>
        <v>50</v>
      </c>
      <c r="BD3" s="236">
        <f>INDEX(CFE_History_Tarifa2!$A$1:$DV$9,6,1)</f>
        <v>50</v>
      </c>
      <c r="BE3" s="237">
        <f>INDEX(CFE_History_Tarifa2!$A$1:$DV$9,7,1)</f>
        <v>0</v>
      </c>
    </row>
    <row r="4" spans="1:57" s="35" customFormat="1" x14ac:dyDescent="0.15">
      <c r="A4" s="207"/>
      <c r="B4" s="207" t="s">
        <v>18</v>
      </c>
      <c r="C4" s="192" t="s">
        <v>149</v>
      </c>
      <c r="D4" s="191" t="s">
        <v>150</v>
      </c>
      <c r="E4" s="190" t="s">
        <v>133</v>
      </c>
      <c r="F4" s="190" t="s">
        <v>133</v>
      </c>
      <c r="G4" s="190" t="s">
        <v>133</v>
      </c>
      <c r="H4" s="190" t="s">
        <v>133</v>
      </c>
      <c r="I4" s="190" t="s">
        <v>133</v>
      </c>
      <c r="J4" s="148" t="s">
        <v>133</v>
      </c>
      <c r="K4" s="207"/>
      <c r="L4" s="146" t="s">
        <v>149</v>
      </c>
      <c r="M4" s="147" t="s">
        <v>17</v>
      </c>
      <c r="N4" s="147" t="s">
        <v>17</v>
      </c>
      <c r="O4" s="148" t="s">
        <v>149</v>
      </c>
      <c r="P4" s="207"/>
      <c r="Q4" s="191"/>
      <c r="R4" s="190" t="s">
        <v>150</v>
      </c>
      <c r="S4" s="190" t="s">
        <v>133</v>
      </c>
      <c r="T4" s="190" t="s">
        <v>133</v>
      </c>
      <c r="U4" s="190" t="s">
        <v>133</v>
      </c>
      <c r="V4" s="190" t="s">
        <v>133</v>
      </c>
      <c r="W4" s="190"/>
      <c r="X4" s="148" t="s">
        <v>133</v>
      </c>
      <c r="Y4" s="207"/>
      <c r="Z4" s="146" t="s">
        <v>133</v>
      </c>
      <c r="AA4" s="147" t="s">
        <v>133</v>
      </c>
      <c r="AB4" s="148" t="s">
        <v>133</v>
      </c>
      <c r="AC4" s="207"/>
      <c r="AD4" s="146" t="s">
        <v>133</v>
      </c>
      <c r="AE4" s="147"/>
      <c r="AF4" s="148"/>
      <c r="AG4" s="380"/>
      <c r="AH4" s="379"/>
      <c r="AI4" s="381"/>
      <c r="AN4" s="202"/>
      <c r="AP4" s="257" t="s">
        <v>292</v>
      </c>
      <c r="AQ4" s="238">
        <f>INDEX(CFE_History_Tarifa1!$A$1:$DV$98,$AZ$1+2,$AZ$3)</f>
        <v>0.79300000000000004</v>
      </c>
      <c r="AR4" s="239">
        <f>INDEX(CFE_History_Tarifa1!$A$1:$DV$98,$AZ$1+3,$AZ$3)</f>
        <v>0</v>
      </c>
      <c r="AS4" s="239">
        <f>INDEX(CFE_History_Tarifa1!$A$1:$DV$98,$AZ$1+4,$AZ$3)</f>
        <v>0.95599999999999996</v>
      </c>
      <c r="AT4" s="240">
        <f>INDEX(CFE_History_Tarifa1!$A$1:$DV$98,$AZ$1+5,$AZ$3)</f>
        <v>2.802</v>
      </c>
      <c r="AU4" s="265"/>
      <c r="AV4" s="266">
        <f>INDEX(CFE_History_Tarifa1!$A$1:$DV$98,$AZ$2+2,$AZ$3)</f>
        <v>0.79300000000000004</v>
      </c>
      <c r="AW4" s="239">
        <f>INDEX(CFE_History_Tarifa1!$A$1:$DV$98,$AZ$2+3,$AZ$3)</f>
        <v>0</v>
      </c>
      <c r="AX4" s="239">
        <f>INDEX(CFE_History_Tarifa1!$A$1:$DV$98,$AZ$2+4,$AZ$3)</f>
        <v>0.95599999999999996</v>
      </c>
      <c r="AY4" s="240">
        <f>INDEX(CFE_History_Tarifa1!$A$1:$DV$98,$AZ$2+5,$AZ$3)</f>
        <v>2.802</v>
      </c>
      <c r="AZ4" s="72">
        <f>MATCH(CFE_RatePeriod,CFE_History_Tarifa2!$A$3:$DV$3,0)</f>
        <v>11</v>
      </c>
      <c r="BA4" s="72"/>
      <c r="BB4" s="265" t="s">
        <v>292</v>
      </c>
      <c r="BC4" s="266">
        <f>INDEX(CFE_History_Tarifa2!$A$1:$DV$9,5,$AZ$4)</f>
        <v>2.61</v>
      </c>
      <c r="BD4" s="239">
        <f>INDEX(CFE_History_Tarifa2!$A$1:$DV$9,6,$AZ$4)</f>
        <v>3.1469999999999998</v>
      </c>
      <c r="BE4" s="240">
        <f>INDEX(CFE_History_Tarifa2!$A$1:$DV$9,7,$AZ$4)</f>
        <v>3.4689999999999999</v>
      </c>
    </row>
    <row r="5" spans="1:57" x14ac:dyDescent="0.15">
      <c r="A5" s="212">
        <f>DATE(2016,1,1)</f>
        <v>42370</v>
      </c>
      <c r="B5" s="213">
        <v>0</v>
      </c>
      <c r="C5" s="139"/>
      <c r="D5" s="140"/>
      <c r="E5" s="140"/>
      <c r="F5" s="140"/>
      <c r="G5" s="140"/>
      <c r="H5" s="140"/>
      <c r="I5" s="140"/>
      <c r="J5" s="155"/>
      <c r="K5" s="142"/>
      <c r="L5" s="207"/>
      <c r="M5" s="209"/>
      <c r="N5" s="214"/>
      <c r="O5" s="214"/>
      <c r="P5" s="207"/>
      <c r="Q5" s="207"/>
      <c r="R5" s="140"/>
      <c r="S5" s="140"/>
      <c r="T5" s="140"/>
      <c r="U5" s="140"/>
      <c r="V5" s="140"/>
      <c r="W5" s="140"/>
      <c r="X5" s="141"/>
      <c r="Y5" s="207"/>
      <c r="Z5" s="210"/>
      <c r="AA5" s="210"/>
      <c r="AB5" s="210"/>
      <c r="AC5" s="207"/>
      <c r="AD5" s="210"/>
      <c r="AE5" s="139"/>
      <c r="AF5" s="139"/>
      <c r="AG5" s="139"/>
      <c r="AH5" s="139"/>
      <c r="AI5" s="139"/>
      <c r="AN5" s="202"/>
      <c r="AV5" s="72"/>
      <c r="AW5" s="72"/>
      <c r="AY5" s="72"/>
      <c r="BC5" s="72"/>
      <c r="BD5" s="72"/>
      <c r="BE5" s="72"/>
    </row>
    <row r="6" spans="1:57" x14ac:dyDescent="0.15">
      <c r="A6" s="212">
        <f>DATE(YEAR(A5)+1,1,1)</f>
        <v>42736</v>
      </c>
      <c r="B6" s="213">
        <v>1</v>
      </c>
      <c r="C6" s="208">
        <f t="shared" ref="C6:C20" si="0">CustUsage_kWhPerYear</f>
        <v>15216</v>
      </c>
      <c r="D6" s="138">
        <f>CFE_RatePreTaxes</f>
        <v>4.37</v>
      </c>
      <c r="E6" s="189">
        <f>C6*D6</f>
        <v>66493.919999999998</v>
      </c>
      <c r="F6" s="189">
        <f t="shared" ref="F6:F20" si="1">((CFE_CargoFijo)*((1+CFE_YrIncreasePct)^($B6-1))*12)</f>
        <v>1198.08</v>
      </c>
      <c r="G6" s="189">
        <f>E6+F6</f>
        <v>67692</v>
      </c>
      <c r="H6" s="189">
        <f t="shared" ref="H6:H20" si="2">G6*DAP</f>
        <v>6769.2000000000007</v>
      </c>
      <c r="I6" s="189">
        <f t="shared" ref="I6:I20" si="3">G6*IVA</f>
        <v>10830.72</v>
      </c>
      <c r="J6" s="188">
        <f t="shared" ref="J6:J20" si="4">SUM(G6:I6)</f>
        <v>85291.92</v>
      </c>
      <c r="K6" s="210"/>
      <c r="L6" s="149">
        <f t="shared" ref="L6:L20" si="5">Sys_kWhPerYear*M6</f>
        <v>15141.8089565886</v>
      </c>
      <c r="M6" s="187">
        <v>1</v>
      </c>
      <c r="N6" s="187">
        <f t="shared" ref="N6:N20" si="6">L6/C6</f>
        <v>0.99512414278316252</v>
      </c>
      <c r="O6" s="150">
        <f>MAX(0,C6-L6)</f>
        <v>74.191043411399733</v>
      </c>
      <c r="P6" s="207"/>
      <c r="Q6" s="435" t="str">
        <f>CFE_RateCategory</f>
        <v>DAC</v>
      </c>
      <c r="R6" s="432">
        <f>IF(OR(Q6="DAC",Q6="Tarifa 1"),D6,BB6)</f>
        <v>4.37</v>
      </c>
      <c r="S6" s="189">
        <f>IF(O6=0,0,O6*R6)</f>
        <v>324.21485970781686</v>
      </c>
      <c r="T6" s="189">
        <f>F6</f>
        <v>1198.08</v>
      </c>
      <c r="U6" s="189">
        <f>S6+T6</f>
        <v>1522.2948597078168</v>
      </c>
      <c r="V6" s="189">
        <f t="shared" ref="V6:V20" si="7">U6*DAP</f>
        <v>152.2294859707817</v>
      </c>
      <c r="W6" s="189"/>
      <c r="X6" s="188">
        <f t="shared" ref="X6:X20" si="8">SUM(U6:W6)</f>
        <v>1674.5243456785986</v>
      </c>
      <c r="Y6" s="207"/>
      <c r="Z6" s="186">
        <f>Sys_kWhPerYear*MySol_TotalRate</f>
        <v>58229.340523457133</v>
      </c>
      <c r="AA6" s="185">
        <f t="shared" ref="AA6:AA20" si="9">Z6*IVA</f>
        <v>9316.694483753141</v>
      </c>
      <c r="AB6" s="184">
        <f>SUM(Z6:AA6)</f>
        <v>67546.035007210274</v>
      </c>
      <c r="AC6" s="207"/>
      <c r="AD6" s="186">
        <f>AB6+X6</f>
        <v>69220.559352888871</v>
      </c>
      <c r="AE6" s="185">
        <f t="shared" ref="AE6:AE20" si="10">J6-AD6</f>
        <v>16071.360647111127</v>
      </c>
      <c r="AF6" s="183">
        <f t="shared" ref="AF6:AF20" si="11">AE6/J6</f>
        <v>0.18842770390338415</v>
      </c>
      <c r="AG6" s="287"/>
      <c r="AH6" s="287"/>
      <c r="AI6" s="287"/>
      <c r="AL6" s="429">
        <f>INDEX(CFE_History_DAC!$A$4:$O$37,MATCH(VLOOKUP(Inputs!$B$19,ListData!$B$2:$C$8,2,FALSE),CFE_History_DAC!$A$4:$A$37,0)+2,MATCH(CFE_RatePeriod,CFE_History_DAC!$A$3:$O$3,0))</f>
        <v>4.37</v>
      </c>
      <c r="AM6" s="429">
        <f t="shared" ref="AM6:AM20" si="12">BB6*((1+CFE_YrIncreasePct)^(B6-1))</f>
        <v>2.61</v>
      </c>
      <c r="AN6" s="202"/>
      <c r="AV6" s="72"/>
      <c r="AW6" s="72"/>
      <c r="AY6" s="72"/>
      <c r="BB6" s="267">
        <f>IF($O6=0,BC$4,SUM(BC6:BE6)/$O6)</f>
        <v>2.61</v>
      </c>
      <c r="BC6" s="273">
        <f>MIN($O6,BC$3*12)*BC$4</f>
        <v>193.63862330375329</v>
      </c>
      <c r="BD6" s="241">
        <f>MAX(0,MIN($O6-SUM($BC$3:BC$3)*12,BD$3*12))*BD$4</f>
        <v>0</v>
      </c>
      <c r="BE6" s="242">
        <f>MAX(0,$O6-SUM($BC$3:BD$3)*12)*BE$4</f>
        <v>0</v>
      </c>
    </row>
    <row r="7" spans="1:57" x14ac:dyDescent="0.15">
      <c r="A7" s="212">
        <f t="shared" ref="A7:A20" si="13">DATE(YEAR(A6)+1,1,1)</f>
        <v>43101</v>
      </c>
      <c r="B7" s="213">
        <v>2</v>
      </c>
      <c r="C7" s="208">
        <f t="shared" si="0"/>
        <v>15216</v>
      </c>
      <c r="D7" s="182">
        <f t="shared" ref="D7:D20" si="14">D6*(1+CFE_YrIncreasePct)</f>
        <v>4.7196000000000007</v>
      </c>
      <c r="E7" s="181">
        <f t="shared" ref="E7:E20" si="15">C7*D7</f>
        <v>71813.433600000004</v>
      </c>
      <c r="F7" s="181">
        <f t="shared" si="1"/>
        <v>1293.9264000000001</v>
      </c>
      <c r="G7" s="181">
        <f t="shared" ref="G7:G20" si="16">E7+F7</f>
        <v>73107.360000000001</v>
      </c>
      <c r="H7" s="181">
        <f t="shared" si="2"/>
        <v>7310.7360000000008</v>
      </c>
      <c r="I7" s="181">
        <f t="shared" si="3"/>
        <v>11697.177600000001</v>
      </c>
      <c r="J7" s="180">
        <f t="shared" si="4"/>
        <v>92115.2736</v>
      </c>
      <c r="K7" s="213"/>
      <c r="L7" s="151">
        <f t="shared" si="5"/>
        <v>15066.099911805657</v>
      </c>
      <c r="M7" s="179">
        <f t="shared" ref="M7:M20" si="17">M6+Sys_YrDegradationRate</f>
        <v>0.995</v>
      </c>
      <c r="N7" s="179">
        <f t="shared" si="6"/>
        <v>0.99014852206924664</v>
      </c>
      <c r="O7" s="152">
        <f t="shared" ref="O7:O20" si="18">MAX(0,C7-L7)</f>
        <v>149.90008819434297</v>
      </c>
      <c r="P7" s="207"/>
      <c r="Q7" s="436" t="str">
        <f>IF(OR(CFE_RateCategory="DAC",CFE_RateCategory="Tarifa 1"),IF(O6&lt;VLOOKUP(CFE_Limite,ListData!$B$30:$D$36,3,FALSE),"Tarifa "&amp;CFE_Limite,"DAC"),"Tarifa 2")</f>
        <v>Tarifa 1</v>
      </c>
      <c r="R7" s="433">
        <f>IF(O7=0,AK7,HLOOKUP($Q7,$AK$1:$AM$20,ROW(R7),FALSE))</f>
        <v>0.81679000000000002</v>
      </c>
      <c r="S7" s="181">
        <f t="shared" ref="S7:S20" si="19">IF(O7=0,0,O7*R7)</f>
        <v>122.4368930362574</v>
      </c>
      <c r="T7" s="181">
        <f t="shared" ref="T7:T20" si="20">F7</f>
        <v>1293.9264000000001</v>
      </c>
      <c r="U7" s="181">
        <f t="shared" ref="U7:U20" si="21">S7+T7</f>
        <v>1416.3632930362573</v>
      </c>
      <c r="V7" s="181">
        <f t="shared" si="7"/>
        <v>141.63632930362573</v>
      </c>
      <c r="W7" s="181"/>
      <c r="X7" s="180">
        <f t="shared" si="8"/>
        <v>1557.999622339883</v>
      </c>
      <c r="Y7" s="207"/>
      <c r="Z7" s="178">
        <f t="shared" ref="Z7:Z20" si="22">IF(B7&gt;Cust_LeaseTermYears,0,Z6*(1+FinYrIncr))</f>
        <v>60267.367441778129</v>
      </c>
      <c r="AA7" s="177">
        <f t="shared" si="9"/>
        <v>9642.7787906845006</v>
      </c>
      <c r="AB7" s="176">
        <f t="shared" ref="AB7:AB20" si="23">SUM(Z7:AA7)</f>
        <v>69910.146232462634</v>
      </c>
      <c r="AC7" s="207"/>
      <c r="AD7" s="178">
        <f t="shared" ref="AD7:AD20" si="24">AB7+X7</f>
        <v>71468.145854802511</v>
      </c>
      <c r="AE7" s="177">
        <f t="shared" si="10"/>
        <v>20647.127745197489</v>
      </c>
      <c r="AF7" s="175">
        <f t="shared" si="11"/>
        <v>0.22414445442408684</v>
      </c>
      <c r="AG7" s="287"/>
      <c r="AH7" s="287"/>
      <c r="AI7" s="425"/>
      <c r="AK7" s="426">
        <f>AO7</f>
        <v>0.81679000000000002</v>
      </c>
      <c r="AL7" s="426">
        <f t="shared" ref="AL7:AL20" si="25">AL6*(1+CFE_YrIncreasePct)</f>
        <v>4.7196000000000007</v>
      </c>
      <c r="AM7" s="426">
        <f t="shared" si="12"/>
        <v>2.8188</v>
      </c>
      <c r="AN7" s="202"/>
      <c r="AO7" s="245">
        <f>AVERAGE(AP7,AU7)</f>
        <v>0.81679000000000002</v>
      </c>
      <c r="AP7" s="258">
        <f t="shared" ref="AP7:AP20" si="26">IF($O7=0,AQ$4*((1+InflationRate)^($B7-1)),SUM(AQ7:AT7)/$O7)</f>
        <v>0.81679000000000002</v>
      </c>
      <c r="AQ7" s="247">
        <f t="shared" ref="AQ7:AQ20" si="27">MIN($O7,AQ$3*12)*(AQ$4*((1+InflationRate)^($B7-1)))</f>
        <v>122.4368930362574</v>
      </c>
      <c r="AR7" s="248">
        <f>MAX(0,MIN($O7-SUM($AQ$3:AQ$3)*12,AR$3*12))*(AR$4*((1+InflationRate)^($B7-1)))</f>
        <v>0</v>
      </c>
      <c r="AS7" s="248">
        <f>MAX(0,MIN($O7-SUM($AQ$3:AR$3)*12,AS$3*12))*(AS$4*((1+InflationRate)^($B7-1)))</f>
        <v>0</v>
      </c>
      <c r="AT7" s="249">
        <f>MAX(0,$O7-SUM($AQ$3:AS$3)*12)*(AT$4*((1+InflationRate)^($B7-1)))</f>
        <v>0</v>
      </c>
      <c r="AU7" s="267">
        <f t="shared" ref="AU7:AU20" si="28">IF($O7=0,AV$4*((1+InflationRate)^($B7-1)),SUM(AV7:AY7)/$O7)</f>
        <v>0.81679000000000002</v>
      </c>
      <c r="AV7" s="268">
        <f t="shared" ref="AV7:AV20" si="29">MIN($O7,AV$3*12)*(AV$4*((1+InflationRate)^($B7-1)))</f>
        <v>122.4368930362574</v>
      </c>
      <c r="AW7" s="248">
        <f>MAX(0,MIN($O7-SUM($AV$3:AV$3)*12,AW$3*12))*(AW$4*((1+InflationRate)^($B7-1)))</f>
        <v>0</v>
      </c>
      <c r="AX7" s="248">
        <f>MAX(0,MIN($O7-SUM($AV$3:AW$3)*12,AX$3*12))*(AX$4*((1+InflationRate)^($B7-1)))</f>
        <v>0</v>
      </c>
      <c r="AY7" s="249">
        <f>MAX(0,$O7-SUM($AV$3:AX$3)*12)*(AY$4*((1+InflationRate)^($B7-1)))</f>
        <v>0</v>
      </c>
      <c r="BB7" s="269">
        <f t="shared" ref="BB7:BB20" si="30">IF($O7=0,BC$4,SUM(BC7:BE7)/$O7)</f>
        <v>2.61</v>
      </c>
      <c r="BC7" s="274">
        <f>MIN($O7,BC$3*12)*BC$4</f>
        <v>391.23923018723514</v>
      </c>
      <c r="BD7" s="44">
        <f>MAX(0,MIN($O7-SUM($BC$3:BC$3)*12,BD$3*12))*BD$4</f>
        <v>0</v>
      </c>
      <c r="BE7" s="243">
        <f>MAX(0,$O7-SUM($BC$3:BD$3)*12)*BE$4</f>
        <v>0</v>
      </c>
    </row>
    <row r="8" spans="1:57" x14ac:dyDescent="0.15">
      <c r="A8" s="212">
        <f t="shared" si="13"/>
        <v>43466</v>
      </c>
      <c r="B8" s="213">
        <v>3</v>
      </c>
      <c r="C8" s="208">
        <f t="shared" si="0"/>
        <v>15216</v>
      </c>
      <c r="D8" s="182">
        <f t="shared" si="14"/>
        <v>5.0971680000000008</v>
      </c>
      <c r="E8" s="181">
        <f t="shared" si="15"/>
        <v>77558.508288000012</v>
      </c>
      <c r="F8" s="181">
        <f t="shared" si="1"/>
        <v>1397.4405120000001</v>
      </c>
      <c r="G8" s="181">
        <f t="shared" si="16"/>
        <v>78955.948800000013</v>
      </c>
      <c r="H8" s="181">
        <f t="shared" si="2"/>
        <v>7895.5948800000015</v>
      </c>
      <c r="I8" s="181">
        <f t="shared" si="3"/>
        <v>12632.951808000002</v>
      </c>
      <c r="J8" s="180">
        <f t="shared" si="4"/>
        <v>99484.495488000015</v>
      </c>
      <c r="K8" s="213"/>
      <c r="L8" s="151">
        <f t="shared" si="5"/>
        <v>14990.390867022714</v>
      </c>
      <c r="M8" s="179">
        <f t="shared" si="17"/>
        <v>0.99</v>
      </c>
      <c r="N8" s="179">
        <f t="shared" si="6"/>
        <v>0.98517290135533087</v>
      </c>
      <c r="O8" s="152">
        <f t="shared" si="18"/>
        <v>225.60913297728621</v>
      </c>
      <c r="P8" s="207"/>
      <c r="Q8" s="436" t="str">
        <f>IF(OR(CFE_RateCategory="DAC",CFE_RateCategory="Tarifa 1"),IF(O7&lt;VLOOKUP(CFE_Limite,ListData!$B$30:$D$36,3,FALSE),"Tarifa "&amp;CFE_Limite,"DAC"),"Tarifa 2")</f>
        <v>Tarifa 1</v>
      </c>
      <c r="R8" s="433">
        <f t="shared" ref="R8:R20" si="31">IF(O8=0,AK8,HLOOKUP($Q8,$AK$1:$AM$20,ROW(R8),FALSE))</f>
        <v>0.84129370000000014</v>
      </c>
      <c r="S8" s="181">
        <f t="shared" si="19"/>
        <v>189.80354223625315</v>
      </c>
      <c r="T8" s="181">
        <f t="shared" si="20"/>
        <v>1397.4405120000001</v>
      </c>
      <c r="U8" s="181">
        <f t="shared" si="21"/>
        <v>1587.2440542362533</v>
      </c>
      <c r="V8" s="181">
        <f t="shared" si="7"/>
        <v>158.72440542362534</v>
      </c>
      <c r="W8" s="181"/>
      <c r="X8" s="180">
        <f t="shared" si="8"/>
        <v>1745.9684596598786</v>
      </c>
      <c r="Y8" s="207"/>
      <c r="Z8" s="178">
        <f t="shared" si="22"/>
        <v>62376.72530224036</v>
      </c>
      <c r="AA8" s="177">
        <f t="shared" si="9"/>
        <v>9980.276048358457</v>
      </c>
      <c r="AB8" s="176">
        <f t="shared" si="23"/>
        <v>72357.001350598817</v>
      </c>
      <c r="AC8" s="207"/>
      <c r="AD8" s="178">
        <f t="shared" si="24"/>
        <v>74102.969810258699</v>
      </c>
      <c r="AE8" s="177">
        <f t="shared" si="10"/>
        <v>25381.525677741316</v>
      </c>
      <c r="AF8" s="175">
        <f t="shared" si="11"/>
        <v>0.25513046584030652</v>
      </c>
      <c r="AG8" s="287"/>
      <c r="AH8" s="287"/>
      <c r="AI8" s="425"/>
      <c r="AK8" s="427">
        <f t="shared" ref="AK8:AK20" si="32">AO8</f>
        <v>0.84129370000000014</v>
      </c>
      <c r="AL8" s="427">
        <f t="shared" si="25"/>
        <v>5.0971680000000008</v>
      </c>
      <c r="AM8" s="427">
        <f t="shared" si="12"/>
        <v>3.0443040000000003</v>
      </c>
      <c r="AN8" s="202"/>
      <c r="AO8" s="245">
        <f t="shared" ref="AO8:AO20" si="33">AVERAGE(AP8,AU8)</f>
        <v>0.84129370000000014</v>
      </c>
      <c r="AP8" s="259">
        <f t="shared" si="26"/>
        <v>0.84129370000000014</v>
      </c>
      <c r="AQ8" s="250">
        <f t="shared" si="27"/>
        <v>189.80354223625315</v>
      </c>
      <c r="AR8" s="251">
        <f>MAX(0,MIN($O8-SUM($AQ$3:AQ$3)*12,AR$3*12))*(AR$4*((1+InflationRate)^($B8-1)))</f>
        <v>0</v>
      </c>
      <c r="AS8" s="251">
        <f>MAX(0,MIN($O8-SUM($AQ$3:AR$3)*12,AS$3*12))*(AS$4*((1+InflationRate)^($B8-1)))</f>
        <v>0</v>
      </c>
      <c r="AT8" s="252">
        <f>MAX(0,$O8-SUM($AQ$3:AS$3)*12)*(AT$4*((1+InflationRate)^($B8-1)))</f>
        <v>0</v>
      </c>
      <c r="AU8" s="269">
        <f t="shared" si="28"/>
        <v>0.84129370000000014</v>
      </c>
      <c r="AV8" s="270">
        <f t="shared" si="29"/>
        <v>189.80354223625315</v>
      </c>
      <c r="AW8" s="251">
        <f>MAX(0,MIN($O8-SUM($AV$3:AV$3)*12,AW$3*12))*(AW$4*((1+InflationRate)^($B8-1)))</f>
        <v>0</v>
      </c>
      <c r="AX8" s="251">
        <f>MAX(0,MIN($O8-SUM($AV$3:AW$3)*12,AX$3*12))*(AX$4*((1+InflationRate)^($B8-1)))</f>
        <v>0</v>
      </c>
      <c r="AY8" s="252">
        <f>MAX(0,$O8-SUM($AV$3:AX$3)*12)*(AY$4*((1+InflationRate)^($B8-1)))</f>
        <v>0</v>
      </c>
      <c r="BB8" s="269">
        <f t="shared" si="30"/>
        <v>2.61</v>
      </c>
      <c r="BC8" s="274">
        <f t="shared" ref="BC8:BC20" si="34">MIN($O8,BC$3*12)*BC$4</f>
        <v>588.83983707071695</v>
      </c>
      <c r="BD8" s="44">
        <f>MAX(0,MIN($O8-SUM($BC$3:BC$3)*12,BD$3*12))*BD$4</f>
        <v>0</v>
      </c>
      <c r="BE8" s="243">
        <f>MAX(0,$O8-SUM($BC$3:BD$3)*12)*BE$4</f>
        <v>0</v>
      </c>
    </row>
    <row r="9" spans="1:57" x14ac:dyDescent="0.15">
      <c r="A9" s="212">
        <f t="shared" si="13"/>
        <v>43831</v>
      </c>
      <c r="B9" s="213">
        <v>4</v>
      </c>
      <c r="C9" s="208">
        <f t="shared" si="0"/>
        <v>15216</v>
      </c>
      <c r="D9" s="182">
        <f t="shared" si="14"/>
        <v>5.5049414400000014</v>
      </c>
      <c r="E9" s="181">
        <f t="shared" si="15"/>
        <v>83763.188951040021</v>
      </c>
      <c r="F9" s="181">
        <f t="shared" si="1"/>
        <v>1509.2357529600001</v>
      </c>
      <c r="G9" s="181">
        <f t="shared" si="16"/>
        <v>85272.424704000019</v>
      </c>
      <c r="H9" s="181">
        <f t="shared" si="2"/>
        <v>8527.2424704000023</v>
      </c>
      <c r="I9" s="181">
        <f t="shared" si="3"/>
        <v>13643.587952640004</v>
      </c>
      <c r="J9" s="180">
        <f t="shared" si="4"/>
        <v>107443.25512704003</v>
      </c>
      <c r="K9" s="210"/>
      <c r="L9" s="151">
        <f t="shared" si="5"/>
        <v>14914.681822239771</v>
      </c>
      <c r="M9" s="179">
        <f t="shared" si="17"/>
        <v>0.98499999999999999</v>
      </c>
      <c r="N9" s="179">
        <f t="shared" si="6"/>
        <v>0.98019728064141498</v>
      </c>
      <c r="O9" s="152">
        <f t="shared" si="18"/>
        <v>301.31817776022945</v>
      </c>
      <c r="P9" s="207"/>
      <c r="Q9" s="436" t="str">
        <f>IF(OR(CFE_RateCategory="DAC",CFE_RateCategory="Tarifa 1"),IF(O8&lt;VLOOKUP(CFE_Limite,ListData!$B$30:$D$36,3,FALSE),"Tarifa "&amp;CFE_Limite,"DAC"),"Tarifa 2")</f>
        <v>Tarifa 1</v>
      </c>
      <c r="R9" s="433">
        <f t="shared" si="31"/>
        <v>0.86653251100000006</v>
      </c>
      <c r="S9" s="181">
        <f t="shared" si="19"/>
        <v>261.10199718451599</v>
      </c>
      <c r="T9" s="181">
        <f t="shared" si="20"/>
        <v>1509.2357529600001</v>
      </c>
      <c r="U9" s="181">
        <f t="shared" si="21"/>
        <v>1770.3377501445161</v>
      </c>
      <c r="V9" s="181">
        <f t="shared" si="7"/>
        <v>177.03377501445163</v>
      </c>
      <c r="W9" s="181"/>
      <c r="X9" s="180">
        <f t="shared" si="8"/>
        <v>1947.3715251589679</v>
      </c>
      <c r="Y9" s="207"/>
      <c r="Z9" s="178">
        <f t="shared" si="22"/>
        <v>64559.910687818767</v>
      </c>
      <c r="AA9" s="177">
        <f t="shared" si="9"/>
        <v>10329.585710051002</v>
      </c>
      <c r="AB9" s="176">
        <f t="shared" si="23"/>
        <v>74889.496397869763</v>
      </c>
      <c r="AC9" s="207"/>
      <c r="AD9" s="178">
        <f t="shared" si="24"/>
        <v>76836.867923028738</v>
      </c>
      <c r="AE9" s="177">
        <f t="shared" si="10"/>
        <v>30606.387204011291</v>
      </c>
      <c r="AF9" s="175">
        <f t="shared" si="11"/>
        <v>0.28486094513631915</v>
      </c>
      <c r="AG9" s="287"/>
      <c r="AH9" s="287"/>
      <c r="AI9" s="425"/>
      <c r="AK9" s="427">
        <f t="shared" si="32"/>
        <v>0.86653251100000006</v>
      </c>
      <c r="AL9" s="427">
        <f t="shared" si="25"/>
        <v>5.5049414400000014</v>
      </c>
      <c r="AM9" s="427">
        <f t="shared" si="12"/>
        <v>3.2878483200000002</v>
      </c>
      <c r="AN9" s="202"/>
      <c r="AO9" s="245">
        <f t="shared" si="33"/>
        <v>0.86653251100000006</v>
      </c>
      <c r="AP9" s="259">
        <f t="shared" si="26"/>
        <v>0.86653251100000006</v>
      </c>
      <c r="AQ9" s="250">
        <f t="shared" si="27"/>
        <v>261.10199718451599</v>
      </c>
      <c r="AR9" s="251">
        <f>MAX(0,MIN($O9-SUM($AQ$3:AQ$3)*12,AR$3*12))*(AR$4*((1+InflationRate)^($B9-1)))</f>
        <v>0</v>
      </c>
      <c r="AS9" s="251">
        <f>MAX(0,MIN($O9-SUM($AQ$3:AR$3)*12,AS$3*12))*(AS$4*((1+InflationRate)^($B9-1)))</f>
        <v>0</v>
      </c>
      <c r="AT9" s="252">
        <f>MAX(0,$O9-SUM($AQ$3:AS$3)*12)*(AT$4*((1+InflationRate)^($B9-1)))</f>
        <v>0</v>
      </c>
      <c r="AU9" s="269">
        <f t="shared" si="28"/>
        <v>0.86653251100000006</v>
      </c>
      <c r="AV9" s="270">
        <f t="shared" si="29"/>
        <v>261.10199718451599</v>
      </c>
      <c r="AW9" s="251">
        <f>MAX(0,MIN($O9-SUM($AV$3:AV$3)*12,AW$3*12))*(AW$4*((1+InflationRate)^($B9-1)))</f>
        <v>0</v>
      </c>
      <c r="AX9" s="251">
        <f>MAX(0,MIN($O9-SUM($AV$3:AW$3)*12,AX$3*12))*(AX$4*((1+InflationRate)^($B9-1)))</f>
        <v>0</v>
      </c>
      <c r="AY9" s="252">
        <f>MAX(0,$O9-SUM($AV$3:AX$3)*12)*(AY$4*((1+InflationRate)^($B9-1)))</f>
        <v>0</v>
      </c>
      <c r="BB9" s="269">
        <f t="shared" si="30"/>
        <v>2.61</v>
      </c>
      <c r="BC9" s="274">
        <f t="shared" si="34"/>
        <v>786.44044395419883</v>
      </c>
      <c r="BD9" s="44">
        <f>MAX(0,MIN($O9-SUM($BC$3:BC$3)*12,BD$3*12))*BD$4</f>
        <v>0</v>
      </c>
      <c r="BE9" s="243">
        <f>MAX(0,$O9-SUM($BC$3:BD$3)*12)*BE$4</f>
        <v>0</v>
      </c>
    </row>
    <row r="10" spans="1:57" x14ac:dyDescent="0.15">
      <c r="A10" s="212">
        <f t="shared" si="13"/>
        <v>44197</v>
      </c>
      <c r="B10" s="213">
        <v>5</v>
      </c>
      <c r="C10" s="208">
        <f t="shared" si="0"/>
        <v>15216</v>
      </c>
      <c r="D10" s="182">
        <f t="shared" si="14"/>
        <v>5.9453367552000023</v>
      </c>
      <c r="E10" s="181">
        <f t="shared" si="15"/>
        <v>90464.244067123233</v>
      </c>
      <c r="F10" s="181">
        <f t="shared" si="1"/>
        <v>1629.9746131968004</v>
      </c>
      <c r="G10" s="181">
        <f t="shared" si="16"/>
        <v>92094.218680320031</v>
      </c>
      <c r="H10" s="181">
        <f t="shared" si="2"/>
        <v>9209.4218680320027</v>
      </c>
      <c r="I10" s="181">
        <f t="shared" si="3"/>
        <v>14735.074988851205</v>
      </c>
      <c r="J10" s="180">
        <f t="shared" si="4"/>
        <v>116038.71553720324</v>
      </c>
      <c r="K10" s="210"/>
      <c r="L10" s="151">
        <f t="shared" si="5"/>
        <v>14838.972777456827</v>
      </c>
      <c r="M10" s="179">
        <f t="shared" si="17"/>
        <v>0.98</v>
      </c>
      <c r="N10" s="179">
        <f t="shared" si="6"/>
        <v>0.97522165992749921</v>
      </c>
      <c r="O10" s="152">
        <f t="shared" si="18"/>
        <v>377.02722254317268</v>
      </c>
      <c r="P10" s="207"/>
      <c r="Q10" s="436" t="str">
        <f>IF(OR(CFE_RateCategory="DAC",CFE_RateCategory="Tarifa 1"),IF(O9&lt;VLOOKUP(CFE_Limite,ListData!$B$30:$D$36,3,FALSE),"Tarifa "&amp;CFE_Limite,"DAC"),"Tarifa 2")</f>
        <v>Tarifa 1</v>
      </c>
      <c r="R10" s="433">
        <f t="shared" si="31"/>
        <v>0.89252848633000004</v>
      </c>
      <c r="S10" s="181">
        <f t="shared" si="19"/>
        <v>336.50753624166197</v>
      </c>
      <c r="T10" s="181">
        <f t="shared" si="20"/>
        <v>1629.9746131968004</v>
      </c>
      <c r="U10" s="181">
        <f t="shared" si="21"/>
        <v>1966.4821494384623</v>
      </c>
      <c r="V10" s="181">
        <f t="shared" si="7"/>
        <v>196.64821494384626</v>
      </c>
      <c r="W10" s="181"/>
      <c r="X10" s="180">
        <f t="shared" si="8"/>
        <v>2163.1303643823085</v>
      </c>
      <c r="Y10" s="207"/>
      <c r="Z10" s="178">
        <f t="shared" si="22"/>
        <v>66819.507561892417</v>
      </c>
      <c r="AA10" s="177">
        <f t="shared" si="9"/>
        <v>10691.121209902787</v>
      </c>
      <c r="AB10" s="176">
        <f t="shared" si="23"/>
        <v>77510.628771795207</v>
      </c>
      <c r="AC10" s="207"/>
      <c r="AD10" s="178">
        <f t="shared" si="24"/>
        <v>79673.759136177512</v>
      </c>
      <c r="AE10" s="177">
        <f t="shared" si="10"/>
        <v>36364.956401025731</v>
      </c>
      <c r="AF10" s="175">
        <f t="shared" si="11"/>
        <v>0.31338640929170525</v>
      </c>
      <c r="AG10" s="287"/>
      <c r="AH10" s="287"/>
      <c r="AI10" s="425"/>
      <c r="AK10" s="427">
        <f t="shared" si="32"/>
        <v>0.89252848633000004</v>
      </c>
      <c r="AL10" s="427">
        <f t="shared" si="25"/>
        <v>5.9453367552000023</v>
      </c>
      <c r="AM10" s="427">
        <f t="shared" si="12"/>
        <v>3.5508761856000004</v>
      </c>
      <c r="AN10" s="202"/>
      <c r="AO10" s="245">
        <f t="shared" si="33"/>
        <v>0.89252848633000004</v>
      </c>
      <c r="AP10" s="259">
        <f t="shared" si="26"/>
        <v>0.89252848633000004</v>
      </c>
      <c r="AQ10" s="250">
        <f t="shared" si="27"/>
        <v>336.50753624166197</v>
      </c>
      <c r="AR10" s="251">
        <f>MAX(0,MIN($O10-SUM($AQ$3:AQ$3)*12,AR$3*12))*(AR$4*((1+InflationRate)^($B10-1)))</f>
        <v>0</v>
      </c>
      <c r="AS10" s="251">
        <f>MAX(0,MIN($O10-SUM($AQ$3:AR$3)*12,AS$3*12))*(AS$4*((1+InflationRate)^($B10-1)))</f>
        <v>0</v>
      </c>
      <c r="AT10" s="252">
        <f>MAX(0,$O10-SUM($AQ$3:AS$3)*12)*(AT$4*((1+InflationRate)^($B10-1)))</f>
        <v>0</v>
      </c>
      <c r="AU10" s="269">
        <f t="shared" si="28"/>
        <v>0.89252848633000004</v>
      </c>
      <c r="AV10" s="270">
        <f t="shared" si="29"/>
        <v>336.50753624166197</v>
      </c>
      <c r="AW10" s="251">
        <f>MAX(0,MIN($O10-SUM($AV$3:AV$3)*12,AW$3*12))*(AW$4*((1+InflationRate)^($B10-1)))</f>
        <v>0</v>
      </c>
      <c r="AX10" s="251">
        <f>MAX(0,MIN($O10-SUM($AV$3:AW$3)*12,AX$3*12))*(AX$4*((1+InflationRate)^($B10-1)))</f>
        <v>0</v>
      </c>
      <c r="AY10" s="252">
        <f>MAX(0,$O10-SUM($AV$3:AX$3)*12)*(AY$4*((1+InflationRate)^($B10-1)))</f>
        <v>0</v>
      </c>
      <c r="BB10" s="269">
        <f t="shared" si="30"/>
        <v>2.61</v>
      </c>
      <c r="BC10" s="274">
        <f t="shared" si="34"/>
        <v>984.0410508376807</v>
      </c>
      <c r="BD10" s="44">
        <f>MAX(0,MIN($O10-SUM($BC$3:BC$3)*12,BD$3*12))*BD$4</f>
        <v>0</v>
      </c>
      <c r="BE10" s="243">
        <f>MAX(0,$O10-SUM($BC$3:BD$3)*12)*BE$4</f>
        <v>0</v>
      </c>
    </row>
    <row r="11" spans="1:57" x14ac:dyDescent="0.15">
      <c r="A11" s="212">
        <f t="shared" si="13"/>
        <v>44562</v>
      </c>
      <c r="B11" s="213">
        <v>6</v>
      </c>
      <c r="C11" s="208">
        <f t="shared" si="0"/>
        <v>15216</v>
      </c>
      <c r="D11" s="182">
        <f t="shared" si="14"/>
        <v>6.4209636956160026</v>
      </c>
      <c r="E11" s="181">
        <f t="shared" si="15"/>
        <v>97701.38359249309</v>
      </c>
      <c r="F11" s="181">
        <f t="shared" si="1"/>
        <v>1760.3725822525446</v>
      </c>
      <c r="G11" s="181">
        <f t="shared" si="16"/>
        <v>99461.756174745635</v>
      </c>
      <c r="H11" s="181">
        <f t="shared" si="2"/>
        <v>9946.1756174745642</v>
      </c>
      <c r="I11" s="181">
        <f t="shared" si="3"/>
        <v>15913.880987959303</v>
      </c>
      <c r="J11" s="180">
        <f t="shared" si="4"/>
        <v>125321.81278017951</v>
      </c>
      <c r="K11" s="210"/>
      <c r="L11" s="151">
        <f t="shared" si="5"/>
        <v>14763.263732673884</v>
      </c>
      <c r="M11" s="179">
        <f t="shared" si="17"/>
        <v>0.97499999999999998</v>
      </c>
      <c r="N11" s="179">
        <f t="shared" si="6"/>
        <v>0.97024603921358332</v>
      </c>
      <c r="O11" s="152">
        <f t="shared" si="18"/>
        <v>452.73626732611592</v>
      </c>
      <c r="P11" s="207"/>
      <c r="Q11" s="436" t="str">
        <f>IF(OR(CFE_RateCategory="DAC",CFE_RateCategory="Tarifa 1"),IF(O10&lt;VLOOKUP(CFE_Limite,ListData!$B$30:$D$36,3,FALSE),"Tarifa "&amp;CFE_Limite,"DAC"),"Tarifa 2")</f>
        <v>Tarifa 1</v>
      </c>
      <c r="R11" s="433">
        <f t="shared" si="31"/>
        <v>0.91930434091989988</v>
      </c>
      <c r="S11" s="181">
        <f t="shared" si="19"/>
        <v>416.2024158447706</v>
      </c>
      <c r="T11" s="181">
        <f t="shared" si="20"/>
        <v>1760.3725822525446</v>
      </c>
      <c r="U11" s="181">
        <f t="shared" si="21"/>
        <v>2176.5749980973151</v>
      </c>
      <c r="V11" s="181">
        <f t="shared" si="7"/>
        <v>217.65749980973152</v>
      </c>
      <c r="W11" s="181"/>
      <c r="X11" s="180">
        <f t="shared" si="8"/>
        <v>2394.2324979070468</v>
      </c>
      <c r="Y11" s="207"/>
      <c r="Z11" s="178">
        <f t="shared" si="22"/>
        <v>69158.190326558644</v>
      </c>
      <c r="AA11" s="177">
        <f t="shared" si="9"/>
        <v>11065.310452249383</v>
      </c>
      <c r="AB11" s="176">
        <f t="shared" si="23"/>
        <v>80223.500778808026</v>
      </c>
      <c r="AC11" s="207"/>
      <c r="AD11" s="178">
        <f t="shared" si="24"/>
        <v>82617.733276715066</v>
      </c>
      <c r="AE11" s="177">
        <f t="shared" si="10"/>
        <v>42704.07950346444</v>
      </c>
      <c r="AF11" s="175">
        <f t="shared" si="11"/>
        <v>0.34075536058810013</v>
      </c>
      <c r="AG11" s="287"/>
      <c r="AH11" s="287"/>
      <c r="AI11" s="425"/>
      <c r="AK11" s="427">
        <f t="shared" si="32"/>
        <v>0.91930434091989988</v>
      </c>
      <c r="AL11" s="427">
        <f t="shared" si="25"/>
        <v>6.4209636956160026</v>
      </c>
      <c r="AM11" s="427">
        <f t="shared" si="12"/>
        <v>3.8349462804480008</v>
      </c>
      <c r="AN11" s="202"/>
      <c r="AO11" s="245">
        <f t="shared" si="33"/>
        <v>0.91930434091989988</v>
      </c>
      <c r="AP11" s="259">
        <f t="shared" si="26"/>
        <v>0.91930434091989988</v>
      </c>
      <c r="AQ11" s="250">
        <f t="shared" si="27"/>
        <v>416.2024158447706</v>
      </c>
      <c r="AR11" s="251">
        <f>MAX(0,MIN($O11-SUM($AQ$3:AQ$3)*12,AR$3*12))*(AR$4*((1+InflationRate)^($B11-1)))</f>
        <v>0</v>
      </c>
      <c r="AS11" s="251">
        <f>MAX(0,MIN($O11-SUM($AQ$3:AR$3)*12,AS$3*12))*(AS$4*((1+InflationRate)^($B11-1)))</f>
        <v>0</v>
      </c>
      <c r="AT11" s="252">
        <f>MAX(0,$O11-SUM($AQ$3:AS$3)*12)*(AT$4*((1+InflationRate)^($B11-1)))</f>
        <v>0</v>
      </c>
      <c r="AU11" s="269">
        <f t="shared" si="28"/>
        <v>0.91930434091989988</v>
      </c>
      <c r="AV11" s="270">
        <f t="shared" si="29"/>
        <v>416.2024158447706</v>
      </c>
      <c r="AW11" s="251">
        <f>MAX(0,MIN($O11-SUM($AV$3:AV$3)*12,AW$3*12))*(AW$4*((1+InflationRate)^($B11-1)))</f>
        <v>0</v>
      </c>
      <c r="AX11" s="251">
        <f>MAX(0,MIN($O11-SUM($AV$3:AW$3)*12,AX$3*12))*(AX$4*((1+InflationRate)^($B11-1)))</f>
        <v>0</v>
      </c>
      <c r="AY11" s="252">
        <f>MAX(0,$O11-SUM($AV$3:AX$3)*12)*(AY$4*((1+InflationRate)^($B11-1)))</f>
        <v>0</v>
      </c>
      <c r="BB11" s="269">
        <f t="shared" si="30"/>
        <v>2.61</v>
      </c>
      <c r="BC11" s="274">
        <f t="shared" si="34"/>
        <v>1181.6416577211626</v>
      </c>
      <c r="BD11" s="44">
        <f>MAX(0,MIN($O11-SUM($BC$3:BC$3)*12,BD$3*12))*BD$4</f>
        <v>0</v>
      </c>
      <c r="BE11" s="243">
        <f>MAX(0,$O11-SUM($BC$3:BD$3)*12)*BE$4</f>
        <v>0</v>
      </c>
    </row>
    <row r="12" spans="1:57" x14ac:dyDescent="0.15">
      <c r="A12" s="212">
        <f t="shared" si="13"/>
        <v>44927</v>
      </c>
      <c r="B12" s="213">
        <v>7</v>
      </c>
      <c r="C12" s="208">
        <f t="shared" si="0"/>
        <v>15216</v>
      </c>
      <c r="D12" s="182">
        <f t="shared" si="14"/>
        <v>6.9346407912652834</v>
      </c>
      <c r="E12" s="181">
        <f t="shared" si="15"/>
        <v>105517.49427989255</v>
      </c>
      <c r="F12" s="181">
        <f t="shared" si="1"/>
        <v>1901.2023888327481</v>
      </c>
      <c r="G12" s="181">
        <f t="shared" si="16"/>
        <v>107418.6966687253</v>
      </c>
      <c r="H12" s="181">
        <f t="shared" si="2"/>
        <v>10741.869666872532</v>
      </c>
      <c r="I12" s="181">
        <f t="shared" si="3"/>
        <v>17186.991466996049</v>
      </c>
      <c r="J12" s="180">
        <f t="shared" si="4"/>
        <v>135347.55780259389</v>
      </c>
      <c r="K12" s="210"/>
      <c r="L12" s="151">
        <f t="shared" si="5"/>
        <v>14687.554687890943</v>
      </c>
      <c r="M12" s="179">
        <f t="shared" si="17"/>
        <v>0.97</v>
      </c>
      <c r="N12" s="179">
        <f t="shared" si="6"/>
        <v>0.96527041849966766</v>
      </c>
      <c r="O12" s="152">
        <f t="shared" si="18"/>
        <v>528.44531210905734</v>
      </c>
      <c r="P12" s="207"/>
      <c r="Q12" s="436" t="str">
        <f>IF(OR(CFE_RateCategory="DAC",CFE_RateCategory="Tarifa 1"),IF(O11&lt;VLOOKUP(CFE_Limite,ListData!$B$30:$D$36,3,FALSE),"Tarifa "&amp;CFE_Limite,"DAC"),"Tarifa 2")</f>
        <v>Tarifa 1</v>
      </c>
      <c r="R12" s="433">
        <f t="shared" si="31"/>
        <v>0.94688347114749694</v>
      </c>
      <c r="S12" s="181">
        <f t="shared" si="19"/>
        <v>500.3761314414466</v>
      </c>
      <c r="T12" s="181">
        <f t="shared" si="20"/>
        <v>1901.2023888327481</v>
      </c>
      <c r="U12" s="181">
        <f t="shared" si="21"/>
        <v>2401.5785202741945</v>
      </c>
      <c r="V12" s="181">
        <f t="shared" si="7"/>
        <v>240.15785202741947</v>
      </c>
      <c r="W12" s="181"/>
      <c r="X12" s="180">
        <f t="shared" si="8"/>
        <v>2641.7363723016138</v>
      </c>
      <c r="Y12" s="207"/>
      <c r="Z12" s="178">
        <f t="shared" si="22"/>
        <v>71578.726987988193</v>
      </c>
      <c r="AA12" s="177">
        <f t="shared" si="9"/>
        <v>11452.596318078111</v>
      </c>
      <c r="AB12" s="176">
        <f t="shared" si="23"/>
        <v>83031.323306066304</v>
      </c>
      <c r="AC12" s="207"/>
      <c r="AD12" s="178">
        <f t="shared" si="24"/>
        <v>85673.059678367921</v>
      </c>
      <c r="AE12" s="177">
        <f t="shared" si="10"/>
        <v>49674.498124225967</v>
      </c>
      <c r="AF12" s="175">
        <f t="shared" si="11"/>
        <v>0.36701436605658483</v>
      </c>
      <c r="AG12" s="287"/>
      <c r="AH12" s="287"/>
      <c r="AI12" s="425"/>
      <c r="AK12" s="427">
        <f t="shared" si="32"/>
        <v>0.94688347114749694</v>
      </c>
      <c r="AL12" s="427">
        <f t="shared" si="25"/>
        <v>6.9346407912652834</v>
      </c>
      <c r="AM12" s="427">
        <f t="shared" si="12"/>
        <v>4.1417419828838415</v>
      </c>
      <c r="AN12" s="202"/>
      <c r="AO12" s="245">
        <f t="shared" si="33"/>
        <v>0.94688347114749694</v>
      </c>
      <c r="AP12" s="259">
        <f t="shared" si="26"/>
        <v>0.94688347114749694</v>
      </c>
      <c r="AQ12" s="250">
        <f t="shared" si="27"/>
        <v>500.3761314414466</v>
      </c>
      <c r="AR12" s="251">
        <f>MAX(0,MIN($O12-SUM($AQ$3:AQ$3)*12,AR$3*12))*(AR$4*((1+InflationRate)^($B12-1)))</f>
        <v>0</v>
      </c>
      <c r="AS12" s="251">
        <f>MAX(0,MIN($O12-SUM($AQ$3:AR$3)*12,AS$3*12))*(AS$4*((1+InflationRate)^($B12-1)))</f>
        <v>0</v>
      </c>
      <c r="AT12" s="252">
        <f>MAX(0,$O12-SUM($AQ$3:AS$3)*12)*(AT$4*((1+InflationRate)^($B12-1)))</f>
        <v>0</v>
      </c>
      <c r="AU12" s="269">
        <f t="shared" si="28"/>
        <v>0.94688347114749694</v>
      </c>
      <c r="AV12" s="270">
        <f t="shared" si="29"/>
        <v>500.3761314414466</v>
      </c>
      <c r="AW12" s="251">
        <f>MAX(0,MIN($O12-SUM($AV$3:AV$3)*12,AW$3*12))*(AW$4*((1+InflationRate)^($B12-1)))</f>
        <v>0</v>
      </c>
      <c r="AX12" s="251">
        <f>MAX(0,MIN($O12-SUM($AV$3:AW$3)*12,AX$3*12))*(AX$4*((1+InflationRate)^($B12-1)))</f>
        <v>0</v>
      </c>
      <c r="AY12" s="252">
        <f>MAX(0,$O12-SUM($AV$3:AX$3)*12)*(AY$4*((1+InflationRate)^($B12-1)))</f>
        <v>0</v>
      </c>
      <c r="BB12" s="269">
        <f t="shared" si="30"/>
        <v>2.61</v>
      </c>
      <c r="BC12" s="274">
        <f t="shared" si="34"/>
        <v>1379.2422646046396</v>
      </c>
      <c r="BD12" s="44">
        <f>MAX(0,MIN($O12-SUM($BC$3:BC$3)*12,BD$3*12))*BD$4</f>
        <v>0</v>
      </c>
      <c r="BE12" s="243">
        <f>MAX(0,$O12-SUM($BC$3:BD$3)*12)*BE$4</f>
        <v>0</v>
      </c>
    </row>
    <row r="13" spans="1:57" x14ac:dyDescent="0.15">
      <c r="A13" s="212">
        <f t="shared" si="13"/>
        <v>45292</v>
      </c>
      <c r="B13" s="213">
        <v>8</v>
      </c>
      <c r="C13" s="208">
        <f t="shared" si="0"/>
        <v>15216</v>
      </c>
      <c r="D13" s="182">
        <f t="shared" si="14"/>
        <v>7.4894120545665066</v>
      </c>
      <c r="E13" s="181">
        <f t="shared" si="15"/>
        <v>113958.89382228396</v>
      </c>
      <c r="F13" s="181">
        <f t="shared" si="1"/>
        <v>2053.2985799393682</v>
      </c>
      <c r="G13" s="181">
        <f t="shared" si="16"/>
        <v>116012.19240222333</v>
      </c>
      <c r="H13" s="181">
        <f t="shared" si="2"/>
        <v>11601.219240222334</v>
      </c>
      <c r="I13" s="181">
        <f t="shared" si="3"/>
        <v>18561.950784355733</v>
      </c>
      <c r="J13" s="180">
        <f t="shared" si="4"/>
        <v>146175.36242680138</v>
      </c>
      <c r="K13" s="210"/>
      <c r="L13" s="151">
        <f t="shared" si="5"/>
        <v>14611.845643107999</v>
      </c>
      <c r="M13" s="179">
        <f t="shared" si="17"/>
        <v>0.96499999999999997</v>
      </c>
      <c r="N13" s="179">
        <f t="shared" si="6"/>
        <v>0.96029479778575177</v>
      </c>
      <c r="O13" s="152">
        <f t="shared" si="18"/>
        <v>604.15435689200058</v>
      </c>
      <c r="P13" s="207"/>
      <c r="Q13" s="436" t="str">
        <f>IF(OR(CFE_RateCategory="DAC",CFE_RateCategory="Tarifa 1"),IF(O12&lt;VLOOKUP(CFE_Limite,ListData!$B$30:$D$36,3,FALSE),"Tarifa "&amp;CFE_Limite,"DAC"),"Tarifa 2")</f>
        <v>Tarifa 1</v>
      </c>
      <c r="R13" s="433">
        <f t="shared" si="31"/>
        <v>0.97528997528192196</v>
      </c>
      <c r="S13" s="181">
        <f t="shared" si="19"/>
        <v>589.22568779966468</v>
      </c>
      <c r="T13" s="181">
        <f t="shared" si="20"/>
        <v>2053.2985799393682</v>
      </c>
      <c r="U13" s="181">
        <f t="shared" si="21"/>
        <v>2642.5242677390329</v>
      </c>
      <c r="V13" s="181">
        <f t="shared" si="7"/>
        <v>264.25242677390332</v>
      </c>
      <c r="W13" s="181"/>
      <c r="X13" s="180">
        <f t="shared" si="8"/>
        <v>2906.776694512936</v>
      </c>
      <c r="Y13" s="207"/>
      <c r="Z13" s="178">
        <f t="shared" si="22"/>
        <v>74083.982432567776</v>
      </c>
      <c r="AA13" s="177">
        <f t="shared" si="9"/>
        <v>11853.437189210845</v>
      </c>
      <c r="AB13" s="176">
        <f t="shared" si="23"/>
        <v>85937.419621778623</v>
      </c>
      <c r="AC13" s="207"/>
      <c r="AD13" s="178">
        <f t="shared" si="24"/>
        <v>88844.196316291564</v>
      </c>
      <c r="AE13" s="177">
        <f t="shared" si="10"/>
        <v>57331.166110509817</v>
      </c>
      <c r="AF13" s="175">
        <f t="shared" si="11"/>
        <v>0.39220813383800507</v>
      </c>
      <c r="AG13" s="287"/>
      <c r="AH13" s="287"/>
      <c r="AI13" s="425"/>
      <c r="AK13" s="427">
        <f t="shared" si="32"/>
        <v>0.97528997528192196</v>
      </c>
      <c r="AL13" s="427">
        <f t="shared" si="25"/>
        <v>7.4894120545665066</v>
      </c>
      <c r="AM13" s="427">
        <f t="shared" si="12"/>
        <v>4.4794097785790914</v>
      </c>
      <c r="AN13" s="202"/>
      <c r="AO13" s="245">
        <f t="shared" si="33"/>
        <v>0.97528997528192196</v>
      </c>
      <c r="AP13" s="259">
        <f t="shared" si="26"/>
        <v>0.97528997528192196</v>
      </c>
      <c r="AQ13" s="250">
        <f t="shared" si="27"/>
        <v>589.22568779966468</v>
      </c>
      <c r="AR13" s="251">
        <f>MAX(0,MIN($O13-SUM($AQ$3:AQ$3)*12,AR$3*12))*(AR$4*((1+InflationRate)^($B13-1)))</f>
        <v>0</v>
      </c>
      <c r="AS13" s="251">
        <f>MAX(0,MIN($O13-SUM($AQ$3:AR$3)*12,AS$3*12))*(AS$4*((1+InflationRate)^($B13-1)))</f>
        <v>0</v>
      </c>
      <c r="AT13" s="252">
        <f>MAX(0,$O13-SUM($AQ$3:AS$3)*12)*(AT$4*((1+InflationRate)^($B13-1)))</f>
        <v>0</v>
      </c>
      <c r="AU13" s="269">
        <f t="shared" si="28"/>
        <v>0.97528997528192196</v>
      </c>
      <c r="AV13" s="270">
        <f t="shared" si="29"/>
        <v>589.22568779966468</v>
      </c>
      <c r="AW13" s="251">
        <f>MAX(0,MIN($O13-SUM($AV$3:AV$3)*12,AW$3*12))*(AW$4*((1+InflationRate)^($B13-1)))</f>
        <v>0</v>
      </c>
      <c r="AX13" s="251">
        <f>MAX(0,MIN($O13-SUM($AV$3:AW$3)*12,AX$3*12))*(AX$4*((1+InflationRate)^($B13-1)))</f>
        <v>0</v>
      </c>
      <c r="AY13" s="252">
        <f>MAX(0,$O13-SUM($AV$3:AX$3)*12)*(AY$4*((1+InflationRate)^($B13-1)))</f>
        <v>0</v>
      </c>
      <c r="BB13" s="269">
        <f t="shared" si="30"/>
        <v>2.6136925822441812</v>
      </c>
      <c r="BC13" s="274">
        <f t="shared" si="34"/>
        <v>1566</v>
      </c>
      <c r="BD13" s="44">
        <f>MAX(0,MIN($O13-SUM($BC$3:BC$3)*12,BD$3*12))*BD$4</f>
        <v>13.073761139125819</v>
      </c>
      <c r="BE13" s="243">
        <f>MAX(0,$O13-SUM($BC$3:BD$3)*12)*BE$4</f>
        <v>0</v>
      </c>
    </row>
    <row r="14" spans="1:57" x14ac:dyDescent="0.15">
      <c r="A14" s="212">
        <f t="shared" si="13"/>
        <v>45658</v>
      </c>
      <c r="B14" s="213">
        <v>9</v>
      </c>
      <c r="C14" s="208">
        <f t="shared" si="0"/>
        <v>15216</v>
      </c>
      <c r="D14" s="182">
        <f t="shared" si="14"/>
        <v>8.0885650189318277</v>
      </c>
      <c r="E14" s="181">
        <f t="shared" si="15"/>
        <v>123075.6053280667</v>
      </c>
      <c r="F14" s="181">
        <f t="shared" si="1"/>
        <v>2217.5624663345179</v>
      </c>
      <c r="G14" s="181">
        <f t="shared" si="16"/>
        <v>125293.16779440122</v>
      </c>
      <c r="H14" s="181">
        <f t="shared" si="2"/>
        <v>12529.316779440123</v>
      </c>
      <c r="I14" s="181">
        <f t="shared" si="3"/>
        <v>20046.906847104194</v>
      </c>
      <c r="J14" s="180">
        <f t="shared" si="4"/>
        <v>157869.39142094553</v>
      </c>
      <c r="K14" s="210"/>
      <c r="L14" s="151">
        <f t="shared" si="5"/>
        <v>14536.136598325056</v>
      </c>
      <c r="M14" s="179">
        <f t="shared" si="17"/>
        <v>0.96</v>
      </c>
      <c r="N14" s="179">
        <f t="shared" si="6"/>
        <v>0.955319177071836</v>
      </c>
      <c r="O14" s="152">
        <f t="shared" si="18"/>
        <v>679.86340167494382</v>
      </c>
      <c r="P14" s="207"/>
      <c r="Q14" s="436" t="str">
        <f>IF(OR(CFE_RateCategory="DAC",CFE_RateCategory="Tarifa 1"),IF(O13&lt;VLOOKUP(CFE_Limite,ListData!$B$30:$D$36,3,FALSE),"Tarifa "&amp;CFE_Limite,"DAC"),"Tarifa 2")</f>
        <v>Tarifa 1</v>
      </c>
      <c r="R14" s="433">
        <f t="shared" si="31"/>
        <v>1.0045486745403795</v>
      </c>
      <c r="S14" s="181">
        <f t="shared" si="19"/>
        <v>682.95587902107843</v>
      </c>
      <c r="T14" s="181">
        <f t="shared" si="20"/>
        <v>2217.5624663345179</v>
      </c>
      <c r="U14" s="181">
        <f t="shared" si="21"/>
        <v>2900.5183453555965</v>
      </c>
      <c r="V14" s="181">
        <f t="shared" si="7"/>
        <v>290.05183453555964</v>
      </c>
      <c r="W14" s="181"/>
      <c r="X14" s="180">
        <f t="shared" si="8"/>
        <v>3190.5701798911559</v>
      </c>
      <c r="Y14" s="207"/>
      <c r="Z14" s="178">
        <f t="shared" si="22"/>
        <v>76676.92181770764</v>
      </c>
      <c r="AA14" s="177">
        <f t="shared" si="9"/>
        <v>12268.307490833222</v>
      </c>
      <c r="AB14" s="176">
        <f t="shared" si="23"/>
        <v>88945.22930854086</v>
      </c>
      <c r="AC14" s="207"/>
      <c r="AD14" s="178">
        <f t="shared" si="24"/>
        <v>92135.799488432021</v>
      </c>
      <c r="AE14" s="177">
        <f t="shared" si="10"/>
        <v>65733.591932513504</v>
      </c>
      <c r="AF14" s="175">
        <f t="shared" si="11"/>
        <v>0.41637958657381774</v>
      </c>
      <c r="AG14" s="287"/>
      <c r="AH14" s="287"/>
      <c r="AI14" s="425"/>
      <c r="AK14" s="427">
        <f t="shared" si="32"/>
        <v>1.0045486745403795</v>
      </c>
      <c r="AL14" s="427">
        <f t="shared" si="25"/>
        <v>8.0885650189318277</v>
      </c>
      <c r="AM14" s="427">
        <f t="shared" si="12"/>
        <v>4.9476868768965305</v>
      </c>
      <c r="AN14" s="202"/>
      <c r="AO14" s="245">
        <f t="shared" si="33"/>
        <v>1.0045486745403795</v>
      </c>
      <c r="AP14" s="259">
        <f t="shared" si="26"/>
        <v>1.0045486745403795</v>
      </c>
      <c r="AQ14" s="250">
        <f t="shared" si="27"/>
        <v>682.95587902107843</v>
      </c>
      <c r="AR14" s="251">
        <f>MAX(0,MIN($O14-SUM($AQ$3:AQ$3)*12,AR$3*12))*(AR$4*((1+InflationRate)^($B14-1)))</f>
        <v>0</v>
      </c>
      <c r="AS14" s="251">
        <f>MAX(0,MIN($O14-SUM($AQ$3:AR$3)*12,AS$3*12))*(AS$4*((1+InflationRate)^($B14-1)))</f>
        <v>0</v>
      </c>
      <c r="AT14" s="252">
        <f>MAX(0,$O14-SUM($AQ$3:AS$3)*12)*(AT$4*((1+InflationRate)^($B14-1)))</f>
        <v>0</v>
      </c>
      <c r="AU14" s="269">
        <f t="shared" si="28"/>
        <v>1.0045486745403795</v>
      </c>
      <c r="AV14" s="270">
        <f t="shared" si="29"/>
        <v>682.95587902107843</v>
      </c>
      <c r="AW14" s="251">
        <f>MAX(0,MIN($O14-SUM($AV$3:AV$3)*12,AW$3*12))*(AW$4*((1+InflationRate)^($B14-1)))</f>
        <v>0</v>
      </c>
      <c r="AX14" s="251">
        <f>MAX(0,MIN($O14-SUM($AV$3:AW$3)*12,AX$3*12))*(AX$4*((1+InflationRate)^($B14-1)))</f>
        <v>0</v>
      </c>
      <c r="AY14" s="252">
        <f>MAX(0,$O14-SUM($AV$3:AX$3)*12)*(AY$4*((1+InflationRate)^($B14-1)))</f>
        <v>0</v>
      </c>
      <c r="BB14" s="269">
        <f t="shared" si="30"/>
        <v>2.673081269845953</v>
      </c>
      <c r="BC14" s="274">
        <f t="shared" si="34"/>
        <v>1566</v>
      </c>
      <c r="BD14" s="44">
        <f>MAX(0,MIN($O14-SUM($BC$3:BC$3)*12,BD$3*12))*BD$4</f>
        <v>251.33012507104817</v>
      </c>
      <c r="BE14" s="243">
        <f>MAX(0,$O14-SUM($BC$3:BD$3)*12)*BE$4</f>
        <v>0</v>
      </c>
    </row>
    <row r="15" spans="1:57" x14ac:dyDescent="0.15">
      <c r="A15" s="212">
        <f t="shared" si="13"/>
        <v>46023</v>
      </c>
      <c r="B15" s="213">
        <v>10</v>
      </c>
      <c r="C15" s="208">
        <f t="shared" si="0"/>
        <v>15216</v>
      </c>
      <c r="D15" s="182">
        <f t="shared" si="14"/>
        <v>8.7356502204463737</v>
      </c>
      <c r="E15" s="181">
        <f t="shared" si="15"/>
        <v>132921.65375431202</v>
      </c>
      <c r="F15" s="181">
        <f t="shared" si="1"/>
        <v>2394.9674636412792</v>
      </c>
      <c r="G15" s="181">
        <f t="shared" si="16"/>
        <v>135316.6212179533</v>
      </c>
      <c r="H15" s="181">
        <f t="shared" si="2"/>
        <v>13531.662121795331</v>
      </c>
      <c r="I15" s="181">
        <f t="shared" si="3"/>
        <v>21650.659394872528</v>
      </c>
      <c r="J15" s="180">
        <f t="shared" si="4"/>
        <v>170498.94273462115</v>
      </c>
      <c r="K15" s="210"/>
      <c r="L15" s="151">
        <f t="shared" si="5"/>
        <v>14460.427553542113</v>
      </c>
      <c r="M15" s="179">
        <f t="shared" si="17"/>
        <v>0.95499999999999996</v>
      </c>
      <c r="N15" s="179">
        <f t="shared" si="6"/>
        <v>0.95034355635792012</v>
      </c>
      <c r="O15" s="152">
        <f t="shared" si="18"/>
        <v>755.57244645788705</v>
      </c>
      <c r="P15" s="207"/>
      <c r="Q15" s="436" t="str">
        <f>IF(OR(CFE_RateCategory="DAC",CFE_RateCategory="Tarifa 1"),IF(O14&lt;VLOOKUP(CFE_Limite,ListData!$B$30:$D$36,3,FALSE),"Tarifa "&amp;CFE_Limite,"DAC"),"Tarifa 2")</f>
        <v>Tarifa 1</v>
      </c>
      <c r="R15" s="433">
        <f t="shared" si="31"/>
        <v>1.0346851347765909</v>
      </c>
      <c r="S15" s="181">
        <f t="shared" si="19"/>
        <v>781.77957859675735</v>
      </c>
      <c r="T15" s="181">
        <f t="shared" si="20"/>
        <v>2394.9674636412792</v>
      </c>
      <c r="U15" s="181">
        <f t="shared" si="21"/>
        <v>3176.7470422380366</v>
      </c>
      <c r="V15" s="181">
        <f t="shared" si="7"/>
        <v>317.6747042238037</v>
      </c>
      <c r="W15" s="181">
        <f t="shared" ref="W15:W20" si="35">U15*IVA</f>
        <v>508.27952675808586</v>
      </c>
      <c r="X15" s="180">
        <f t="shared" si="8"/>
        <v>4002.7012732199264</v>
      </c>
      <c r="Y15" s="207"/>
      <c r="Z15" s="178">
        <f t="shared" si="22"/>
        <v>79360.614081327396</v>
      </c>
      <c r="AA15" s="177">
        <f t="shared" si="9"/>
        <v>12697.698253012384</v>
      </c>
      <c r="AB15" s="176">
        <f t="shared" si="23"/>
        <v>92058.312334339775</v>
      </c>
      <c r="AC15" s="207"/>
      <c r="AD15" s="178">
        <f t="shared" si="24"/>
        <v>96061.013607559697</v>
      </c>
      <c r="AE15" s="177">
        <f t="shared" si="10"/>
        <v>74437.929127061449</v>
      </c>
      <c r="AF15" s="175">
        <f t="shared" si="11"/>
        <v>0.43658880186091759</v>
      </c>
      <c r="AG15" s="287"/>
      <c r="AH15" s="287"/>
      <c r="AI15" s="425"/>
      <c r="AK15" s="427">
        <f t="shared" si="32"/>
        <v>1.0346851347765909</v>
      </c>
      <c r="AL15" s="427">
        <f t="shared" si="25"/>
        <v>8.7356502204463737</v>
      </c>
      <c r="AM15" s="427">
        <f t="shared" si="12"/>
        <v>5.4384287333316923</v>
      </c>
      <c r="AN15" s="202"/>
      <c r="AO15" s="245">
        <f t="shared" si="33"/>
        <v>1.0346851347765909</v>
      </c>
      <c r="AP15" s="259">
        <f t="shared" si="26"/>
        <v>1.0346851347765909</v>
      </c>
      <c r="AQ15" s="250">
        <f t="shared" si="27"/>
        <v>781.77957859675735</v>
      </c>
      <c r="AR15" s="251">
        <f>MAX(0,MIN($O15-SUM($AQ$3:AQ$3)*12,AR$3*12))*(AR$4*((1+InflationRate)^($B15-1)))</f>
        <v>0</v>
      </c>
      <c r="AS15" s="251">
        <f>MAX(0,MIN($O15-SUM($AQ$3:AR$3)*12,AS$3*12))*(AS$4*((1+InflationRate)^($B15-1)))</f>
        <v>0</v>
      </c>
      <c r="AT15" s="252">
        <f>MAX(0,$O15-SUM($AQ$3:AS$3)*12)*(AT$4*((1+InflationRate)^($B15-1)))</f>
        <v>0</v>
      </c>
      <c r="AU15" s="269">
        <f t="shared" si="28"/>
        <v>1.0346851347765909</v>
      </c>
      <c r="AV15" s="270">
        <f t="shared" si="29"/>
        <v>781.77957859675735</v>
      </c>
      <c r="AW15" s="251">
        <f>MAX(0,MIN($O15-SUM($AV$3:AV$3)*12,AW$3*12))*(AW$4*((1+InflationRate)^($B15-1)))</f>
        <v>0</v>
      </c>
      <c r="AX15" s="251">
        <f>MAX(0,MIN($O15-SUM($AV$3:AW$3)*12,AX$3*12))*(AX$4*((1+InflationRate)^($B15-1)))</f>
        <v>0</v>
      </c>
      <c r="AY15" s="252">
        <f>MAX(0,$O15-SUM($AV$3:AX$3)*12)*(AY$4*((1+InflationRate)^($B15-1)))</f>
        <v>0</v>
      </c>
      <c r="BB15" s="269">
        <f t="shared" si="30"/>
        <v>2.7205683566672278</v>
      </c>
      <c r="BC15" s="274">
        <f t="shared" si="34"/>
        <v>1566</v>
      </c>
      <c r="BD15" s="44">
        <f>MAX(0,MIN($O15-SUM($BC$3:BC$3)*12,BD$3*12))*BD$4</f>
        <v>489.58648900297055</v>
      </c>
      <c r="BE15" s="243">
        <f>MAX(0,$O15-SUM($BC$3:BD$3)*12)*BE$4</f>
        <v>0</v>
      </c>
    </row>
    <row r="16" spans="1:57" x14ac:dyDescent="0.15">
      <c r="A16" s="212">
        <f t="shared" si="13"/>
        <v>46388</v>
      </c>
      <c r="B16" s="213">
        <v>11</v>
      </c>
      <c r="C16" s="208">
        <f t="shared" si="0"/>
        <v>15216</v>
      </c>
      <c r="D16" s="182">
        <f t="shared" si="14"/>
        <v>9.434502238082084</v>
      </c>
      <c r="E16" s="181">
        <f t="shared" si="15"/>
        <v>143555.38605465699</v>
      </c>
      <c r="F16" s="181">
        <f t="shared" si="1"/>
        <v>2586.564860732582</v>
      </c>
      <c r="G16" s="181">
        <f t="shared" si="16"/>
        <v>146141.95091538958</v>
      </c>
      <c r="H16" s="181">
        <f t="shared" si="2"/>
        <v>14614.195091538959</v>
      </c>
      <c r="I16" s="181">
        <f t="shared" si="3"/>
        <v>23382.712146462334</v>
      </c>
      <c r="J16" s="180">
        <f t="shared" si="4"/>
        <v>184138.85815339087</v>
      </c>
      <c r="K16" s="210"/>
      <c r="L16" s="151">
        <f t="shared" si="5"/>
        <v>14384.71850875917</v>
      </c>
      <c r="M16" s="179">
        <f t="shared" si="17"/>
        <v>0.95</v>
      </c>
      <c r="N16" s="179">
        <f t="shared" si="6"/>
        <v>0.94536793564400434</v>
      </c>
      <c r="O16" s="152">
        <f t="shared" si="18"/>
        <v>831.28149124083029</v>
      </c>
      <c r="P16" s="207"/>
      <c r="Q16" s="436" t="str">
        <f>IF(OR(CFE_RateCategory="DAC",CFE_RateCategory="Tarifa 1"),IF(O15&lt;VLOOKUP(CFE_Limite,ListData!$B$30:$D$36,3,FALSE),"Tarifa "&amp;CFE_Limite,"DAC"),"Tarifa 2")</f>
        <v>Tarifa 1</v>
      </c>
      <c r="R16" s="433">
        <f t="shared" si="31"/>
        <v>1.0657256888198887</v>
      </c>
      <c r="S16" s="181">
        <f t="shared" si="19"/>
        <v>885.91803985585818</v>
      </c>
      <c r="T16" s="181">
        <f t="shared" si="20"/>
        <v>2586.564860732582</v>
      </c>
      <c r="U16" s="181">
        <f t="shared" si="21"/>
        <v>3472.4829005884403</v>
      </c>
      <c r="V16" s="181">
        <f t="shared" si="7"/>
        <v>347.24829005884408</v>
      </c>
      <c r="W16" s="181">
        <f t="shared" si="35"/>
        <v>555.59726409415043</v>
      </c>
      <c r="X16" s="180">
        <f t="shared" si="8"/>
        <v>4375.3284547414351</v>
      </c>
      <c r="Y16" s="207"/>
      <c r="Z16" s="178">
        <f t="shared" si="22"/>
        <v>0</v>
      </c>
      <c r="AA16" s="177">
        <f t="shared" si="9"/>
        <v>0</v>
      </c>
      <c r="AB16" s="176">
        <f t="shared" si="23"/>
        <v>0</v>
      </c>
      <c r="AC16" s="207"/>
      <c r="AD16" s="178">
        <f t="shared" si="24"/>
        <v>4375.3284547414351</v>
      </c>
      <c r="AE16" s="177">
        <f t="shared" si="10"/>
        <v>179763.52969864945</v>
      </c>
      <c r="AF16" s="175">
        <f t="shared" si="11"/>
        <v>0.97623897259590531</v>
      </c>
      <c r="AG16" s="287"/>
      <c r="AH16" s="287"/>
      <c r="AI16" s="425"/>
      <c r="AK16" s="427">
        <f t="shared" si="32"/>
        <v>1.0657256888198887</v>
      </c>
      <c r="AL16" s="427">
        <f t="shared" si="25"/>
        <v>9.434502238082084</v>
      </c>
      <c r="AM16" s="427">
        <f t="shared" si="12"/>
        <v>5.9573498594616945</v>
      </c>
      <c r="AN16" s="202"/>
      <c r="AO16" s="245">
        <f t="shared" si="33"/>
        <v>1.0657256888198887</v>
      </c>
      <c r="AP16" s="259">
        <f t="shared" si="26"/>
        <v>1.0657256888198887</v>
      </c>
      <c r="AQ16" s="250">
        <f t="shared" si="27"/>
        <v>885.91803985585818</v>
      </c>
      <c r="AR16" s="251">
        <f>MAX(0,MIN($O16-SUM($AQ$3:AQ$3)*12,AR$3*12))*(AR$4*((1+InflationRate)^($B16-1)))</f>
        <v>0</v>
      </c>
      <c r="AS16" s="251">
        <f>MAX(0,MIN($O16-SUM($AQ$3:AR$3)*12,AS$3*12))*(AS$4*((1+InflationRate)^($B16-1)))</f>
        <v>0</v>
      </c>
      <c r="AT16" s="252">
        <f>MAX(0,$O16-SUM($AQ$3:AS$3)*12)*(AT$4*((1+InflationRate)^($B16-1)))</f>
        <v>0</v>
      </c>
      <c r="AU16" s="269">
        <f t="shared" si="28"/>
        <v>1.0657256888198887</v>
      </c>
      <c r="AV16" s="270">
        <f t="shared" si="29"/>
        <v>885.91803985585818</v>
      </c>
      <c r="AW16" s="251">
        <f>MAX(0,MIN($O16-SUM($AV$3:AV$3)*12,AW$3*12))*(AW$4*((1+InflationRate)^($B16-1)))</f>
        <v>0</v>
      </c>
      <c r="AX16" s="251">
        <f>MAX(0,MIN($O16-SUM($AV$3:AW$3)*12,AX$3*12))*(AX$4*((1+InflationRate)^($B16-1)))</f>
        <v>0</v>
      </c>
      <c r="AY16" s="252">
        <f>MAX(0,$O16-SUM($AV$3:AX$3)*12)*(AY$4*((1+InflationRate)^($B16-1)))</f>
        <v>0</v>
      </c>
      <c r="BB16" s="269">
        <f t="shared" si="30"/>
        <v>2.7594056611448656</v>
      </c>
      <c r="BC16" s="274">
        <f t="shared" si="34"/>
        <v>1566</v>
      </c>
      <c r="BD16" s="44">
        <f>MAX(0,MIN($O16-SUM($BC$3:BC$3)*12,BD$3*12))*BD$4</f>
        <v>727.8428529348929</v>
      </c>
      <c r="BE16" s="243">
        <f>MAX(0,$O16-SUM($BC$3:BD$3)*12)*BE$4</f>
        <v>0</v>
      </c>
    </row>
    <row r="17" spans="1:57" x14ac:dyDescent="0.15">
      <c r="A17" s="212">
        <f t="shared" si="13"/>
        <v>46753</v>
      </c>
      <c r="B17" s="213">
        <v>12</v>
      </c>
      <c r="C17" s="208">
        <f t="shared" si="0"/>
        <v>15216</v>
      </c>
      <c r="D17" s="182">
        <f t="shared" si="14"/>
        <v>10.189262417128651</v>
      </c>
      <c r="E17" s="181">
        <f t="shared" si="15"/>
        <v>155039.81693902955</v>
      </c>
      <c r="F17" s="181">
        <f t="shared" si="1"/>
        <v>2793.4900495911884</v>
      </c>
      <c r="G17" s="181">
        <f t="shared" si="16"/>
        <v>157833.30698862075</v>
      </c>
      <c r="H17" s="181">
        <f t="shared" si="2"/>
        <v>15783.330698862075</v>
      </c>
      <c r="I17" s="181">
        <f t="shared" si="3"/>
        <v>25253.329118179321</v>
      </c>
      <c r="J17" s="180">
        <f t="shared" si="4"/>
        <v>198869.96680566214</v>
      </c>
      <c r="K17" s="210"/>
      <c r="L17" s="151">
        <f t="shared" si="5"/>
        <v>14309.009463976226</v>
      </c>
      <c r="M17" s="179">
        <f t="shared" si="17"/>
        <v>0.94499999999999995</v>
      </c>
      <c r="N17" s="179">
        <f t="shared" si="6"/>
        <v>0.94039231493008846</v>
      </c>
      <c r="O17" s="152">
        <f t="shared" si="18"/>
        <v>906.99053602377353</v>
      </c>
      <c r="P17" s="207"/>
      <c r="Q17" s="436" t="str">
        <f>IF(OR(CFE_RateCategory="DAC",CFE_RateCategory="Tarifa 1"),IF(O16&lt;VLOOKUP(CFE_Limite,ListData!$B$30:$D$36,3,FALSE),"Tarifa "&amp;CFE_Limite,"DAC"),"Tarifa 2")</f>
        <v>Tarifa 1</v>
      </c>
      <c r="R17" s="433">
        <f t="shared" si="31"/>
        <v>1.0892370695146281</v>
      </c>
      <c r="S17" s="181">
        <f t="shared" si="19"/>
        <v>987.92771353603678</v>
      </c>
      <c r="T17" s="181">
        <f t="shared" si="20"/>
        <v>2793.4900495911884</v>
      </c>
      <c r="U17" s="181">
        <f t="shared" si="21"/>
        <v>3781.417763127225</v>
      </c>
      <c r="V17" s="181">
        <f t="shared" si="7"/>
        <v>378.14177631272253</v>
      </c>
      <c r="W17" s="181">
        <f t="shared" si="35"/>
        <v>605.02684210035602</v>
      </c>
      <c r="X17" s="180">
        <f t="shared" si="8"/>
        <v>4764.5863815403036</v>
      </c>
      <c r="Y17" s="207"/>
      <c r="Z17" s="178">
        <f t="shared" si="22"/>
        <v>0</v>
      </c>
      <c r="AA17" s="177">
        <f t="shared" si="9"/>
        <v>0</v>
      </c>
      <c r="AB17" s="176">
        <f t="shared" si="23"/>
        <v>0</v>
      </c>
      <c r="AC17" s="207"/>
      <c r="AD17" s="178">
        <f t="shared" si="24"/>
        <v>4764.5863815403036</v>
      </c>
      <c r="AE17" s="177">
        <f t="shared" si="10"/>
        <v>194105.38042412183</v>
      </c>
      <c r="AF17" s="175">
        <f t="shared" si="11"/>
        <v>0.97604169971931298</v>
      </c>
      <c r="AG17" s="287"/>
      <c r="AH17" s="287"/>
      <c r="AI17" s="425"/>
      <c r="AK17" s="427">
        <f t="shared" si="32"/>
        <v>1.0892370695146281</v>
      </c>
      <c r="AL17" s="427">
        <f t="shared" si="25"/>
        <v>10.189262417128651</v>
      </c>
      <c r="AM17" s="427">
        <f t="shared" si="12"/>
        <v>6.5093747332148082</v>
      </c>
      <c r="AN17" s="202"/>
      <c r="AO17" s="245">
        <f t="shared" si="33"/>
        <v>1.0892370695146281</v>
      </c>
      <c r="AP17" s="259">
        <f t="shared" si="26"/>
        <v>1.0892370695146281</v>
      </c>
      <c r="AQ17" s="250">
        <f t="shared" si="27"/>
        <v>987.92771353603678</v>
      </c>
      <c r="AR17" s="251">
        <f>MAX(0,MIN($O17-SUM($AQ$3:AQ$3)*12,AR$3*12))*(AR$4*((1+InflationRate)^($B17-1)))</f>
        <v>0</v>
      </c>
      <c r="AS17" s="251">
        <f>MAX(0,MIN($O17-SUM($AQ$3:AR$3)*12,AS$3*12))*(AS$4*((1+InflationRate)^($B17-1)))</f>
        <v>0</v>
      </c>
      <c r="AT17" s="252">
        <f>MAX(0,$O17-SUM($AQ$3:AS$3)*12)*(AT$4*((1+InflationRate)^($B17-1)))</f>
        <v>0</v>
      </c>
      <c r="AU17" s="269">
        <f t="shared" si="28"/>
        <v>1.0892370695146281</v>
      </c>
      <c r="AV17" s="270">
        <f t="shared" si="29"/>
        <v>987.92771353603678</v>
      </c>
      <c r="AW17" s="251">
        <f>MAX(0,MIN($O17-SUM($AV$3:AV$3)*12,AW$3*12))*(AW$4*((1+InflationRate)^($B17-1)))</f>
        <v>0</v>
      </c>
      <c r="AX17" s="251">
        <f>MAX(0,MIN($O17-SUM($AV$3:AW$3)*12,AX$3*12))*(AX$4*((1+InflationRate)^($B17-1)))</f>
        <v>0</v>
      </c>
      <c r="AY17" s="252">
        <f>MAX(0,$O17-SUM($AV$3:AX$3)*12)*(AY$4*((1+InflationRate)^($B17-1)))</f>
        <v>0</v>
      </c>
      <c r="BB17" s="269">
        <f t="shared" si="30"/>
        <v>2.7917592480815538</v>
      </c>
      <c r="BC17" s="274">
        <f t="shared" si="34"/>
        <v>1566</v>
      </c>
      <c r="BD17" s="44">
        <f>MAX(0,MIN($O17-SUM($BC$3:BC$3)*12,BD$3*12))*BD$4</f>
        <v>966.09921686681525</v>
      </c>
      <c r="BE17" s="243">
        <f>MAX(0,$O17-SUM($BC$3:BD$3)*12)*BE$4</f>
        <v>0</v>
      </c>
    </row>
    <row r="18" spans="1:57" x14ac:dyDescent="0.15">
      <c r="A18" s="212">
        <f t="shared" si="13"/>
        <v>47119</v>
      </c>
      <c r="B18" s="213">
        <v>13</v>
      </c>
      <c r="C18" s="208">
        <f t="shared" si="0"/>
        <v>15216</v>
      </c>
      <c r="D18" s="182">
        <f t="shared" si="14"/>
        <v>11.004403410498943</v>
      </c>
      <c r="E18" s="181">
        <f t="shared" si="15"/>
        <v>167443.00229415193</v>
      </c>
      <c r="F18" s="181">
        <f t="shared" si="1"/>
        <v>3016.9692535584836</v>
      </c>
      <c r="G18" s="181">
        <f t="shared" si="16"/>
        <v>170459.97154771042</v>
      </c>
      <c r="H18" s="181">
        <f t="shared" si="2"/>
        <v>17045.997154771041</v>
      </c>
      <c r="I18" s="181">
        <f t="shared" si="3"/>
        <v>27273.595447633666</v>
      </c>
      <c r="J18" s="180">
        <f t="shared" si="4"/>
        <v>214779.56415011513</v>
      </c>
      <c r="K18" s="210"/>
      <c r="L18" s="151">
        <f t="shared" si="5"/>
        <v>14233.300419193283</v>
      </c>
      <c r="M18" s="179">
        <f t="shared" si="17"/>
        <v>0.94</v>
      </c>
      <c r="N18" s="179">
        <f t="shared" si="6"/>
        <v>0.93541669421617268</v>
      </c>
      <c r="O18" s="152">
        <f t="shared" si="18"/>
        <v>982.69958080671677</v>
      </c>
      <c r="P18" s="207"/>
      <c r="Q18" s="436" t="str">
        <f>IF(OR(CFE_RateCategory="DAC",CFE_RateCategory="Tarifa 1"),IF(O17&lt;VLOOKUP(CFE_Limite,ListData!$B$30:$D$36,3,FALSE),"Tarifa "&amp;CFE_Limite,"DAC"),"Tarifa 2")</f>
        <v>Tarifa 1</v>
      </c>
      <c r="R18" s="433">
        <f t="shared" si="31"/>
        <v>1.0354797791882426</v>
      </c>
      <c r="S18" s="181">
        <f t="shared" si="19"/>
        <v>1017.5655449421176</v>
      </c>
      <c r="T18" s="181">
        <f t="shared" si="20"/>
        <v>3016.9692535584836</v>
      </c>
      <c r="U18" s="181">
        <f t="shared" si="21"/>
        <v>4034.534798500601</v>
      </c>
      <c r="V18" s="181">
        <f t="shared" si="7"/>
        <v>403.45347985006015</v>
      </c>
      <c r="W18" s="181">
        <f t="shared" si="35"/>
        <v>645.52556776009612</v>
      </c>
      <c r="X18" s="180">
        <f t="shared" si="8"/>
        <v>5083.5138461107572</v>
      </c>
      <c r="Y18" s="207"/>
      <c r="Z18" s="178">
        <f t="shared" si="22"/>
        <v>0</v>
      </c>
      <c r="AA18" s="177">
        <f t="shared" si="9"/>
        <v>0</v>
      </c>
      <c r="AB18" s="176">
        <f t="shared" si="23"/>
        <v>0</v>
      </c>
      <c r="AC18" s="207"/>
      <c r="AD18" s="178">
        <f t="shared" si="24"/>
        <v>5083.5138461107572</v>
      </c>
      <c r="AE18" s="177">
        <f t="shared" si="10"/>
        <v>209696.05030400437</v>
      </c>
      <c r="AF18" s="175">
        <f t="shared" si="11"/>
        <v>0.97633148262393454</v>
      </c>
      <c r="AG18" s="287"/>
      <c r="AH18" s="287"/>
      <c r="AI18" s="425"/>
      <c r="AK18" s="427">
        <f t="shared" si="32"/>
        <v>1.0354797791882426</v>
      </c>
      <c r="AL18" s="427">
        <f t="shared" si="25"/>
        <v>11.004403410498943</v>
      </c>
      <c r="AM18" s="427">
        <f t="shared" si="12"/>
        <v>7.0990430572923957</v>
      </c>
      <c r="AN18" s="202"/>
      <c r="AO18" s="245">
        <f t="shared" si="33"/>
        <v>1.0354797791882426</v>
      </c>
      <c r="AP18" s="259">
        <f t="shared" si="26"/>
        <v>1.0354797791882426</v>
      </c>
      <c r="AQ18" s="250">
        <f t="shared" si="27"/>
        <v>1017.5655449421176</v>
      </c>
      <c r="AR18" s="251">
        <f>MAX(0,MIN($O18-SUM($AQ$3:AQ$3)*12,AR$3*12))*(AR$4*((1+InflationRate)^($B18-1)))</f>
        <v>0</v>
      </c>
      <c r="AS18" s="251">
        <f>MAX(0,MIN($O18-SUM($AQ$3:AR$3)*12,AS$3*12))*(AS$4*((1+InflationRate)^($B18-1)))</f>
        <v>0</v>
      </c>
      <c r="AT18" s="252">
        <f>MAX(0,$O18-SUM($AQ$3:AS$3)*12)*(AT$4*((1+InflationRate)^($B18-1)))</f>
        <v>0</v>
      </c>
      <c r="AU18" s="269">
        <f t="shared" si="28"/>
        <v>1.0354797791882426</v>
      </c>
      <c r="AV18" s="270">
        <f t="shared" si="29"/>
        <v>1017.5655449421176</v>
      </c>
      <c r="AW18" s="251">
        <f>MAX(0,MIN($O18-SUM($AV$3:AV$3)*12,AW$3*12))*(AW$4*((1+InflationRate)^($B18-1)))</f>
        <v>0</v>
      </c>
      <c r="AX18" s="251">
        <f>MAX(0,MIN($O18-SUM($AV$3:AW$3)*12,AX$3*12))*(AX$4*((1+InflationRate)^($B18-1)))</f>
        <v>0</v>
      </c>
      <c r="AY18" s="252">
        <f>MAX(0,$O18-SUM($AV$3:AX$3)*12)*(AY$4*((1+InflationRate)^($B18-1)))</f>
        <v>0</v>
      </c>
      <c r="BB18" s="269">
        <f t="shared" si="30"/>
        <v>2.8191276712711124</v>
      </c>
      <c r="BC18" s="274">
        <f t="shared" si="34"/>
        <v>1566</v>
      </c>
      <c r="BD18" s="44">
        <f>MAX(0,MIN($O18-SUM($BC$3:BC$3)*12,BD$3*12))*BD$4</f>
        <v>1204.3555807987375</v>
      </c>
      <c r="BE18" s="243">
        <f>MAX(0,$O18-SUM($BC$3:BD$3)*12)*BE$4</f>
        <v>0</v>
      </c>
    </row>
    <row r="19" spans="1:57" x14ac:dyDescent="0.15">
      <c r="A19" s="212">
        <f t="shared" si="13"/>
        <v>47484</v>
      </c>
      <c r="B19" s="213">
        <v>14</v>
      </c>
      <c r="C19" s="208">
        <f t="shared" si="0"/>
        <v>15216</v>
      </c>
      <c r="D19" s="182">
        <f t="shared" si="14"/>
        <v>11.884755683338859</v>
      </c>
      <c r="E19" s="181">
        <f t="shared" si="15"/>
        <v>180838.44247768409</v>
      </c>
      <c r="F19" s="181">
        <f t="shared" si="1"/>
        <v>3258.3267938431622</v>
      </c>
      <c r="G19" s="181">
        <f t="shared" si="16"/>
        <v>184096.76927152724</v>
      </c>
      <c r="H19" s="181">
        <f t="shared" si="2"/>
        <v>18409.676927152726</v>
      </c>
      <c r="I19" s="181">
        <f t="shared" si="3"/>
        <v>29455.48308344436</v>
      </c>
      <c r="J19" s="180">
        <f t="shared" si="4"/>
        <v>231961.92928212433</v>
      </c>
      <c r="K19" s="210"/>
      <c r="L19" s="151">
        <f t="shared" si="5"/>
        <v>14157.59137441034</v>
      </c>
      <c r="M19" s="179">
        <f t="shared" si="17"/>
        <v>0.93499999999999994</v>
      </c>
      <c r="N19" s="179">
        <f t="shared" si="6"/>
        <v>0.9304410735022568</v>
      </c>
      <c r="O19" s="152">
        <f t="shared" si="18"/>
        <v>1058.40862558966</v>
      </c>
      <c r="P19" s="207"/>
      <c r="Q19" s="436" t="str">
        <f>IF(OR(CFE_RateCategory="DAC",CFE_RateCategory="Tarifa 1"),IF(O18&lt;VLOOKUP(CFE_Limite,ListData!$B$30:$D$36,3,FALSE),"Tarifa "&amp;CFE_Limite,"DAC"),"Tarifa 2")</f>
        <v>Tarifa 1</v>
      </c>
      <c r="R19" s="433">
        <f t="shared" si="31"/>
        <v>0.99025318383669503</v>
      </c>
      <c r="S19" s="181">
        <f t="shared" si="19"/>
        <v>1048.0925112903813</v>
      </c>
      <c r="T19" s="181">
        <f t="shared" si="20"/>
        <v>3258.3267938431622</v>
      </c>
      <c r="U19" s="181">
        <f t="shared" si="21"/>
        <v>4306.4193051335433</v>
      </c>
      <c r="V19" s="181">
        <f t="shared" si="7"/>
        <v>430.64193051335434</v>
      </c>
      <c r="W19" s="181">
        <f t="shared" si="35"/>
        <v>689.02708882136699</v>
      </c>
      <c r="X19" s="180">
        <f t="shared" si="8"/>
        <v>5426.0883244682645</v>
      </c>
      <c r="Y19" s="207"/>
      <c r="Z19" s="178">
        <f t="shared" si="22"/>
        <v>0</v>
      </c>
      <c r="AA19" s="177">
        <f t="shared" si="9"/>
        <v>0</v>
      </c>
      <c r="AB19" s="176">
        <f t="shared" si="23"/>
        <v>0</v>
      </c>
      <c r="AC19" s="207"/>
      <c r="AD19" s="178">
        <f t="shared" si="24"/>
        <v>5426.0883244682645</v>
      </c>
      <c r="AE19" s="177">
        <f t="shared" si="10"/>
        <v>226535.84095765607</v>
      </c>
      <c r="AF19" s="175">
        <f t="shared" si="11"/>
        <v>0.97660784965334213</v>
      </c>
      <c r="AG19" s="287"/>
      <c r="AH19" s="287"/>
      <c r="AI19" s="425"/>
      <c r="AK19" s="427">
        <f t="shared" si="32"/>
        <v>0.99025318383669503</v>
      </c>
      <c r="AL19" s="427">
        <f t="shared" si="25"/>
        <v>11.884755683338859</v>
      </c>
      <c r="AM19" s="427">
        <f t="shared" si="12"/>
        <v>7.7307499484453848</v>
      </c>
      <c r="AN19" s="202"/>
      <c r="AO19" s="245">
        <f t="shared" si="33"/>
        <v>0.99025318383669503</v>
      </c>
      <c r="AP19" s="259">
        <f t="shared" si="26"/>
        <v>0.99025318383669503</v>
      </c>
      <c r="AQ19" s="250">
        <f t="shared" si="27"/>
        <v>1048.0925112903813</v>
      </c>
      <c r="AR19" s="251">
        <f>MAX(0,MIN($O19-SUM($AQ$3:AQ$3)*12,AR$3*12))*(AR$4*((1+InflationRate)^($B19-1)))</f>
        <v>0</v>
      </c>
      <c r="AS19" s="251">
        <f>MAX(0,MIN($O19-SUM($AQ$3:AR$3)*12,AS$3*12))*(AS$4*((1+InflationRate)^($B19-1)))</f>
        <v>0</v>
      </c>
      <c r="AT19" s="252">
        <f>MAX(0,$O19-SUM($AQ$3:AS$3)*12)*(AT$4*((1+InflationRate)^($B19-1)))</f>
        <v>0</v>
      </c>
      <c r="AU19" s="269">
        <f t="shared" si="28"/>
        <v>0.99025318383669503</v>
      </c>
      <c r="AV19" s="270">
        <f t="shared" si="29"/>
        <v>1048.0925112903813</v>
      </c>
      <c r="AW19" s="251">
        <f>MAX(0,MIN($O19-SUM($AV$3:AV$3)*12,AW$3*12))*(AW$4*((1+InflationRate)^($B19-1)))</f>
        <v>0</v>
      </c>
      <c r="AX19" s="251">
        <f>MAX(0,MIN($O19-SUM($AV$3:AW$3)*12,AX$3*12))*(AX$4*((1+InflationRate)^($B19-1)))</f>
        <v>0</v>
      </c>
      <c r="AY19" s="252">
        <f>MAX(0,$O19-SUM($AV$3:AX$3)*12)*(AY$4*((1+InflationRate)^($B19-1)))</f>
        <v>0</v>
      </c>
      <c r="BB19" s="269">
        <f t="shared" si="30"/>
        <v>2.8425807122031945</v>
      </c>
      <c r="BC19" s="274">
        <f t="shared" si="34"/>
        <v>1566</v>
      </c>
      <c r="BD19" s="44">
        <f>MAX(0,MIN($O19-SUM($BC$3:BC$3)*12,BD$3*12))*BD$4</f>
        <v>1442.6119447306598</v>
      </c>
      <c r="BE19" s="243">
        <f>MAX(0,$O19-SUM($BC$3:BD$3)*12)*BE$4</f>
        <v>0</v>
      </c>
    </row>
    <row r="20" spans="1:57" x14ac:dyDescent="0.15">
      <c r="A20" s="212">
        <f t="shared" si="13"/>
        <v>47849</v>
      </c>
      <c r="B20" s="213">
        <v>15</v>
      </c>
      <c r="C20" s="208">
        <f t="shared" si="0"/>
        <v>15216</v>
      </c>
      <c r="D20" s="174">
        <f t="shared" si="14"/>
        <v>12.835536138005969</v>
      </c>
      <c r="E20" s="173">
        <f t="shared" si="15"/>
        <v>195305.51787589883</v>
      </c>
      <c r="F20" s="173">
        <f t="shared" si="1"/>
        <v>3518.9929373506156</v>
      </c>
      <c r="G20" s="173">
        <f t="shared" si="16"/>
        <v>198824.51081324945</v>
      </c>
      <c r="H20" s="173">
        <f t="shared" si="2"/>
        <v>19882.451081324947</v>
      </c>
      <c r="I20" s="173">
        <f t="shared" si="3"/>
        <v>31811.921730119913</v>
      </c>
      <c r="J20" s="172">
        <f t="shared" si="4"/>
        <v>250518.88362469431</v>
      </c>
      <c r="K20" s="210"/>
      <c r="L20" s="153">
        <f t="shared" si="5"/>
        <v>14081.882329627397</v>
      </c>
      <c r="M20" s="171">
        <f t="shared" si="17"/>
        <v>0.92999999999999994</v>
      </c>
      <c r="N20" s="171">
        <f t="shared" si="6"/>
        <v>0.92546545278834103</v>
      </c>
      <c r="O20" s="154">
        <f t="shared" si="18"/>
        <v>1134.1176703726032</v>
      </c>
      <c r="P20" s="207"/>
      <c r="Q20" s="437" t="str">
        <f>IF(OR(CFE_RateCategory="DAC",CFE_RateCategory="Tarifa 1"),IF(O19&lt;VLOOKUP(CFE_Limite,ListData!$B$30:$D$36,3,FALSE),"Tarifa "&amp;CFE_Limite,"DAC"),"Tarifa 2")</f>
        <v>Tarifa 1</v>
      </c>
      <c r="R20" s="434">
        <f t="shared" si="31"/>
        <v>0.95187238046861755</v>
      </c>
      <c r="S20" s="173">
        <f t="shared" si="19"/>
        <v>1079.5352866290928</v>
      </c>
      <c r="T20" s="173">
        <f t="shared" si="20"/>
        <v>3518.9929373506156</v>
      </c>
      <c r="U20" s="173">
        <f t="shared" si="21"/>
        <v>4598.5282239797089</v>
      </c>
      <c r="V20" s="173">
        <f t="shared" si="7"/>
        <v>459.8528223979709</v>
      </c>
      <c r="W20" s="173">
        <f t="shared" si="35"/>
        <v>735.76451583675339</v>
      </c>
      <c r="X20" s="172">
        <f t="shared" si="8"/>
        <v>5794.1455622144331</v>
      </c>
      <c r="Y20" s="207"/>
      <c r="Z20" s="170">
        <f t="shared" si="22"/>
        <v>0</v>
      </c>
      <c r="AA20" s="169">
        <f t="shared" si="9"/>
        <v>0</v>
      </c>
      <c r="AB20" s="168">
        <f t="shared" si="23"/>
        <v>0</v>
      </c>
      <c r="AC20" s="207"/>
      <c r="AD20" s="170">
        <f t="shared" si="24"/>
        <v>5794.1455622144331</v>
      </c>
      <c r="AE20" s="169">
        <f t="shared" si="10"/>
        <v>244724.73806247988</v>
      </c>
      <c r="AF20" s="167">
        <f t="shared" si="11"/>
        <v>0.9768714219128698</v>
      </c>
      <c r="AG20" s="287"/>
      <c r="AH20" s="287"/>
      <c r="AI20" s="425"/>
      <c r="AK20" s="428">
        <f t="shared" si="32"/>
        <v>0.95187238046861755</v>
      </c>
      <c r="AL20" s="428">
        <f t="shared" si="25"/>
        <v>12.835536138005969</v>
      </c>
      <c r="AM20" s="428">
        <f t="shared" si="12"/>
        <v>8.4088989565560706</v>
      </c>
      <c r="AN20" s="202"/>
      <c r="AO20" s="245">
        <f t="shared" si="33"/>
        <v>0.95187238046861755</v>
      </c>
      <c r="AP20" s="260">
        <f t="shared" si="26"/>
        <v>0.95187238046861755</v>
      </c>
      <c r="AQ20" s="253">
        <f t="shared" si="27"/>
        <v>1079.5352866290928</v>
      </c>
      <c r="AR20" s="254">
        <f>MAX(0,MIN($O20-SUM($AQ$3:AQ$3)*12,AR$3*12))*(AR$4*((1+InflationRate)^($B20-1)))</f>
        <v>0</v>
      </c>
      <c r="AS20" s="254">
        <f>MAX(0,MIN($O20-SUM($AQ$3:AR$3)*12,AS$3*12))*(AS$4*((1+InflationRate)^($B20-1)))</f>
        <v>0</v>
      </c>
      <c r="AT20" s="255">
        <f>MAX(0,$O20-SUM($AQ$3:AS$3)*12)*(AT$4*((1+InflationRate)^($B20-1)))</f>
        <v>0</v>
      </c>
      <c r="AU20" s="271">
        <f t="shared" si="28"/>
        <v>0.95187238046861755</v>
      </c>
      <c r="AV20" s="272">
        <f t="shared" si="29"/>
        <v>1079.5352866290928</v>
      </c>
      <c r="AW20" s="254">
        <f>MAX(0,MIN($O20-SUM($AV$3:AV$3)*12,AW$3*12))*(AW$4*((1+InflationRate)^($B20-1)))</f>
        <v>0</v>
      </c>
      <c r="AX20" s="254">
        <f>MAX(0,MIN($O20-SUM($AV$3:AW$3)*12,AX$3*12))*(AX$4*((1+InflationRate)^($B20-1)))</f>
        <v>0</v>
      </c>
      <c r="AY20" s="255">
        <f>MAX(0,$O20-SUM($AV$3:AX$3)*12)*(AY$4*((1+InflationRate)^($B20-1)))</f>
        <v>0</v>
      </c>
      <c r="BB20" s="271">
        <f t="shared" si="30"/>
        <v>2.8629024954666793</v>
      </c>
      <c r="BC20" s="275">
        <f t="shared" si="34"/>
        <v>1566</v>
      </c>
      <c r="BD20" s="52">
        <f>MAX(0,MIN($O20-SUM($BC$3:BC$3)*12,BD$3*12))*BD$4</f>
        <v>1680.8683086625822</v>
      </c>
      <c r="BE20" s="244">
        <f>MAX(0,$O20-SUM($BC$3:BD$3)*12)*BE$4</f>
        <v>0</v>
      </c>
    </row>
  </sheetData>
  <sheetProtection selectLockedCells="1" selectUnlockedCells="1"/>
  <mergeCells count="11">
    <mergeCell ref="AO2:AO3"/>
    <mergeCell ref="AK2:AM3"/>
    <mergeCell ref="BB1:BE1"/>
    <mergeCell ref="D1:J1"/>
    <mergeCell ref="L1:O1"/>
    <mergeCell ref="Z1:AB1"/>
    <mergeCell ref="AD1:AF1"/>
    <mergeCell ref="AH1:AI1"/>
    <mergeCell ref="AP1:AT1"/>
    <mergeCell ref="AU1:AY1"/>
    <mergeCell ref="Q1:X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3"/>
  <sheetViews>
    <sheetView zoomScaleNormal="100" zoomScalePageLayoutView="200" workbookViewId="0">
      <pane xSplit="1" ySplit="2" topLeftCell="B3" activePane="bottomRight" state="frozen"/>
      <selection sqref="A1:H8"/>
      <selection pane="topRight" sqref="A1:H8"/>
      <selection pane="bottomLeft" sqref="A1:H8"/>
      <selection pane="bottomRight" activeCell="B3" sqref="B3"/>
    </sheetView>
  </sheetViews>
  <sheetFormatPr defaultColWidth="11.42578125" defaultRowHeight="10.5" x14ac:dyDescent="0.15"/>
  <cols>
    <col min="1" max="1" width="14" style="72" bestFit="1" customWidth="1"/>
    <col min="2" max="2" width="23.85546875" style="72" bestFit="1" customWidth="1"/>
    <col min="3" max="3" width="7.28515625" style="40" bestFit="1" customWidth="1"/>
    <col min="4" max="4" width="36" style="40" bestFit="1" customWidth="1"/>
    <col min="5" max="5" width="12" style="40" bestFit="1" customWidth="1"/>
    <col min="6" max="6" width="6.85546875" style="41" bestFit="1" customWidth="1"/>
    <col min="7" max="16384" width="11.42578125" style="72"/>
  </cols>
  <sheetData>
    <row r="1" spans="1:6" x14ac:dyDescent="0.15">
      <c r="A1" s="48" t="s">
        <v>0</v>
      </c>
      <c r="B1" s="76">
        <f>Inputs_MySOL!$G$17</f>
        <v>8580</v>
      </c>
      <c r="D1" s="41"/>
      <c r="E1" s="41"/>
    </row>
    <row r="2" spans="1:6" x14ac:dyDescent="0.15">
      <c r="A2" s="48" t="s">
        <v>1</v>
      </c>
      <c r="C2" s="40" t="s">
        <v>153</v>
      </c>
      <c r="D2" s="47" t="s">
        <v>75</v>
      </c>
      <c r="E2" s="47" t="s">
        <v>863</v>
      </c>
      <c r="F2" s="47" t="s">
        <v>66</v>
      </c>
    </row>
    <row r="3" spans="1:6" x14ac:dyDescent="0.15">
      <c r="A3" s="72" t="s">
        <v>483</v>
      </c>
      <c r="B3" s="72" t="str">
        <f>Inputs!D4</f>
        <v>PV Panels</v>
      </c>
      <c r="C3" s="49">
        <f t="shared" ref="C3:C8" si="0">IFERROR(E3*F3/$B$1,"NaN")</f>
        <v>0.41299999999999998</v>
      </c>
      <c r="D3" s="50" t="str">
        <f>VLOOKUP($B3,Inputs!$D$4:$F$9,3,FALSE)</f>
        <v>Trina Solar_TSM-PD14 330</v>
      </c>
      <c r="E3" s="211">
        <f>IFERROR(VLOOKUP(D3,Components!$A$2:$N$109,4,FALSE),"NaN")</f>
        <v>136.29</v>
      </c>
      <c r="F3" s="130">
        <f>VLOOKUP($B3,Inputs!$D$4:$I$9,6,FALSE)</f>
        <v>26</v>
      </c>
    </row>
    <row r="4" spans="1:6" x14ac:dyDescent="0.15">
      <c r="B4" s="72" t="str">
        <f>Inputs!D5</f>
        <v>Inverters</v>
      </c>
      <c r="C4" s="49">
        <f t="shared" si="0"/>
        <v>0.1754895104895105</v>
      </c>
      <c r="D4" s="50" t="str">
        <f>VLOOKUP($B4,Inputs!$D$4:$F$9,3,FALSE)</f>
        <v>SMA_SB7.0-1SP-US-40</v>
      </c>
      <c r="E4" s="211">
        <f>IFERROR(VLOOKUP(D4,Components!$A$2:$N$109,4,FALSE),"NaN")</f>
        <v>1505.7</v>
      </c>
      <c r="F4" s="130">
        <f>VLOOKUP($B4,Inputs!$D$4:$I$9,6,FALSE)</f>
        <v>1</v>
      </c>
    </row>
    <row r="5" spans="1:6" x14ac:dyDescent="0.15">
      <c r="B5" s="72" t="str">
        <f>Inputs!D6</f>
        <v>Optimizer</v>
      </c>
      <c r="C5" s="49">
        <f t="shared" si="0"/>
        <v>0</v>
      </c>
      <c r="D5" s="50" t="str">
        <f>VLOOKUP($B5,Inputs!$D$4:$F$9,3,FALSE)</f>
        <v>Tigo_TS4-D</v>
      </c>
      <c r="E5" s="211">
        <f>IFERROR(VLOOKUP(D5,Components!$A$2:$N$109,4,FALSE),"NaN")</f>
        <v>0</v>
      </c>
      <c r="F5" s="130">
        <f>VLOOKUP($B5,Inputs!$D$4:$I$9,6,FALSE)</f>
        <v>0</v>
      </c>
    </row>
    <row r="6" spans="1:6" x14ac:dyDescent="0.15">
      <c r="B6" s="72" t="str">
        <f>Inputs!D7</f>
        <v>System Monitoring</v>
      </c>
      <c r="C6" s="49">
        <f t="shared" si="0"/>
        <v>0</v>
      </c>
      <c r="D6" s="50" t="str">
        <f>VLOOKUP($B6,Inputs!$D$4:$F$9,3,FALSE)</f>
        <v>TIGO_CCA-PS-INT</v>
      </c>
      <c r="E6" s="211">
        <f>IFERROR(VLOOKUP(D6,Components!$A$2:$N$109,4,FALSE),"NaN")</f>
        <v>211.2</v>
      </c>
      <c r="F6" s="130">
        <f>VLOOKUP($B6,Inputs!$D$4:$I$9,6,FALSE)</f>
        <v>0</v>
      </c>
    </row>
    <row r="7" spans="1:6" x14ac:dyDescent="0.15">
      <c r="B7" s="72" t="str">
        <f>Inputs!D8</f>
        <v>Consumption Monitoring</v>
      </c>
      <c r="C7" s="49">
        <f t="shared" si="0"/>
        <v>0</v>
      </c>
      <c r="D7" s="50" t="str">
        <f>VLOOKUP($B7,Inputs!$D$4:$F$9,3,FALSE)</f>
        <v>E-Gauge</v>
      </c>
      <c r="E7" s="211">
        <f>IFERROR(VLOOKUP(D7,Components!$A$2:$N$109,4,FALSE),"NaN")</f>
        <v>304</v>
      </c>
      <c r="F7" s="130">
        <f>VLOOKUP($B7,Inputs!$D$4:$I$9,6,FALSE)</f>
        <v>0</v>
      </c>
    </row>
    <row r="8" spans="1:6" x14ac:dyDescent="0.15">
      <c r="B8" s="72" t="str">
        <f>Inputs!D9</f>
        <v>Comm Accessory</v>
      </c>
      <c r="C8" s="49">
        <f t="shared" si="0"/>
        <v>0</v>
      </c>
      <c r="D8" s="50" t="str">
        <f>VLOOKUP($B8,Inputs!$D$4:$F$9,3,FALSE)</f>
        <v>TIGO_GTWY-WCOMM</v>
      </c>
      <c r="E8" s="211">
        <f>IFERROR(VLOOKUP(D8,Components!$A$2:$N$109,4,FALSE),"NaN")</f>
        <v>64</v>
      </c>
      <c r="F8" s="130">
        <f>VLOOKUP($B8,Inputs!$D$4:$I$9,6,FALSE)</f>
        <v>0</v>
      </c>
    </row>
    <row r="9" spans="1:6" x14ac:dyDescent="0.15">
      <c r="B9" s="72" t="s">
        <v>67</v>
      </c>
      <c r="C9" s="49">
        <f>SUM(C3:C8)</f>
        <v>0.58848951048951048</v>
      </c>
      <c r="D9" s="54"/>
      <c r="E9" s="75">
        <f>SUMPRODUCT(E3:E8,F3:F8)</f>
        <v>5049.24</v>
      </c>
      <c r="F9" s="51"/>
    </row>
    <row r="10" spans="1:6" x14ac:dyDescent="0.15">
      <c r="C10" s="72"/>
      <c r="D10" s="72"/>
      <c r="E10" s="75"/>
      <c r="F10" s="51"/>
    </row>
    <row r="11" spans="1:6" x14ac:dyDescent="0.15">
      <c r="A11" s="72" t="s">
        <v>862</v>
      </c>
      <c r="B11" s="72" t="s">
        <v>6</v>
      </c>
      <c r="C11" s="46">
        <f>C37/Inputs_MySOL!$B$2</f>
        <v>0.17222222222222222</v>
      </c>
      <c r="D11" s="72"/>
      <c r="E11" s="55">
        <f t="shared" ref="E11:E16" si="1">C11*$B$1</f>
        <v>1477.6666666666667</v>
      </c>
      <c r="F11" s="127"/>
    </row>
    <row r="12" spans="1:6" x14ac:dyDescent="0.15">
      <c r="B12" s="72" t="s">
        <v>7</v>
      </c>
      <c r="C12" s="46">
        <f>C38/Inputs_MySOL!$B$2</f>
        <v>0.14444444444444446</v>
      </c>
      <c r="D12" s="72"/>
      <c r="E12" s="55">
        <f t="shared" si="1"/>
        <v>1239.3333333333335</v>
      </c>
      <c r="F12" s="127"/>
    </row>
    <row r="13" spans="1:6" x14ac:dyDescent="0.15">
      <c r="B13" s="72" t="s">
        <v>8</v>
      </c>
      <c r="C13" s="46">
        <f>C39/Inputs_MySOL!$B$2</f>
        <v>8.1666666666666665E-2</v>
      </c>
      <c r="D13" s="54"/>
      <c r="E13" s="55">
        <f t="shared" si="1"/>
        <v>700.69999999999993</v>
      </c>
      <c r="F13" s="127"/>
    </row>
    <row r="14" spans="1:6" x14ac:dyDescent="0.15">
      <c r="B14" s="72" t="s">
        <v>115</v>
      </c>
      <c r="C14" s="46">
        <f>C40/Inputs_MySOL!$B$2</f>
        <v>0.24670571095571095</v>
      </c>
      <c r="D14" s="68"/>
      <c r="E14" s="55">
        <f t="shared" si="1"/>
        <v>2116.7350000000001</v>
      </c>
      <c r="F14" s="127"/>
    </row>
    <row r="15" spans="1:6" x14ac:dyDescent="0.15">
      <c r="B15" s="52" t="s">
        <v>116</v>
      </c>
      <c r="C15" s="56">
        <f>C41/Inputs_MySOL!$B$2</f>
        <v>4.934114219114219E-2</v>
      </c>
      <c r="D15" s="32"/>
      <c r="E15" s="57">
        <f t="shared" si="1"/>
        <v>423.34699999999998</v>
      </c>
      <c r="F15" s="127"/>
    </row>
    <row r="16" spans="1:6" x14ac:dyDescent="0.15">
      <c r="B16" s="72" t="s">
        <v>9</v>
      </c>
      <c r="C16" s="46">
        <f>C42/Inputs_MySOL!$B$2</f>
        <v>0.69438018648018651</v>
      </c>
      <c r="D16" s="54">
        <f>+(C14+C15)/C18</f>
        <v>0.23076923076923078</v>
      </c>
      <c r="E16" s="75">
        <f t="shared" si="1"/>
        <v>5957.7820000000002</v>
      </c>
      <c r="F16" s="127"/>
    </row>
    <row r="17" spans="1:6" x14ac:dyDescent="0.15">
      <c r="C17" s="46"/>
      <c r="D17" s="41"/>
      <c r="E17" s="75"/>
      <c r="F17" s="127"/>
    </row>
    <row r="18" spans="1:6" x14ac:dyDescent="0.15">
      <c r="A18" s="72" t="s">
        <v>10</v>
      </c>
      <c r="B18" s="72" t="s">
        <v>193</v>
      </c>
      <c r="C18" s="46">
        <f>C9+C16</f>
        <v>1.2828696969696969</v>
      </c>
      <c r="D18" s="41"/>
      <c r="E18" s="75">
        <f t="shared" ref="E18:E24" si="2">C18*$B$1</f>
        <v>11007.021999999999</v>
      </c>
      <c r="F18" s="127"/>
    </row>
    <row r="19" spans="1:6" x14ac:dyDescent="0.15">
      <c r="B19" s="72" t="s">
        <v>194</v>
      </c>
      <c r="C19" s="46">
        <f>C18*IVA</f>
        <v>0.20525915151515151</v>
      </c>
      <c r="D19" s="68"/>
      <c r="E19" s="55">
        <f t="shared" si="2"/>
        <v>1761.1235199999999</v>
      </c>
      <c r="F19" s="100"/>
    </row>
    <row r="20" spans="1:6" x14ac:dyDescent="0.15">
      <c r="B20" s="72" t="s">
        <v>195</v>
      </c>
      <c r="C20" s="46">
        <f>C18+C19</f>
        <v>1.4881288484848483</v>
      </c>
      <c r="D20" s="68"/>
      <c r="E20" s="55"/>
      <c r="F20" s="100"/>
    </row>
    <row r="21" spans="1:6" x14ac:dyDescent="0.15">
      <c r="B21" s="72" t="s">
        <v>485</v>
      </c>
      <c r="C21" s="46">
        <f>C18*$D21</f>
        <v>0.32071742424242422</v>
      </c>
      <c r="D21" s="41">
        <f>Inputs_MySOL!$D$40</f>
        <v>0.25</v>
      </c>
      <c r="E21" s="75">
        <f t="shared" si="2"/>
        <v>2751.7554999999998</v>
      </c>
      <c r="F21" s="128"/>
    </row>
    <row r="22" spans="1:6" x14ac:dyDescent="0.15">
      <c r="B22" s="72" t="s">
        <v>11</v>
      </c>
      <c r="C22" s="46">
        <f>C18*$D22</f>
        <v>6.4143484848484852E-2</v>
      </c>
      <c r="D22" s="41">
        <f>Inputs_MySOL!$D$41</f>
        <v>0.05</v>
      </c>
      <c r="E22" s="75">
        <f t="shared" si="2"/>
        <v>550.35110000000009</v>
      </c>
      <c r="F22" s="128"/>
    </row>
    <row r="23" spans="1:6" x14ac:dyDescent="0.15">
      <c r="B23" s="44" t="s">
        <v>486</v>
      </c>
      <c r="C23" s="45">
        <f>C18+C21+C22</f>
        <v>1.6677306060606059</v>
      </c>
      <c r="D23" s="99"/>
      <c r="E23" s="77"/>
      <c r="F23" s="100"/>
    </row>
    <row r="24" spans="1:6" x14ac:dyDescent="0.15">
      <c r="B24" s="44" t="s">
        <v>487</v>
      </c>
      <c r="C24" s="45">
        <f>C23*IVA</f>
        <v>0.26683689696969692</v>
      </c>
      <c r="D24" s="99"/>
      <c r="E24" s="75">
        <f t="shared" si="2"/>
        <v>2289.4605759999995</v>
      </c>
      <c r="F24" s="100"/>
    </row>
    <row r="25" spans="1:6" x14ac:dyDescent="0.15">
      <c r="B25" s="52" t="s">
        <v>488</v>
      </c>
      <c r="C25" s="56">
        <f>C23+C24</f>
        <v>1.9345675030303027</v>
      </c>
      <c r="D25" s="61"/>
      <c r="E25" s="53"/>
      <c r="F25" s="100"/>
    </row>
    <row r="26" spans="1:6" x14ac:dyDescent="0.15">
      <c r="B26" s="48" t="s">
        <v>12</v>
      </c>
      <c r="C26" s="58">
        <f>C25</f>
        <v>1.9345675030303027</v>
      </c>
      <c r="D26" s="59">
        <f>(C21+C22)/C23</f>
        <v>0.23076923076923078</v>
      </c>
      <c r="E26" s="75">
        <f>C26*$B$1</f>
        <v>16598.589175999998</v>
      </c>
      <c r="F26" s="89"/>
    </row>
    <row r="27" spans="1:6" x14ac:dyDescent="0.15">
      <c r="C27" s="46"/>
      <c r="D27" s="41"/>
      <c r="E27" s="46"/>
      <c r="F27" s="51"/>
    </row>
    <row r="28" spans="1:6" x14ac:dyDescent="0.15">
      <c r="A28" s="48" t="s">
        <v>133</v>
      </c>
      <c r="B28" s="68"/>
      <c r="C28" s="46"/>
      <c r="D28" s="41"/>
      <c r="E28" s="75"/>
      <c r="F28" s="51"/>
    </row>
    <row r="29" spans="1:6" x14ac:dyDescent="0.15">
      <c r="A29" s="72" t="str">
        <f>A3</f>
        <v>MySOL</v>
      </c>
      <c r="B29" s="72" t="str">
        <f>B3</f>
        <v>PV Panels</v>
      </c>
      <c r="C29" s="46">
        <f>IFERROR(C3*Inputs_MySOL!$B$2,"NaN")</f>
        <v>7.4339999999999993</v>
      </c>
      <c r="D29" s="41" t="str">
        <f t="shared" ref="D29:D34" si="3">D3</f>
        <v>Trina Solar_TSM-PD14 330</v>
      </c>
      <c r="E29" s="75">
        <f t="shared" ref="E29:E34" si="4">C29*$B$1</f>
        <v>63783.719999999994</v>
      </c>
      <c r="F29" s="130">
        <f t="shared" ref="F29:F35" si="5">F3</f>
        <v>26</v>
      </c>
    </row>
    <row r="30" spans="1:6" x14ac:dyDescent="0.15">
      <c r="B30" s="72" t="str">
        <f t="shared" ref="B30:B35" si="6">B4</f>
        <v>Inverters</v>
      </c>
      <c r="C30" s="46">
        <f>IFERROR(C4*Inputs_MySOL!$B$2,"NaN")</f>
        <v>3.1588111888111889</v>
      </c>
      <c r="D30" s="41" t="str">
        <f t="shared" si="3"/>
        <v>SMA_SB7.0-1SP-US-40</v>
      </c>
      <c r="E30" s="75">
        <f t="shared" si="4"/>
        <v>27102.600000000002</v>
      </c>
      <c r="F30" s="130">
        <f t="shared" si="5"/>
        <v>1</v>
      </c>
    </row>
    <row r="31" spans="1:6" x14ac:dyDescent="0.15">
      <c r="B31" s="72" t="str">
        <f t="shared" si="6"/>
        <v>Optimizer</v>
      </c>
      <c r="C31" s="46">
        <f>IFERROR(C5*Inputs_MySOL!$B$2,"NaN")</f>
        <v>0</v>
      </c>
      <c r="D31" s="41" t="str">
        <f t="shared" si="3"/>
        <v>Tigo_TS4-D</v>
      </c>
      <c r="E31" s="75">
        <f t="shared" si="4"/>
        <v>0</v>
      </c>
      <c r="F31" s="130">
        <f t="shared" si="5"/>
        <v>0</v>
      </c>
    </row>
    <row r="32" spans="1:6" x14ac:dyDescent="0.15">
      <c r="B32" s="72" t="str">
        <f t="shared" si="6"/>
        <v>System Monitoring</v>
      </c>
      <c r="C32" s="46">
        <f>IFERROR(C6*Inputs_MySOL!$B$2,"NaN")</f>
        <v>0</v>
      </c>
      <c r="D32" s="41" t="str">
        <f t="shared" si="3"/>
        <v>TIGO_CCA-PS-INT</v>
      </c>
      <c r="E32" s="75">
        <f t="shared" si="4"/>
        <v>0</v>
      </c>
      <c r="F32" s="130">
        <f t="shared" si="5"/>
        <v>0</v>
      </c>
    </row>
    <row r="33" spans="1:6" x14ac:dyDescent="0.15">
      <c r="B33" s="72" t="str">
        <f t="shared" si="6"/>
        <v>Consumption Monitoring</v>
      </c>
      <c r="C33" s="46">
        <f>IFERROR(C7*Inputs_MySOL!$B$2,"NaN")</f>
        <v>0</v>
      </c>
      <c r="D33" s="41" t="str">
        <f t="shared" si="3"/>
        <v>E-Gauge</v>
      </c>
      <c r="E33" s="75">
        <f t="shared" si="4"/>
        <v>0</v>
      </c>
      <c r="F33" s="130">
        <f t="shared" si="5"/>
        <v>0</v>
      </c>
    </row>
    <row r="34" spans="1:6" x14ac:dyDescent="0.15">
      <c r="B34" s="72" t="str">
        <f t="shared" si="6"/>
        <v>Comm Accessory</v>
      </c>
      <c r="C34" s="46">
        <f>IFERROR(C8*Inputs_MySOL!$B$2,"NaN")</f>
        <v>0</v>
      </c>
      <c r="D34" s="41" t="str">
        <f t="shared" si="3"/>
        <v>TIGO_GTWY-WCOMM</v>
      </c>
      <c r="E34" s="75">
        <f t="shared" si="4"/>
        <v>0</v>
      </c>
      <c r="F34" s="130">
        <f t="shared" si="5"/>
        <v>0</v>
      </c>
    </row>
    <row r="35" spans="1:6" x14ac:dyDescent="0.15">
      <c r="B35" s="72" t="str">
        <f t="shared" si="6"/>
        <v>SubTotal</v>
      </c>
      <c r="C35" s="46">
        <f>SUM(C29:C34)</f>
        <v>10.592811188811188</v>
      </c>
      <c r="D35" s="41"/>
      <c r="E35" s="75">
        <f t="shared" ref="E35:E50" si="7">C35*$B$1</f>
        <v>90886.319999999992</v>
      </c>
      <c r="F35" s="130">
        <f t="shared" si="5"/>
        <v>0</v>
      </c>
    </row>
    <row r="36" spans="1:6" x14ac:dyDescent="0.15">
      <c r="C36" s="46"/>
      <c r="D36" s="54"/>
      <c r="E36" s="75"/>
      <c r="F36" s="51"/>
    </row>
    <row r="37" spans="1:6" x14ac:dyDescent="0.15">
      <c r="A37" s="72" t="s">
        <v>862</v>
      </c>
      <c r="B37" s="72" t="str">
        <f t="shared" ref="B37:B42" si="8">B11</f>
        <v>Labor</v>
      </c>
      <c r="C37" s="46">
        <f>Inputs!F11</f>
        <v>3.1</v>
      </c>
      <c r="D37" s="54"/>
      <c r="E37" s="75">
        <f t="shared" si="7"/>
        <v>26598</v>
      </c>
      <c r="F37" s="127"/>
    </row>
    <row r="38" spans="1:6" x14ac:dyDescent="0.15">
      <c r="B38" s="72" t="str">
        <f t="shared" si="8"/>
        <v>BOS-electrical</v>
      </c>
      <c r="C38" s="46">
        <f>Inputs!F12</f>
        <v>2.6</v>
      </c>
      <c r="D38" s="54"/>
      <c r="E38" s="75">
        <f t="shared" si="7"/>
        <v>22308</v>
      </c>
      <c r="F38" s="127"/>
    </row>
    <row r="39" spans="1:6" x14ac:dyDescent="0.15">
      <c r="B39" s="72" t="str">
        <f t="shared" si="8"/>
        <v>BOS-mechanical</v>
      </c>
      <c r="C39" s="46">
        <f>Inputs!F13</f>
        <v>1.47</v>
      </c>
      <c r="D39" s="54"/>
      <c r="E39" s="75">
        <f t="shared" si="7"/>
        <v>12612.6</v>
      </c>
      <c r="F39" s="127"/>
    </row>
    <row r="40" spans="1:6" x14ac:dyDescent="0.15">
      <c r="B40" s="60" t="str">
        <f t="shared" si="8"/>
        <v>Installer Margin</v>
      </c>
      <c r="C40" s="46">
        <f>(C$35+SUM(C$37:C$39))*$D40</f>
        <v>4.440702797202797</v>
      </c>
      <c r="D40" s="41">
        <f>Inputs_MySOL!$D$42</f>
        <v>0.25</v>
      </c>
      <c r="E40" s="75">
        <f t="shared" si="7"/>
        <v>38101.229999999996</v>
      </c>
      <c r="F40" s="127"/>
    </row>
    <row r="41" spans="1:6" x14ac:dyDescent="0.15">
      <c r="B41" s="52" t="str">
        <f t="shared" si="8"/>
        <v>Installer Sales commission</v>
      </c>
      <c r="C41" s="56">
        <f>(C$35+SUM(C$37:C$39))*$D41</f>
        <v>0.88814055944055947</v>
      </c>
      <c r="D41" s="61">
        <f>Inputs_MySOL!$D$43</f>
        <v>0.05</v>
      </c>
      <c r="E41" s="53">
        <f t="shared" si="7"/>
        <v>7620.2460000000001</v>
      </c>
      <c r="F41" s="127"/>
    </row>
    <row r="42" spans="1:6" x14ac:dyDescent="0.15">
      <c r="B42" s="74" t="str">
        <f t="shared" si="8"/>
        <v>Installer Total Price</v>
      </c>
      <c r="C42" s="46">
        <f>SUM(C37:C41)</f>
        <v>12.498843356643357</v>
      </c>
      <c r="D42" s="54">
        <f>(C40+C41)/C44</f>
        <v>0.23076923076923075</v>
      </c>
      <c r="E42" s="75">
        <f t="shared" si="7"/>
        <v>107240.076</v>
      </c>
      <c r="F42" s="127"/>
    </row>
    <row r="43" spans="1:6" x14ac:dyDescent="0.15">
      <c r="C43" s="46"/>
      <c r="D43" s="41"/>
      <c r="E43" s="75"/>
      <c r="F43" s="127"/>
    </row>
    <row r="44" spans="1:6" x14ac:dyDescent="0.15">
      <c r="A44" s="72" t="s">
        <v>10</v>
      </c>
      <c r="B44" s="72" t="str">
        <f>B18</f>
        <v>Pre-IVA Cost from Installer</v>
      </c>
      <c r="C44" s="46">
        <f>C35+C42</f>
        <v>23.091654545454546</v>
      </c>
      <c r="D44" s="41"/>
      <c r="E44" s="75">
        <f t="shared" si="7"/>
        <v>198126.39600000001</v>
      </c>
      <c r="F44" s="127"/>
    </row>
    <row r="45" spans="1:6" x14ac:dyDescent="0.15">
      <c r="A45" s="46"/>
      <c r="B45" s="72" t="str">
        <f t="shared" ref="B45:B52" si="9">B19</f>
        <v>IVA to Installer</v>
      </c>
      <c r="C45" s="46">
        <f>C44*IVA</f>
        <v>3.6946647272727273</v>
      </c>
      <c r="D45" s="41"/>
      <c r="E45" s="75">
        <f t="shared" si="7"/>
        <v>31700.22336</v>
      </c>
      <c r="F45" s="127"/>
    </row>
    <row r="46" spans="1:6" x14ac:dyDescent="0.15">
      <c r="A46" s="46"/>
      <c r="B46" s="72" t="str">
        <f t="shared" si="9"/>
        <v>Total Cost from Installer</v>
      </c>
      <c r="C46" s="46">
        <f>C44+C45</f>
        <v>26.786319272727273</v>
      </c>
      <c r="D46" s="41"/>
      <c r="E46" s="75"/>
      <c r="F46" s="127"/>
    </row>
    <row r="47" spans="1:6" x14ac:dyDescent="0.15">
      <c r="A47" s="60"/>
      <c r="B47" s="72" t="str">
        <f t="shared" si="9"/>
        <v>MySOL Margin</v>
      </c>
      <c r="C47" s="46">
        <f>C44*$D47</f>
        <v>5.7729136363636364</v>
      </c>
      <c r="D47" s="41">
        <f>Inputs_MySOL!$D$40</f>
        <v>0.25</v>
      </c>
      <c r="E47" s="75">
        <f t="shared" si="7"/>
        <v>49531.599000000002</v>
      </c>
      <c r="F47" s="128"/>
    </row>
    <row r="48" spans="1:6" x14ac:dyDescent="0.15">
      <c r="A48" s="60"/>
      <c r="B48" s="72" t="str">
        <f t="shared" si="9"/>
        <v>Performance Guarantee</v>
      </c>
      <c r="C48" s="46">
        <f>C44*$D48</f>
        <v>1.1545827272727274</v>
      </c>
      <c r="D48" s="41">
        <f>Inputs_MySOL!$D$41</f>
        <v>0.05</v>
      </c>
      <c r="E48" s="75">
        <f t="shared" si="7"/>
        <v>9906.3198000000011</v>
      </c>
      <c r="F48" s="128"/>
    </row>
    <row r="49" spans="1:6" x14ac:dyDescent="0.15">
      <c r="A49" s="60"/>
      <c r="B49" s="44" t="str">
        <f t="shared" si="9"/>
        <v>Pre-IVA Cost from MySOL</v>
      </c>
      <c r="C49" s="45">
        <f>C44+C47+C48</f>
        <v>30.019150909090911</v>
      </c>
      <c r="D49" s="99"/>
      <c r="E49" s="75">
        <f t="shared" si="7"/>
        <v>257564.31480000002</v>
      </c>
      <c r="F49" s="100"/>
    </row>
    <row r="50" spans="1:6" x14ac:dyDescent="0.15">
      <c r="A50" s="60"/>
      <c r="B50" s="44" t="str">
        <f t="shared" si="9"/>
        <v>IVA to MySOL</v>
      </c>
      <c r="C50" s="45">
        <f>C49*IVA</f>
        <v>4.8030641454545462</v>
      </c>
      <c r="D50" s="99"/>
      <c r="E50" s="75">
        <f t="shared" si="7"/>
        <v>41210.290368000009</v>
      </c>
      <c r="F50" s="100"/>
    </row>
    <row r="51" spans="1:6" x14ac:dyDescent="0.15">
      <c r="A51" s="60"/>
      <c r="B51" s="52" t="str">
        <f t="shared" si="9"/>
        <v>Total Cost from MySOL</v>
      </c>
      <c r="C51" s="56">
        <f>C49+C50</f>
        <v>34.82221505454546</v>
      </c>
      <c r="D51" s="61"/>
      <c r="E51" s="53"/>
      <c r="F51" s="100"/>
    </row>
    <row r="52" spans="1:6" x14ac:dyDescent="0.15">
      <c r="A52" s="74"/>
      <c r="B52" s="48" t="str">
        <f t="shared" si="9"/>
        <v>FUND PRICE</v>
      </c>
      <c r="C52" s="58">
        <f>C51</f>
        <v>34.82221505454546</v>
      </c>
      <c r="D52" s="62">
        <f>(C47+C48)/C49</f>
        <v>0.23076923076923075</v>
      </c>
      <c r="E52" s="63">
        <f>C52*$B$1</f>
        <v>298774.60516800004</v>
      </c>
      <c r="F52" s="129"/>
    </row>
    <row r="53" spans="1:6" x14ac:dyDescent="0.15">
      <c r="C53" s="46"/>
      <c r="F53" s="99"/>
    </row>
    <row r="54" spans="1:6" x14ac:dyDescent="0.15">
      <c r="C54" s="88"/>
    </row>
    <row r="55" spans="1:6" x14ac:dyDescent="0.15">
      <c r="C55" s="96"/>
    </row>
    <row r="56" spans="1:6" x14ac:dyDescent="0.15">
      <c r="C56" s="96"/>
    </row>
    <row r="57" spans="1:6" x14ac:dyDescent="0.15">
      <c r="C57" s="46"/>
      <c r="D57" s="46"/>
    </row>
    <row r="58" spans="1:6" x14ac:dyDescent="0.15">
      <c r="C58" s="97"/>
      <c r="D58" s="97"/>
    </row>
    <row r="59" spans="1:6" x14ac:dyDescent="0.15">
      <c r="C59" s="96"/>
      <c r="D59" s="96"/>
    </row>
    <row r="61" spans="1:6" x14ac:dyDescent="0.15">
      <c r="C61" s="96"/>
    </row>
    <row r="62" spans="1:6" x14ac:dyDescent="0.15">
      <c r="C62" s="96"/>
    </row>
    <row r="63" spans="1:6" x14ac:dyDescent="0.15">
      <c r="C63" s="96"/>
      <c r="D63" s="96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  <ignoredErrors>
    <ignoredError sqref="C2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08"/>
  <sheetViews>
    <sheetView workbookViewId="0">
      <pane xSplit="1" topLeftCell="B1" activePane="topRight" state="frozen"/>
      <selection sqref="A1:H8"/>
      <selection pane="topRight" activeCell="B1" sqref="B1"/>
    </sheetView>
  </sheetViews>
  <sheetFormatPr defaultRowHeight="10.5" x14ac:dyDescent="0.15"/>
  <cols>
    <col min="1" max="1" width="42.42578125" style="26" bestFit="1" customWidth="1"/>
    <col min="2" max="2" width="31.28515625" style="26" bestFit="1" customWidth="1"/>
    <col min="3" max="3" width="31" style="26" bestFit="1" customWidth="1"/>
    <col min="4" max="4" width="11.7109375" style="26" bestFit="1" customWidth="1"/>
    <col min="5" max="5" width="9" style="26" bestFit="1" customWidth="1"/>
    <col min="6" max="6" width="9.28515625" style="26" bestFit="1" customWidth="1"/>
    <col min="7" max="7" width="31" style="26" customWidth="1"/>
    <col min="8" max="8" width="7.5703125" style="202" bestFit="1" customWidth="1"/>
    <col min="9" max="9" width="12.42578125" style="202" bestFit="1" customWidth="1"/>
    <col min="10" max="10" width="15.85546875" style="68" bestFit="1" customWidth="1"/>
    <col min="11" max="11" width="12.28515625" style="68" bestFit="1" customWidth="1"/>
    <col min="12" max="12" width="12.85546875" style="26" bestFit="1" customWidth="1"/>
    <col min="13" max="13" width="16.28515625" style="26" bestFit="1" customWidth="1"/>
    <col min="14" max="14" width="9" style="26" bestFit="1" customWidth="1"/>
    <col min="15" max="15" width="14.42578125" style="68" bestFit="1" customWidth="1"/>
    <col min="16" max="16" width="14.28515625" style="202" bestFit="1" customWidth="1"/>
    <col min="17" max="17" width="9.85546875" style="202" bestFit="1" customWidth="1"/>
    <col min="18" max="18" width="20.140625" style="26" bestFit="1" customWidth="1"/>
    <col min="19" max="19" width="11.7109375" style="26" bestFit="1" customWidth="1"/>
    <col min="20" max="20" width="20.140625" style="26" bestFit="1" customWidth="1"/>
    <col min="21" max="21" width="6" style="26" bestFit="1" customWidth="1"/>
    <col min="22" max="22" width="8.7109375" style="26" bestFit="1" customWidth="1"/>
    <col min="23" max="16384" width="9.140625" style="26"/>
  </cols>
  <sheetData>
    <row r="1" spans="1:24" x14ac:dyDescent="0.15">
      <c r="A1" s="28" t="s">
        <v>74</v>
      </c>
      <c r="B1" s="28" t="s">
        <v>129</v>
      </c>
      <c r="C1" s="28" t="s">
        <v>75</v>
      </c>
      <c r="D1" s="27" t="s">
        <v>65</v>
      </c>
      <c r="E1" s="27" t="s">
        <v>71</v>
      </c>
      <c r="F1" s="28" t="s">
        <v>72</v>
      </c>
      <c r="G1" s="28" t="s">
        <v>73</v>
      </c>
      <c r="H1" s="203" t="s">
        <v>610</v>
      </c>
      <c r="I1" s="203"/>
      <c r="J1" s="28"/>
      <c r="K1" s="28"/>
      <c r="L1" s="31" t="s">
        <v>224</v>
      </c>
      <c r="M1" s="28" t="s">
        <v>225</v>
      </c>
      <c r="N1" s="91" t="s">
        <v>609</v>
      </c>
      <c r="O1" s="446"/>
      <c r="R1" s="202"/>
      <c r="S1" s="202"/>
      <c r="T1" s="98" t="s">
        <v>192</v>
      </c>
      <c r="U1" s="26" t="s">
        <v>129</v>
      </c>
      <c r="V1" s="26" t="s">
        <v>75</v>
      </c>
      <c r="W1" s="26" t="s">
        <v>140</v>
      </c>
      <c r="X1" s="26" t="s">
        <v>65</v>
      </c>
    </row>
    <row r="2" spans="1:24" x14ac:dyDescent="0.15">
      <c r="A2" s="26" t="str">
        <f>B2&amp;IF(C2="","","_"&amp;C2)</f>
        <v>Trina Solar_TSM-PA08A 275</v>
      </c>
      <c r="B2" s="26" t="s">
        <v>187</v>
      </c>
      <c r="C2" s="26" t="s">
        <v>606</v>
      </c>
      <c r="D2" s="439">
        <f>E2*L2</f>
        <v>113.57499999999999</v>
      </c>
      <c r="E2" s="438">
        <f>0.35*(1+ImportDutyOnPVPanels)</f>
        <v>0.41299999999999998</v>
      </c>
      <c r="F2" s="26" t="s">
        <v>77</v>
      </c>
      <c r="G2" s="26" t="s">
        <v>605</v>
      </c>
      <c r="H2" s="202" t="s">
        <v>611</v>
      </c>
      <c r="L2" s="26">
        <v>275</v>
      </c>
      <c r="M2" s="69">
        <v>251.1</v>
      </c>
      <c r="N2" s="33">
        <f>IFERROR(M2/L2,"NaN")</f>
        <v>0.91309090909090906</v>
      </c>
      <c r="O2" s="447"/>
      <c r="P2" s="92"/>
      <c r="Q2" s="92"/>
      <c r="R2" s="92"/>
      <c r="S2" s="92"/>
      <c r="U2" s="26" t="s">
        <v>76</v>
      </c>
      <c r="V2" s="26" t="s">
        <v>176</v>
      </c>
      <c r="W2" s="26">
        <v>247.9</v>
      </c>
      <c r="X2" s="26">
        <v>124.2</v>
      </c>
    </row>
    <row r="3" spans="1:24" x14ac:dyDescent="0.15">
      <c r="A3" s="202" t="str">
        <f>B3&amp;IF(C3="","","_"&amp;C3)</f>
        <v>Trina Solar_TSM-PD14 330</v>
      </c>
      <c r="B3" s="26" t="s">
        <v>187</v>
      </c>
      <c r="C3" s="26" t="s">
        <v>598</v>
      </c>
      <c r="D3" s="439">
        <f t="shared" ref="D3:D14" si="0">E3*L3</f>
        <v>136.29</v>
      </c>
      <c r="E3" s="438">
        <f>0.35*(1+ImportDutyOnPVPanels)</f>
        <v>0.41299999999999998</v>
      </c>
      <c r="F3" s="26" t="s">
        <v>77</v>
      </c>
      <c r="G3" s="26" t="s">
        <v>605</v>
      </c>
      <c r="H3" s="202" t="s">
        <v>611</v>
      </c>
      <c r="L3" s="26">
        <v>330</v>
      </c>
      <c r="M3" s="69">
        <v>301.39999999999998</v>
      </c>
      <c r="N3" s="33">
        <f t="shared" ref="N3:N14" si="1">IFERROR(M3/L3,"NaN")</f>
        <v>0.91333333333333322</v>
      </c>
      <c r="O3" s="447"/>
      <c r="P3" s="92"/>
      <c r="Q3" s="92"/>
      <c r="R3" s="92"/>
      <c r="S3" s="92"/>
      <c r="U3" s="26" t="s">
        <v>76</v>
      </c>
      <c r="V3" s="26" t="s">
        <v>78</v>
      </c>
      <c r="W3" s="26">
        <v>292</v>
      </c>
      <c r="X3" s="26">
        <v>147.20000000000002</v>
      </c>
    </row>
    <row r="4" spans="1:24" s="202" customFormat="1" x14ac:dyDescent="0.15">
      <c r="A4" s="202" t="str">
        <f>B4&amp;IF(C4="","","_"&amp;C4)</f>
        <v>Trina Solar_TSM-DD05A.08(II) 285</v>
      </c>
      <c r="B4" s="202" t="s">
        <v>187</v>
      </c>
      <c r="C4" s="202" t="s">
        <v>607</v>
      </c>
      <c r="D4" s="439">
        <f t="shared" si="0"/>
        <v>122.7495</v>
      </c>
      <c r="E4" s="438">
        <f>0.365*(1+ImportDutyOnPVPanels)</f>
        <v>0.43069999999999997</v>
      </c>
      <c r="F4" s="202" t="s">
        <v>77</v>
      </c>
      <c r="G4" s="202" t="s">
        <v>605</v>
      </c>
      <c r="H4" s="202" t="s">
        <v>612</v>
      </c>
      <c r="L4" s="202">
        <v>285</v>
      </c>
      <c r="M4" s="69">
        <v>260.5</v>
      </c>
      <c r="N4" s="33">
        <f t="shared" si="1"/>
        <v>0.9140350877192982</v>
      </c>
      <c r="O4" s="92"/>
      <c r="P4" s="92"/>
      <c r="Q4" s="92"/>
      <c r="R4" s="92"/>
      <c r="S4" s="92"/>
      <c r="W4" s="202">
        <v>292</v>
      </c>
    </row>
    <row r="5" spans="1:24" s="202" customFormat="1" x14ac:dyDescent="0.15">
      <c r="A5" s="202" t="str">
        <f>B5&amp;IF(C5="","","_"&amp;C5)</f>
        <v>Trina Solar_TSM-DD14A(II) 340</v>
      </c>
      <c r="B5" s="202" t="s">
        <v>187</v>
      </c>
      <c r="C5" s="202" t="s">
        <v>608</v>
      </c>
      <c r="D5" s="439">
        <f t="shared" si="0"/>
        <v>146.43799999999999</v>
      </c>
      <c r="E5" s="438">
        <f>0.365*(1+ImportDutyOnPVPanels)</f>
        <v>0.43069999999999997</v>
      </c>
      <c r="F5" s="202" t="s">
        <v>77</v>
      </c>
      <c r="G5" s="202" t="s">
        <v>605</v>
      </c>
      <c r="H5" s="202" t="s">
        <v>612</v>
      </c>
      <c r="L5" s="202">
        <v>340</v>
      </c>
      <c r="M5" s="69">
        <v>306.2</v>
      </c>
      <c r="N5" s="33">
        <f t="shared" si="1"/>
        <v>0.90058823529411758</v>
      </c>
      <c r="O5" s="92"/>
      <c r="P5" s="92"/>
      <c r="Q5" s="92"/>
      <c r="R5" s="92"/>
      <c r="S5" s="92"/>
      <c r="W5" s="202">
        <v>292</v>
      </c>
    </row>
    <row r="6" spans="1:24" x14ac:dyDescent="0.15">
      <c r="A6" s="26" t="str">
        <f t="shared" ref="A6:A14" si="2">B6&amp;IF(C6="","","_"&amp;C6)</f>
        <v>Canadian Solar_CSK-P 275Wp</v>
      </c>
      <c r="B6" s="26" t="s">
        <v>188</v>
      </c>
      <c r="C6" s="26" t="s">
        <v>599</v>
      </c>
      <c r="D6" s="439">
        <f t="shared" si="0"/>
        <v>138.05000000000001</v>
      </c>
      <c r="E6" s="438">
        <v>0.502</v>
      </c>
      <c r="F6" s="26" t="s">
        <v>80</v>
      </c>
      <c r="G6" s="26" t="s">
        <v>81</v>
      </c>
      <c r="H6" s="202" t="s">
        <v>611</v>
      </c>
      <c r="L6" s="26">
        <v>275</v>
      </c>
      <c r="M6" s="69">
        <v>251.8</v>
      </c>
      <c r="N6" s="33">
        <f t="shared" si="1"/>
        <v>0.91563636363636369</v>
      </c>
      <c r="O6" s="92"/>
      <c r="P6" s="92"/>
      <c r="Q6" s="92"/>
      <c r="R6" s="92"/>
      <c r="S6" s="92"/>
      <c r="U6" s="26" t="s">
        <v>79</v>
      </c>
      <c r="V6" s="26" t="s">
        <v>177</v>
      </c>
      <c r="W6" s="26">
        <v>292</v>
      </c>
      <c r="X6" s="26">
        <v>132.30000000000001</v>
      </c>
    </row>
    <row r="7" spans="1:24" x14ac:dyDescent="0.15">
      <c r="A7" s="26" t="str">
        <f t="shared" si="2"/>
        <v>Canadian Solar_CS6U-320P</v>
      </c>
      <c r="B7" s="26" t="s">
        <v>188</v>
      </c>
      <c r="C7" s="26" t="s">
        <v>178</v>
      </c>
      <c r="D7" s="439">
        <f t="shared" si="0"/>
        <v>160.63999999999999</v>
      </c>
      <c r="E7" s="438">
        <v>0.502</v>
      </c>
      <c r="F7" s="26" t="s">
        <v>80</v>
      </c>
      <c r="G7" s="26" t="s">
        <v>81</v>
      </c>
      <c r="H7" s="202" t="s">
        <v>611</v>
      </c>
      <c r="L7" s="26">
        <v>320</v>
      </c>
      <c r="M7" s="69">
        <v>292.8</v>
      </c>
      <c r="N7" s="33">
        <f t="shared" si="1"/>
        <v>0.91500000000000004</v>
      </c>
      <c r="O7" s="92"/>
      <c r="P7" s="92"/>
      <c r="Q7" s="92"/>
      <c r="R7" s="92"/>
      <c r="S7" s="92"/>
      <c r="U7" s="26" t="s">
        <v>79</v>
      </c>
      <c r="V7" s="26" t="s">
        <v>178</v>
      </c>
      <c r="W7" s="26">
        <v>292</v>
      </c>
      <c r="X7" s="26">
        <v>156.80000000000001</v>
      </c>
    </row>
    <row r="8" spans="1:24" x14ac:dyDescent="0.15">
      <c r="A8" s="26" t="str">
        <f t="shared" si="2"/>
        <v>GCL System Integration Technology_GCL P6/270</v>
      </c>
      <c r="B8" s="26" t="s">
        <v>189</v>
      </c>
      <c r="C8" s="26" t="s">
        <v>600</v>
      </c>
      <c r="D8" s="439">
        <f t="shared" si="0"/>
        <v>109.91699999999999</v>
      </c>
      <c r="E8" s="438">
        <f>0.345*(1+ImportDutyOnPVPanels)</f>
        <v>0.40709999999999996</v>
      </c>
      <c r="F8" s="26" t="s">
        <v>80</v>
      </c>
      <c r="G8" s="26" t="s">
        <v>605</v>
      </c>
      <c r="H8" s="202" t="s">
        <v>611</v>
      </c>
      <c r="L8" s="26">
        <v>270</v>
      </c>
      <c r="M8" s="69">
        <v>244.4</v>
      </c>
      <c r="N8" s="33">
        <f t="shared" si="1"/>
        <v>0.9051851851851852</v>
      </c>
      <c r="O8" s="92"/>
      <c r="P8" s="92"/>
      <c r="Q8" s="92"/>
      <c r="R8" s="92"/>
      <c r="S8" s="92"/>
      <c r="U8" s="26" t="s">
        <v>82</v>
      </c>
      <c r="V8" s="26" t="s">
        <v>186</v>
      </c>
      <c r="W8" s="26">
        <v>292</v>
      </c>
      <c r="X8" s="26">
        <v>126.89999999999999</v>
      </c>
    </row>
    <row r="9" spans="1:24" x14ac:dyDescent="0.15">
      <c r="A9" s="26" t="str">
        <f t="shared" si="2"/>
        <v>GCL System Integration Technology_GCL P6/320</v>
      </c>
      <c r="B9" s="26" t="s">
        <v>189</v>
      </c>
      <c r="C9" s="68" t="s">
        <v>601</v>
      </c>
      <c r="D9" s="439">
        <f t="shared" si="0"/>
        <v>130.27199999999999</v>
      </c>
      <c r="E9" s="438">
        <f>0.345*(1+ImportDutyOnPVPanels)</f>
        <v>0.40709999999999996</v>
      </c>
      <c r="F9" s="26" t="s">
        <v>80</v>
      </c>
      <c r="G9" s="26" t="s">
        <v>605</v>
      </c>
      <c r="H9" s="202" t="s">
        <v>611</v>
      </c>
      <c r="L9" s="26">
        <v>320</v>
      </c>
      <c r="M9" s="69">
        <v>286.39999999999998</v>
      </c>
      <c r="N9" s="33">
        <f t="shared" si="1"/>
        <v>0.89499999999999991</v>
      </c>
      <c r="O9" s="64"/>
      <c r="P9" s="64"/>
      <c r="Q9" s="64"/>
      <c r="R9" s="64"/>
      <c r="S9" s="64"/>
      <c r="U9" s="26" t="s">
        <v>82</v>
      </c>
      <c r="V9" s="26" t="s">
        <v>185</v>
      </c>
      <c r="W9" s="26">
        <v>292</v>
      </c>
      <c r="X9" s="26">
        <v>150.39999999999998</v>
      </c>
    </row>
    <row r="10" spans="1:24" x14ac:dyDescent="0.15">
      <c r="A10" s="26" t="str">
        <f t="shared" si="2"/>
        <v>ET Solar_JKM270PP</v>
      </c>
      <c r="B10" s="26" t="s">
        <v>83</v>
      </c>
      <c r="C10" s="26" t="s">
        <v>602</v>
      </c>
      <c r="D10" s="439">
        <f t="shared" si="0"/>
        <v>116.28899999999999</v>
      </c>
      <c r="E10" s="438">
        <f>0.365*(1+ImportDutyOnPVPanels)</f>
        <v>0.43069999999999997</v>
      </c>
      <c r="F10" s="26" t="s">
        <v>80</v>
      </c>
      <c r="G10" s="26" t="s">
        <v>605</v>
      </c>
      <c r="H10" s="202" t="s">
        <v>611</v>
      </c>
      <c r="L10" s="26">
        <v>270</v>
      </c>
      <c r="M10" s="69">
        <v>240.8</v>
      </c>
      <c r="N10" s="33">
        <f t="shared" si="1"/>
        <v>0.8918518518518519</v>
      </c>
      <c r="R10" s="202"/>
      <c r="S10" s="202"/>
      <c r="U10" s="26" t="s">
        <v>83</v>
      </c>
      <c r="W10" s="26">
        <v>292</v>
      </c>
      <c r="X10" s="26">
        <v>0</v>
      </c>
    </row>
    <row r="11" spans="1:24" x14ac:dyDescent="0.15">
      <c r="A11" s="26" t="str">
        <f t="shared" si="2"/>
        <v>Recom_JKM320PP</v>
      </c>
      <c r="B11" s="26" t="s">
        <v>84</v>
      </c>
      <c r="C11" s="26" t="s">
        <v>603</v>
      </c>
      <c r="D11" s="439">
        <f t="shared" si="0"/>
        <v>137.82399999999998</v>
      </c>
      <c r="E11" s="438">
        <f>0.365*(1+ImportDutyOnPVPanels)</f>
        <v>0.43069999999999997</v>
      </c>
      <c r="F11" s="26" t="s">
        <v>80</v>
      </c>
      <c r="G11" s="26" t="s">
        <v>605</v>
      </c>
      <c r="H11" s="202" t="s">
        <v>611</v>
      </c>
      <c r="L11" s="26">
        <v>320</v>
      </c>
      <c r="M11" s="69">
        <v>290.10000000000002</v>
      </c>
      <c r="N11" s="33">
        <f t="shared" si="1"/>
        <v>0.90656250000000005</v>
      </c>
      <c r="R11" s="202"/>
      <c r="S11" s="202"/>
      <c r="U11" s="26" t="s">
        <v>84</v>
      </c>
      <c r="V11" s="26" t="s">
        <v>179</v>
      </c>
      <c r="W11" s="26">
        <v>292</v>
      </c>
      <c r="X11" s="26">
        <v>146.25</v>
      </c>
    </row>
    <row r="12" spans="1:24" x14ac:dyDescent="0.15">
      <c r="A12" s="26" t="str">
        <f t="shared" si="2"/>
        <v>Jinko_JKM325PP</v>
      </c>
      <c r="B12" s="26" t="s">
        <v>85</v>
      </c>
      <c r="C12" s="26" t="s">
        <v>604</v>
      </c>
      <c r="D12" s="439">
        <f t="shared" si="0"/>
        <v>139.97749999999999</v>
      </c>
      <c r="E12" s="438">
        <f>0.365*(1+ImportDutyOnPVPanels)</f>
        <v>0.43069999999999997</v>
      </c>
      <c r="F12" s="26" t="s">
        <v>80</v>
      </c>
      <c r="G12" s="26" t="s">
        <v>605</v>
      </c>
      <c r="H12" s="202" t="s">
        <v>611</v>
      </c>
      <c r="L12" s="26">
        <v>325</v>
      </c>
      <c r="M12" s="69">
        <v>298.10000000000002</v>
      </c>
      <c r="N12" s="33">
        <f t="shared" si="1"/>
        <v>0.91723076923076929</v>
      </c>
      <c r="R12" s="202"/>
      <c r="S12" s="202"/>
      <c r="U12" s="26" t="s">
        <v>85</v>
      </c>
      <c r="W12" s="26">
        <v>292</v>
      </c>
      <c r="X12" s="26">
        <v>0</v>
      </c>
    </row>
    <row r="13" spans="1:24" x14ac:dyDescent="0.15">
      <c r="A13" s="26" t="str">
        <f t="shared" si="2"/>
        <v>JA Solar</v>
      </c>
      <c r="B13" s="26" t="s">
        <v>86</v>
      </c>
      <c r="D13" s="439">
        <f t="shared" si="0"/>
        <v>0</v>
      </c>
      <c r="E13" s="438"/>
      <c r="F13" s="26" t="s">
        <v>80</v>
      </c>
      <c r="M13" s="69"/>
      <c r="N13" s="33" t="str">
        <f t="shared" si="1"/>
        <v>NaN</v>
      </c>
      <c r="R13" s="202"/>
      <c r="S13" s="202"/>
      <c r="U13" s="26" t="s">
        <v>86</v>
      </c>
      <c r="W13" s="26">
        <v>292</v>
      </c>
      <c r="X13" s="26">
        <v>0</v>
      </c>
    </row>
    <row r="14" spans="1:24" x14ac:dyDescent="0.15">
      <c r="A14" s="26" t="str">
        <f t="shared" si="2"/>
        <v>Sunpreme_SNPM-GxB-310 Bifacial</v>
      </c>
      <c r="B14" s="26" t="s">
        <v>190</v>
      </c>
      <c r="C14" s="26" t="s">
        <v>180</v>
      </c>
      <c r="D14" s="439">
        <f t="shared" si="0"/>
        <v>229.4</v>
      </c>
      <c r="E14" s="438">
        <v>0.74</v>
      </c>
      <c r="F14" s="26" t="s">
        <v>77</v>
      </c>
      <c r="H14" s="202" t="s">
        <v>612</v>
      </c>
      <c r="L14" s="26">
        <v>310</v>
      </c>
      <c r="M14" s="69">
        <v>292.5</v>
      </c>
      <c r="N14" s="33">
        <f t="shared" si="1"/>
        <v>0.94354838709677424</v>
      </c>
      <c r="R14" s="202"/>
      <c r="S14" s="202"/>
      <c r="U14" s="26" t="s">
        <v>87</v>
      </c>
      <c r="V14" s="26" t="s">
        <v>180</v>
      </c>
      <c r="W14" s="26">
        <v>292</v>
      </c>
      <c r="X14" s="26">
        <v>0</v>
      </c>
    </row>
    <row r="15" spans="1:24" x14ac:dyDescent="0.15">
      <c r="D15" s="29"/>
      <c r="E15" s="29"/>
    </row>
    <row r="16" spans="1:24" x14ac:dyDescent="0.15">
      <c r="A16" s="28" t="s">
        <v>130</v>
      </c>
      <c r="B16" s="28" t="s">
        <v>129</v>
      </c>
      <c r="C16" s="28" t="s">
        <v>75</v>
      </c>
      <c r="D16" s="27" t="s">
        <v>65</v>
      </c>
      <c r="E16" s="27" t="s">
        <v>71</v>
      </c>
      <c r="F16" s="28" t="s">
        <v>72</v>
      </c>
      <c r="G16" s="28" t="s">
        <v>73</v>
      </c>
      <c r="H16" s="203"/>
      <c r="I16" s="203"/>
      <c r="J16" s="28"/>
      <c r="K16" s="28"/>
      <c r="L16" s="31" t="s">
        <v>70</v>
      </c>
    </row>
    <row r="17" spans="1:21" x14ac:dyDescent="0.15">
      <c r="A17" s="26" t="str">
        <f>B17&amp;IF(C17="","","_"&amp;C17)</f>
        <v>Tigo_TS4-D</v>
      </c>
      <c r="B17" s="26" t="s">
        <v>88</v>
      </c>
      <c r="C17" s="26" t="s">
        <v>89</v>
      </c>
      <c r="D17" s="29">
        <v>0</v>
      </c>
      <c r="E17" s="438">
        <f>D17/L17</f>
        <v>0</v>
      </c>
      <c r="F17" s="26" t="s">
        <v>77</v>
      </c>
      <c r="G17" s="26" t="s">
        <v>90</v>
      </c>
      <c r="L17" s="26">
        <v>280</v>
      </c>
    </row>
    <row r="18" spans="1:21" x14ac:dyDescent="0.15">
      <c r="A18" s="26" t="str">
        <f>B18&amp;IF(C18="","","_"&amp;C18)</f>
        <v>Tigo_TS4-M</v>
      </c>
      <c r="B18" s="26" t="s">
        <v>88</v>
      </c>
      <c r="C18" s="26" t="s">
        <v>91</v>
      </c>
      <c r="D18" s="29">
        <v>16</v>
      </c>
      <c r="E18" s="438">
        <f>D18/L18</f>
        <v>5.7142857142857141E-2</v>
      </c>
      <c r="F18" s="26" t="s">
        <v>77</v>
      </c>
      <c r="G18" s="26" t="s">
        <v>92</v>
      </c>
      <c r="L18" s="26">
        <v>280</v>
      </c>
    </row>
    <row r="19" spans="1:21" x14ac:dyDescent="0.15">
      <c r="A19" s="26" t="str">
        <f>B19&amp;IF(C19="","","_"&amp;C19)</f>
        <v>Tigo_TS4-S</v>
      </c>
      <c r="B19" s="26" t="s">
        <v>88</v>
      </c>
      <c r="C19" s="26" t="s">
        <v>93</v>
      </c>
      <c r="D19" s="29">
        <v>26.88</v>
      </c>
      <c r="E19" s="438">
        <f>D19/L19</f>
        <v>9.6000000000000002E-2</v>
      </c>
      <c r="F19" s="26" t="s">
        <v>77</v>
      </c>
      <c r="G19" s="26" t="s">
        <v>94</v>
      </c>
      <c r="L19" s="26">
        <v>280</v>
      </c>
    </row>
    <row r="20" spans="1:21" x14ac:dyDescent="0.15">
      <c r="A20" s="26" t="str">
        <f>B20&amp;IF(C20="","","_"&amp;C20)</f>
        <v>Tigo_TS4-O</v>
      </c>
      <c r="B20" s="26" t="s">
        <v>88</v>
      </c>
      <c r="C20" s="26" t="s">
        <v>95</v>
      </c>
      <c r="D20" s="29">
        <v>34.56</v>
      </c>
      <c r="E20" s="438">
        <f>D20/L20</f>
        <v>0.12342857142857144</v>
      </c>
      <c r="F20" s="26" t="s">
        <v>77</v>
      </c>
      <c r="G20" s="26" t="s">
        <v>96</v>
      </c>
      <c r="L20" s="26">
        <v>280</v>
      </c>
    </row>
    <row r="21" spans="1:21" x14ac:dyDescent="0.15">
      <c r="A21" s="26" t="str">
        <f>B21&amp;IF(C21="","","_"&amp;C21)</f>
        <v>Tigo_TS4-L</v>
      </c>
      <c r="B21" s="26" t="s">
        <v>88</v>
      </c>
      <c r="C21" s="26" t="s">
        <v>97</v>
      </c>
      <c r="D21" s="29">
        <v>41.6</v>
      </c>
      <c r="E21" s="438">
        <f>D21/L21</f>
        <v>0.14857142857142858</v>
      </c>
      <c r="F21" s="26" t="s">
        <v>77</v>
      </c>
      <c r="G21" s="26" t="s">
        <v>98</v>
      </c>
      <c r="L21" s="26">
        <v>280</v>
      </c>
      <c r="S21" s="202"/>
      <c r="T21" s="202"/>
    </row>
    <row r="22" spans="1:21" x14ac:dyDescent="0.15">
      <c r="D22" s="29"/>
      <c r="E22" s="30"/>
      <c r="J22" s="202"/>
      <c r="K22" s="202" t="s">
        <v>226</v>
      </c>
      <c r="L22" s="202" t="s">
        <v>227</v>
      </c>
      <c r="S22" s="202"/>
      <c r="T22" s="202"/>
    </row>
    <row r="23" spans="1:21" x14ac:dyDescent="0.15">
      <c r="A23" s="28" t="s">
        <v>3</v>
      </c>
      <c r="B23" s="28" t="s">
        <v>129</v>
      </c>
      <c r="C23" s="28" t="s">
        <v>75</v>
      </c>
      <c r="D23" s="27" t="s">
        <v>65</v>
      </c>
      <c r="E23" s="27" t="s">
        <v>71</v>
      </c>
      <c r="F23" s="28" t="s">
        <v>72</v>
      </c>
      <c r="G23" s="28" t="s">
        <v>73</v>
      </c>
      <c r="H23" s="203" t="s">
        <v>240</v>
      </c>
      <c r="I23" s="203" t="s">
        <v>238</v>
      </c>
      <c r="J23" s="204" t="s">
        <v>228</v>
      </c>
      <c r="K23" s="204" t="s">
        <v>229</v>
      </c>
      <c r="L23" s="204" t="s">
        <v>230</v>
      </c>
      <c r="M23" s="28" t="s">
        <v>142</v>
      </c>
      <c r="N23" s="203" t="s">
        <v>231</v>
      </c>
      <c r="O23" s="203" t="s">
        <v>798</v>
      </c>
      <c r="S23" s="202"/>
      <c r="T23" s="202"/>
    </row>
    <row r="24" spans="1:21" x14ac:dyDescent="0.15">
      <c r="A24" s="26" t="s">
        <v>911</v>
      </c>
      <c r="B24" s="26" t="s">
        <v>701</v>
      </c>
      <c r="C24" s="26" t="s">
        <v>702</v>
      </c>
      <c r="D24" s="29">
        <v>173.33</v>
      </c>
      <c r="E24" s="438">
        <f>D24/L24</f>
        <v>0.28888333333333338</v>
      </c>
      <c r="F24" s="26" t="s">
        <v>80</v>
      </c>
      <c r="G24" s="26" t="s">
        <v>778</v>
      </c>
      <c r="H24" s="202">
        <v>1</v>
      </c>
      <c r="I24" s="202" t="s">
        <v>239</v>
      </c>
      <c r="J24" s="201">
        <v>500</v>
      </c>
      <c r="K24" s="201">
        <f>J24*0.8</f>
        <v>400</v>
      </c>
      <c r="L24" s="201">
        <f>J24*1.2</f>
        <v>600</v>
      </c>
      <c r="M24" s="33">
        <v>0.95</v>
      </c>
      <c r="N24" s="448">
        <f>L24/J24</f>
        <v>1.2</v>
      </c>
      <c r="O24" s="69">
        <v>0.5</v>
      </c>
      <c r="P24" s="202">
        <v>1</v>
      </c>
      <c r="Q24" s="202">
        <f>IFERROR(MATCH(P24,H:H,0),0)</f>
        <v>24</v>
      </c>
      <c r="R24" s="26" t="str">
        <f>"Components!A"&amp;Q24&amp;":A"&amp;Q26-1</f>
        <v>Components!A24:A65</v>
      </c>
      <c r="S24" s="202"/>
      <c r="T24" s="202"/>
      <c r="U24" s="201"/>
    </row>
    <row r="25" spans="1:21" x14ac:dyDescent="0.15">
      <c r="A25" s="26" t="s">
        <v>912</v>
      </c>
      <c r="B25" s="26" t="s">
        <v>99</v>
      </c>
      <c r="C25" s="26" t="s">
        <v>703</v>
      </c>
      <c r="D25" s="29">
        <v>85.12</v>
      </c>
      <c r="E25" s="438">
        <f t="shared" ref="E25:E88" si="3">D25/L25</f>
        <v>0.25793939393939397</v>
      </c>
      <c r="F25" s="26" t="s">
        <v>77</v>
      </c>
      <c r="H25" s="202">
        <v>1</v>
      </c>
      <c r="I25" s="202" t="s">
        <v>239</v>
      </c>
      <c r="J25" s="201">
        <v>275</v>
      </c>
      <c r="K25" s="201">
        <f t="shared" ref="K25:K88" si="4">J25*0.8</f>
        <v>220</v>
      </c>
      <c r="L25" s="201">
        <f>J25*1.2</f>
        <v>330</v>
      </c>
      <c r="M25" s="33">
        <v>0.96499999999999997</v>
      </c>
      <c r="N25" s="448">
        <f t="shared" ref="N25:N88" si="5">L25/J25</f>
        <v>1.2</v>
      </c>
      <c r="O25" s="69">
        <v>1</v>
      </c>
      <c r="P25" s="202">
        <v>2</v>
      </c>
      <c r="Q25" s="202">
        <f>IFERROR(MATCH(P25,H:H,0),0)</f>
        <v>0</v>
      </c>
      <c r="R25" s="202" t="str">
        <f>R24</f>
        <v>Components!A24:A65</v>
      </c>
      <c r="S25" s="202"/>
      <c r="T25" s="202"/>
      <c r="U25" s="201"/>
    </row>
    <row r="26" spans="1:21" x14ac:dyDescent="0.15">
      <c r="A26" s="26" t="s">
        <v>913</v>
      </c>
      <c r="B26" s="26" t="s">
        <v>704</v>
      </c>
      <c r="C26" s="26" t="s">
        <v>705</v>
      </c>
      <c r="D26" s="29">
        <v>955.79</v>
      </c>
      <c r="E26" s="438">
        <f t="shared" si="3"/>
        <v>0.41556086956521737</v>
      </c>
      <c r="F26" s="26" t="s">
        <v>77</v>
      </c>
      <c r="G26" s="26" t="s">
        <v>779</v>
      </c>
      <c r="H26" s="202">
        <v>1</v>
      </c>
      <c r="I26" s="202" t="s">
        <v>772</v>
      </c>
      <c r="J26" s="201">
        <v>2100</v>
      </c>
      <c r="K26" s="201">
        <f t="shared" si="4"/>
        <v>1680</v>
      </c>
      <c r="L26" s="201">
        <v>2300</v>
      </c>
      <c r="M26" s="33">
        <v>0.95099999999999996</v>
      </c>
      <c r="N26" s="448">
        <f t="shared" si="5"/>
        <v>1.0952380952380953</v>
      </c>
      <c r="O26" s="69">
        <v>0</v>
      </c>
      <c r="P26" s="202">
        <v>3</v>
      </c>
      <c r="Q26" s="202">
        <f>IFERROR(MATCH(P26,H:H,0),0)</f>
        <v>66</v>
      </c>
      <c r="R26" s="202" t="str">
        <f>"Components!A"&amp;Q26&amp;":A"&amp;Q27-1</f>
        <v>Components!A66:A94</v>
      </c>
      <c r="S26" s="202"/>
      <c r="T26" s="202"/>
      <c r="U26" s="201"/>
    </row>
    <row r="27" spans="1:21" x14ac:dyDescent="0.15">
      <c r="A27" s="26" t="s">
        <v>914</v>
      </c>
      <c r="B27" s="26" t="s">
        <v>704</v>
      </c>
      <c r="C27" s="26" t="s">
        <v>706</v>
      </c>
      <c r="D27" s="29">
        <v>1026.05</v>
      </c>
      <c r="E27" s="438">
        <f t="shared" si="3"/>
        <v>0.35381034482758617</v>
      </c>
      <c r="F27" s="26" t="s">
        <v>77</v>
      </c>
      <c r="G27" s="26" t="s">
        <v>779</v>
      </c>
      <c r="H27" s="202">
        <v>1</v>
      </c>
      <c r="I27" s="202" t="s">
        <v>772</v>
      </c>
      <c r="J27" s="201">
        <v>2600</v>
      </c>
      <c r="K27" s="201">
        <f t="shared" si="4"/>
        <v>2080</v>
      </c>
      <c r="L27" s="201">
        <v>2900</v>
      </c>
      <c r="M27" s="33">
        <v>0.95399999999999996</v>
      </c>
      <c r="N27" s="448">
        <f t="shared" si="5"/>
        <v>1.1153846153846154</v>
      </c>
      <c r="O27" s="69">
        <v>0</v>
      </c>
      <c r="Q27" s="202">
        <f>COUNTIF(H:H,P26)+Q26</f>
        <v>95</v>
      </c>
      <c r="S27" s="202"/>
      <c r="T27" s="202"/>
      <c r="U27" s="201"/>
    </row>
    <row r="28" spans="1:21" x14ac:dyDescent="0.15">
      <c r="A28" s="26" t="s">
        <v>915</v>
      </c>
      <c r="B28" s="26" t="s">
        <v>704</v>
      </c>
      <c r="C28" s="26" t="s">
        <v>707</v>
      </c>
      <c r="D28" s="29">
        <v>882</v>
      </c>
      <c r="E28" s="438">
        <f t="shared" si="3"/>
        <v>0.23519999999999999</v>
      </c>
      <c r="F28" s="26" t="s">
        <v>77</v>
      </c>
      <c r="G28" s="26" t="s">
        <v>780</v>
      </c>
      <c r="H28" s="202">
        <v>1</v>
      </c>
      <c r="I28" s="202" t="s">
        <v>772</v>
      </c>
      <c r="J28" s="201">
        <v>3000</v>
      </c>
      <c r="K28" s="201">
        <f t="shared" si="4"/>
        <v>2400</v>
      </c>
      <c r="L28" s="201">
        <f t="shared" ref="L28:L47" si="6">J28*1.25</f>
        <v>3750</v>
      </c>
      <c r="M28" s="33">
        <v>0.96</v>
      </c>
      <c r="N28" s="448">
        <f t="shared" si="5"/>
        <v>1.25</v>
      </c>
      <c r="O28" s="69">
        <v>0</v>
      </c>
      <c r="S28" s="202"/>
      <c r="T28" s="202"/>
      <c r="U28" s="201"/>
    </row>
    <row r="29" spans="1:21" x14ac:dyDescent="0.15">
      <c r="A29" s="26" t="s">
        <v>915</v>
      </c>
      <c r="B29" s="26" t="s">
        <v>704</v>
      </c>
      <c r="C29" s="26" t="s">
        <v>707</v>
      </c>
      <c r="D29" s="29">
        <v>972.51</v>
      </c>
      <c r="E29" s="438">
        <f t="shared" si="3"/>
        <v>0.25933600000000001</v>
      </c>
      <c r="F29" s="26" t="s">
        <v>77</v>
      </c>
      <c r="G29" s="26" t="s">
        <v>781</v>
      </c>
      <c r="H29" s="202">
        <v>1</v>
      </c>
      <c r="I29" s="202" t="s">
        <v>772</v>
      </c>
      <c r="J29" s="201">
        <v>3000</v>
      </c>
      <c r="K29" s="201">
        <f t="shared" si="4"/>
        <v>2400</v>
      </c>
      <c r="L29" s="201">
        <f t="shared" si="6"/>
        <v>3750</v>
      </c>
      <c r="M29" s="33">
        <v>0.96</v>
      </c>
      <c r="N29" s="448">
        <f t="shared" si="5"/>
        <v>1.25</v>
      </c>
      <c r="O29" s="69">
        <v>0</v>
      </c>
      <c r="S29" s="202"/>
      <c r="T29" s="202"/>
      <c r="U29" s="201"/>
    </row>
    <row r="30" spans="1:21" x14ac:dyDescent="0.15">
      <c r="A30" s="26" t="s">
        <v>916</v>
      </c>
      <c r="B30" s="26" t="s">
        <v>704</v>
      </c>
      <c r="C30" s="26" t="s">
        <v>708</v>
      </c>
      <c r="D30" s="29">
        <v>1079.58</v>
      </c>
      <c r="E30" s="438">
        <f t="shared" si="3"/>
        <v>0.23990666666666666</v>
      </c>
      <c r="F30" s="26" t="s">
        <v>77</v>
      </c>
      <c r="G30" s="26" t="s">
        <v>782</v>
      </c>
      <c r="H30" s="202">
        <v>1</v>
      </c>
      <c r="I30" s="202" t="s">
        <v>772</v>
      </c>
      <c r="J30" s="201">
        <v>3600</v>
      </c>
      <c r="K30" s="201">
        <f t="shared" si="4"/>
        <v>2880</v>
      </c>
      <c r="L30" s="201">
        <f t="shared" si="6"/>
        <v>4500</v>
      </c>
      <c r="M30" s="33">
        <v>0.96</v>
      </c>
      <c r="N30" s="448">
        <f t="shared" si="5"/>
        <v>1.25</v>
      </c>
      <c r="O30" s="69">
        <v>0</v>
      </c>
      <c r="S30" s="202"/>
      <c r="T30" s="202"/>
      <c r="U30" s="201"/>
    </row>
    <row r="31" spans="1:21" x14ac:dyDescent="0.15">
      <c r="A31" s="26" t="s">
        <v>917</v>
      </c>
      <c r="B31" s="26" t="s">
        <v>704</v>
      </c>
      <c r="C31" s="26" t="s">
        <v>709</v>
      </c>
      <c r="D31" s="29">
        <v>1113.04</v>
      </c>
      <c r="E31" s="438">
        <f t="shared" si="3"/>
        <v>0.23432421052631577</v>
      </c>
      <c r="F31" s="26" t="s">
        <v>77</v>
      </c>
      <c r="G31" s="26" t="s">
        <v>783</v>
      </c>
      <c r="H31" s="202">
        <v>1</v>
      </c>
      <c r="I31" s="202" t="s">
        <v>772</v>
      </c>
      <c r="J31" s="201">
        <v>3800</v>
      </c>
      <c r="K31" s="201">
        <f t="shared" si="4"/>
        <v>3040</v>
      </c>
      <c r="L31" s="201">
        <f t="shared" si="6"/>
        <v>4750</v>
      </c>
      <c r="M31" s="33">
        <v>0.96</v>
      </c>
      <c r="N31" s="448">
        <f t="shared" si="5"/>
        <v>1.25</v>
      </c>
      <c r="O31" s="69">
        <v>0</v>
      </c>
      <c r="S31" s="202"/>
      <c r="T31" s="202"/>
      <c r="U31" s="201"/>
    </row>
    <row r="32" spans="1:21" s="68" customFormat="1" x14ac:dyDescent="0.15">
      <c r="A32" s="68" t="s">
        <v>918</v>
      </c>
      <c r="B32" s="68" t="s">
        <v>704</v>
      </c>
      <c r="C32" s="68" t="s">
        <v>710</v>
      </c>
      <c r="D32" s="29">
        <v>1176.6099999999999</v>
      </c>
      <c r="E32" s="438">
        <f t="shared" si="3"/>
        <v>0.22411619047619047</v>
      </c>
      <c r="F32" s="68" t="s">
        <v>77</v>
      </c>
      <c r="G32" s="68" t="s">
        <v>784</v>
      </c>
      <c r="H32" s="202">
        <v>1</v>
      </c>
      <c r="I32" s="202" t="s">
        <v>772</v>
      </c>
      <c r="J32" s="201">
        <v>4200</v>
      </c>
      <c r="K32" s="201">
        <f t="shared" si="4"/>
        <v>3360</v>
      </c>
      <c r="L32" s="201">
        <f t="shared" si="6"/>
        <v>5250</v>
      </c>
      <c r="M32" s="33">
        <v>0.96</v>
      </c>
      <c r="N32" s="448">
        <f t="shared" si="5"/>
        <v>1.25</v>
      </c>
      <c r="O32" s="69">
        <v>0</v>
      </c>
      <c r="P32" s="202"/>
      <c r="Q32" s="202"/>
      <c r="S32" s="202"/>
      <c r="T32" s="202"/>
      <c r="U32" s="201"/>
    </row>
    <row r="33" spans="1:21" s="68" customFormat="1" x14ac:dyDescent="0.15">
      <c r="A33" s="68" t="s">
        <v>919</v>
      </c>
      <c r="B33" s="68" t="s">
        <v>704</v>
      </c>
      <c r="C33" s="68" t="s">
        <v>711</v>
      </c>
      <c r="D33" s="29">
        <v>1365.65</v>
      </c>
      <c r="E33" s="438">
        <f t="shared" si="3"/>
        <v>0.218504</v>
      </c>
      <c r="F33" s="68" t="s">
        <v>77</v>
      </c>
      <c r="G33" s="68" t="s">
        <v>785</v>
      </c>
      <c r="H33" s="202">
        <v>1</v>
      </c>
      <c r="I33" s="202" t="s">
        <v>772</v>
      </c>
      <c r="J33" s="201">
        <v>5000</v>
      </c>
      <c r="K33" s="201">
        <f t="shared" si="4"/>
        <v>4000</v>
      </c>
      <c r="L33" s="201">
        <f t="shared" si="6"/>
        <v>6250</v>
      </c>
      <c r="M33" s="33">
        <v>0.96499999999999997</v>
      </c>
      <c r="N33" s="448">
        <f t="shared" si="5"/>
        <v>1.25</v>
      </c>
      <c r="O33" s="69">
        <v>0</v>
      </c>
      <c r="P33" s="202"/>
      <c r="Q33" s="202"/>
      <c r="S33" s="202"/>
      <c r="T33" s="202"/>
      <c r="U33" s="201"/>
    </row>
    <row r="34" spans="1:21" s="68" customFormat="1" x14ac:dyDescent="0.15">
      <c r="A34" s="68" t="s">
        <v>920</v>
      </c>
      <c r="B34" s="68" t="s">
        <v>704</v>
      </c>
      <c r="C34" s="68" t="s">
        <v>712</v>
      </c>
      <c r="D34" s="29">
        <v>1513.42</v>
      </c>
      <c r="E34" s="438">
        <f t="shared" si="3"/>
        <v>0.20178933333333335</v>
      </c>
      <c r="F34" s="68" t="s">
        <v>77</v>
      </c>
      <c r="G34" s="68" t="s">
        <v>786</v>
      </c>
      <c r="H34" s="202">
        <v>1</v>
      </c>
      <c r="I34" s="202" t="s">
        <v>772</v>
      </c>
      <c r="J34" s="201">
        <v>6000</v>
      </c>
      <c r="K34" s="201">
        <f t="shared" si="4"/>
        <v>4800</v>
      </c>
      <c r="L34" s="201">
        <f t="shared" si="6"/>
        <v>7500</v>
      </c>
      <c r="M34" s="33">
        <v>0.96499999999999997</v>
      </c>
      <c r="N34" s="448">
        <f t="shared" si="5"/>
        <v>1.25</v>
      </c>
      <c r="O34" s="69">
        <v>0</v>
      </c>
      <c r="P34" s="202"/>
      <c r="Q34" s="202"/>
      <c r="S34" s="202"/>
      <c r="T34" s="202"/>
      <c r="U34" s="201"/>
    </row>
    <row r="35" spans="1:21" s="68" customFormat="1" x14ac:dyDescent="0.15">
      <c r="A35" s="68" t="s">
        <v>921</v>
      </c>
      <c r="B35" s="68" t="s">
        <v>713</v>
      </c>
      <c r="C35" s="68" t="s">
        <v>714</v>
      </c>
      <c r="D35" s="29">
        <v>1079.8599999999999</v>
      </c>
      <c r="E35" s="438">
        <f t="shared" si="3"/>
        <v>0.57592533333333329</v>
      </c>
      <c r="F35" s="68" t="s">
        <v>80</v>
      </c>
      <c r="G35" s="68" t="s">
        <v>787</v>
      </c>
      <c r="H35" s="202">
        <v>1</v>
      </c>
      <c r="I35" s="202" t="s">
        <v>773</v>
      </c>
      <c r="J35" s="201">
        <v>1500</v>
      </c>
      <c r="K35" s="201">
        <f t="shared" si="4"/>
        <v>1200</v>
      </c>
      <c r="L35" s="201">
        <f t="shared" si="6"/>
        <v>1875</v>
      </c>
      <c r="M35" s="33">
        <v>0.94499999999999995</v>
      </c>
      <c r="N35" s="448">
        <f t="shared" si="5"/>
        <v>1.25</v>
      </c>
      <c r="O35" s="69">
        <v>0</v>
      </c>
      <c r="P35" s="202"/>
      <c r="Q35" s="202"/>
      <c r="S35" s="202"/>
      <c r="T35" s="202"/>
      <c r="U35" s="201"/>
    </row>
    <row r="36" spans="1:21" s="68" customFormat="1" x14ac:dyDescent="0.15">
      <c r="A36" s="68" t="s">
        <v>922</v>
      </c>
      <c r="B36" s="68" t="s">
        <v>713</v>
      </c>
      <c r="C36" s="68" t="s">
        <v>715</v>
      </c>
      <c r="D36" s="29">
        <v>1165.26</v>
      </c>
      <c r="E36" s="438">
        <f t="shared" si="3"/>
        <v>0.46610400000000002</v>
      </c>
      <c r="F36" s="68" t="s">
        <v>80</v>
      </c>
      <c r="G36" s="68" t="s">
        <v>787</v>
      </c>
      <c r="H36" s="202">
        <v>1</v>
      </c>
      <c r="I36" s="202" t="s">
        <v>773</v>
      </c>
      <c r="J36" s="201">
        <v>2000</v>
      </c>
      <c r="K36" s="201">
        <f t="shared" si="4"/>
        <v>1600</v>
      </c>
      <c r="L36" s="201">
        <f t="shared" si="6"/>
        <v>2500</v>
      </c>
      <c r="M36" s="33">
        <v>0.94499999999999995</v>
      </c>
      <c r="N36" s="448">
        <f t="shared" si="5"/>
        <v>1.25</v>
      </c>
      <c r="O36" s="69">
        <v>0</v>
      </c>
      <c r="P36" s="202"/>
      <c r="Q36" s="202"/>
      <c r="S36" s="202"/>
      <c r="T36" s="202"/>
      <c r="U36" s="201"/>
    </row>
    <row r="37" spans="1:21" s="68" customFormat="1" x14ac:dyDescent="0.15">
      <c r="A37" s="68" t="s">
        <v>923</v>
      </c>
      <c r="B37" s="68" t="s">
        <v>713</v>
      </c>
      <c r="C37" s="68" t="s">
        <v>716</v>
      </c>
      <c r="D37" s="29">
        <v>1189.51</v>
      </c>
      <c r="E37" s="438">
        <f t="shared" si="3"/>
        <v>0.38064320000000001</v>
      </c>
      <c r="F37" s="68" t="s">
        <v>80</v>
      </c>
      <c r="G37" s="68" t="s">
        <v>787</v>
      </c>
      <c r="H37" s="202">
        <v>1</v>
      </c>
      <c r="I37" s="202" t="s">
        <v>773</v>
      </c>
      <c r="J37" s="201">
        <v>2500</v>
      </c>
      <c r="K37" s="201">
        <f t="shared" si="4"/>
        <v>2000</v>
      </c>
      <c r="L37" s="201">
        <f t="shared" si="6"/>
        <v>3125</v>
      </c>
      <c r="M37" s="33">
        <v>0.95</v>
      </c>
      <c r="N37" s="448">
        <f t="shared" si="5"/>
        <v>1.25</v>
      </c>
      <c r="O37" s="69">
        <v>0</v>
      </c>
      <c r="P37" s="202"/>
      <c r="Q37" s="202"/>
      <c r="S37" s="202"/>
      <c r="T37" s="202"/>
      <c r="U37" s="201"/>
    </row>
    <row r="38" spans="1:21" s="68" customFormat="1" x14ac:dyDescent="0.15">
      <c r="A38" s="68" t="s">
        <v>924</v>
      </c>
      <c r="B38" s="68" t="s">
        <v>713</v>
      </c>
      <c r="C38" s="68" t="s">
        <v>717</v>
      </c>
      <c r="D38" s="29">
        <v>1275.26</v>
      </c>
      <c r="E38" s="438">
        <f t="shared" si="3"/>
        <v>0.32909935483870967</v>
      </c>
      <c r="F38" s="68" t="s">
        <v>80</v>
      </c>
      <c r="G38" s="68" t="s">
        <v>787</v>
      </c>
      <c r="H38" s="202">
        <v>1</v>
      </c>
      <c r="I38" s="202" t="s">
        <v>773</v>
      </c>
      <c r="J38" s="201">
        <v>3100</v>
      </c>
      <c r="K38" s="201">
        <f t="shared" si="4"/>
        <v>2480</v>
      </c>
      <c r="L38" s="201">
        <f t="shared" si="6"/>
        <v>3875</v>
      </c>
      <c r="M38" s="33">
        <v>0.95</v>
      </c>
      <c r="N38" s="448">
        <f t="shared" si="5"/>
        <v>1.25</v>
      </c>
      <c r="O38" s="69">
        <v>0</v>
      </c>
      <c r="P38" s="202"/>
      <c r="Q38" s="202"/>
      <c r="S38" s="202"/>
      <c r="T38" s="202"/>
      <c r="U38" s="201"/>
    </row>
    <row r="39" spans="1:21" s="68" customFormat="1" x14ac:dyDescent="0.15">
      <c r="A39" s="68" t="s">
        <v>925</v>
      </c>
      <c r="B39" s="68" t="s">
        <v>713</v>
      </c>
      <c r="C39" s="68" t="s">
        <v>718</v>
      </c>
      <c r="D39" s="29">
        <v>1168.46</v>
      </c>
      <c r="E39" s="438">
        <f t="shared" si="3"/>
        <v>0.24599157894736842</v>
      </c>
      <c r="F39" s="68" t="s">
        <v>80</v>
      </c>
      <c r="G39" s="68" t="s">
        <v>235</v>
      </c>
      <c r="H39" s="202">
        <v>1</v>
      </c>
      <c r="I39" s="202" t="s">
        <v>773</v>
      </c>
      <c r="J39" s="201">
        <v>3800</v>
      </c>
      <c r="K39" s="201">
        <f t="shared" si="4"/>
        <v>3040</v>
      </c>
      <c r="L39" s="201">
        <f t="shared" si="6"/>
        <v>4750</v>
      </c>
      <c r="M39" s="33">
        <v>0.95</v>
      </c>
      <c r="N39" s="448">
        <f t="shared" si="5"/>
        <v>1.25</v>
      </c>
      <c r="O39" s="69">
        <v>0</v>
      </c>
      <c r="P39" s="202"/>
      <c r="Q39" s="202"/>
      <c r="S39" s="202"/>
      <c r="T39" s="202"/>
      <c r="U39" s="201"/>
    </row>
    <row r="40" spans="1:21" s="68" customFormat="1" x14ac:dyDescent="0.15">
      <c r="A40" s="68" t="s">
        <v>926</v>
      </c>
      <c r="B40" s="68" t="s">
        <v>713</v>
      </c>
      <c r="C40" s="68" t="s">
        <v>719</v>
      </c>
      <c r="D40" s="29">
        <v>1339.57</v>
      </c>
      <c r="E40" s="438">
        <f t="shared" si="3"/>
        <v>0.2143312</v>
      </c>
      <c r="F40" s="68" t="s">
        <v>80</v>
      </c>
      <c r="G40" s="68" t="s">
        <v>235</v>
      </c>
      <c r="H40" s="202">
        <v>1</v>
      </c>
      <c r="I40" s="202" t="s">
        <v>773</v>
      </c>
      <c r="J40" s="201">
        <v>5000</v>
      </c>
      <c r="K40" s="201">
        <f t="shared" si="4"/>
        <v>4000</v>
      </c>
      <c r="L40" s="201">
        <f t="shared" si="6"/>
        <v>6250</v>
      </c>
      <c r="M40" s="33">
        <v>0.95499999999999996</v>
      </c>
      <c r="N40" s="448">
        <f t="shared" si="5"/>
        <v>1.25</v>
      </c>
      <c r="O40" s="69">
        <v>0</v>
      </c>
      <c r="P40" s="202"/>
      <c r="Q40" s="202"/>
      <c r="S40" s="202"/>
      <c r="T40" s="202"/>
      <c r="U40" s="201"/>
    </row>
    <row r="41" spans="1:21" x14ac:dyDescent="0.15">
      <c r="A41" s="26" t="s">
        <v>927</v>
      </c>
      <c r="B41" s="26" t="s">
        <v>713</v>
      </c>
      <c r="C41" s="26" t="s">
        <v>720</v>
      </c>
      <c r="D41" s="29">
        <v>1488.18</v>
      </c>
      <c r="E41" s="438">
        <f t="shared" si="3"/>
        <v>0.19842400000000002</v>
      </c>
      <c r="F41" s="26" t="s">
        <v>80</v>
      </c>
      <c r="G41" s="26" t="s">
        <v>235</v>
      </c>
      <c r="H41" s="202">
        <v>1</v>
      </c>
      <c r="I41" s="202" t="s">
        <v>773</v>
      </c>
      <c r="J41" s="201">
        <v>6000</v>
      </c>
      <c r="K41" s="201">
        <f t="shared" si="4"/>
        <v>4800</v>
      </c>
      <c r="L41" s="201">
        <f t="shared" si="6"/>
        <v>7500</v>
      </c>
      <c r="M41" s="33">
        <v>0.96</v>
      </c>
      <c r="N41" s="448">
        <f t="shared" si="5"/>
        <v>1.25</v>
      </c>
      <c r="O41" s="69">
        <v>0</v>
      </c>
      <c r="S41" s="202"/>
      <c r="T41" s="202"/>
      <c r="U41" s="201"/>
    </row>
    <row r="42" spans="1:21" x14ac:dyDescent="0.15">
      <c r="A42" s="26" t="s">
        <v>928</v>
      </c>
      <c r="B42" s="26" t="s">
        <v>713</v>
      </c>
      <c r="C42" s="26" t="s">
        <v>721</v>
      </c>
      <c r="D42" s="29">
        <v>1757.06</v>
      </c>
      <c r="E42" s="438">
        <f t="shared" si="3"/>
        <v>0.1849536842105263</v>
      </c>
      <c r="F42" s="26" t="s">
        <v>80</v>
      </c>
      <c r="G42" s="68" t="s">
        <v>235</v>
      </c>
      <c r="H42" s="202">
        <v>1</v>
      </c>
      <c r="I42" s="202" t="s">
        <v>773</v>
      </c>
      <c r="J42" s="201">
        <v>7600</v>
      </c>
      <c r="K42" s="201">
        <f t="shared" si="4"/>
        <v>6080</v>
      </c>
      <c r="L42" s="201">
        <f t="shared" si="6"/>
        <v>9500</v>
      </c>
      <c r="M42" s="33">
        <v>0.96</v>
      </c>
      <c r="N42" s="448">
        <f t="shared" si="5"/>
        <v>1.25</v>
      </c>
      <c r="O42" s="69">
        <v>0</v>
      </c>
      <c r="S42" s="202"/>
      <c r="T42" s="202"/>
      <c r="U42" s="201"/>
    </row>
    <row r="43" spans="1:21" x14ac:dyDescent="0.15">
      <c r="A43" s="26" t="s">
        <v>929</v>
      </c>
      <c r="B43" s="26" t="s">
        <v>713</v>
      </c>
      <c r="C43" s="26" t="s">
        <v>722</v>
      </c>
      <c r="D43" s="29">
        <v>1862.88</v>
      </c>
      <c r="E43" s="438">
        <f t="shared" si="3"/>
        <v>0.18174439024390246</v>
      </c>
      <c r="F43" s="26" t="s">
        <v>80</v>
      </c>
      <c r="G43" s="68" t="s">
        <v>235</v>
      </c>
      <c r="H43" s="202">
        <v>1</v>
      </c>
      <c r="I43" s="202" t="s">
        <v>773</v>
      </c>
      <c r="J43" s="201">
        <v>8200</v>
      </c>
      <c r="K43" s="201">
        <f t="shared" si="4"/>
        <v>6560</v>
      </c>
      <c r="L43" s="201">
        <f t="shared" si="6"/>
        <v>10250</v>
      </c>
      <c r="M43" s="33">
        <v>0.96499999999999997</v>
      </c>
      <c r="N43" s="448">
        <f t="shared" si="5"/>
        <v>1.25</v>
      </c>
      <c r="O43" s="69">
        <v>0</v>
      </c>
      <c r="S43" s="202"/>
      <c r="T43" s="202"/>
      <c r="U43" s="201"/>
    </row>
    <row r="44" spans="1:21" x14ac:dyDescent="0.15">
      <c r="A44" s="26" t="s">
        <v>930</v>
      </c>
      <c r="B44" s="26" t="s">
        <v>713</v>
      </c>
      <c r="C44" s="26" t="s">
        <v>723</v>
      </c>
      <c r="D44" s="29">
        <v>2350.79</v>
      </c>
      <c r="E44" s="438">
        <f t="shared" si="3"/>
        <v>0.18806319999999999</v>
      </c>
      <c r="F44" s="26" t="s">
        <v>80</v>
      </c>
      <c r="G44" s="68" t="s">
        <v>235</v>
      </c>
      <c r="H44" s="202">
        <v>1</v>
      </c>
      <c r="I44" s="202" t="s">
        <v>773</v>
      </c>
      <c r="J44" s="201">
        <v>10000</v>
      </c>
      <c r="K44" s="201">
        <f t="shared" si="4"/>
        <v>8000</v>
      </c>
      <c r="L44" s="201">
        <f t="shared" si="6"/>
        <v>12500</v>
      </c>
      <c r="M44" s="33">
        <v>0.96699999999999997</v>
      </c>
      <c r="N44" s="448">
        <f t="shared" si="5"/>
        <v>1.25</v>
      </c>
      <c r="O44" s="69">
        <v>0</v>
      </c>
      <c r="S44" s="202"/>
      <c r="T44" s="202"/>
      <c r="U44" s="201"/>
    </row>
    <row r="45" spans="1:21" s="202" customFormat="1" x14ac:dyDescent="0.15">
      <c r="A45" s="202" t="s">
        <v>931</v>
      </c>
      <c r="B45" s="202" t="s">
        <v>713</v>
      </c>
      <c r="C45" s="202" t="s">
        <v>724</v>
      </c>
      <c r="D45" s="29">
        <v>2628.8</v>
      </c>
      <c r="E45" s="438">
        <f t="shared" si="3"/>
        <v>0.18447719298245616</v>
      </c>
      <c r="F45" s="202" t="s">
        <v>80</v>
      </c>
      <c r="G45" s="202" t="s">
        <v>235</v>
      </c>
      <c r="H45" s="202">
        <v>1</v>
      </c>
      <c r="I45" s="202" t="s">
        <v>773</v>
      </c>
      <c r="J45" s="201">
        <v>11400</v>
      </c>
      <c r="K45" s="201">
        <f t="shared" si="4"/>
        <v>9120</v>
      </c>
      <c r="L45" s="201">
        <f t="shared" si="6"/>
        <v>14250</v>
      </c>
      <c r="M45" s="33">
        <v>0.96699999999999997</v>
      </c>
      <c r="N45" s="448">
        <f t="shared" si="5"/>
        <v>1.25</v>
      </c>
      <c r="O45" s="69">
        <v>0</v>
      </c>
      <c r="U45" s="201"/>
    </row>
    <row r="46" spans="1:21" s="202" customFormat="1" x14ac:dyDescent="0.15">
      <c r="A46" s="202" t="s">
        <v>932</v>
      </c>
      <c r="B46" s="202" t="s">
        <v>713</v>
      </c>
      <c r="C46" s="202" t="s">
        <v>725</v>
      </c>
      <c r="D46" s="29">
        <v>2844.62</v>
      </c>
      <c r="E46" s="438">
        <f t="shared" si="3"/>
        <v>0.18205568</v>
      </c>
      <c r="F46" s="202" t="s">
        <v>80</v>
      </c>
      <c r="G46" s="202" t="s">
        <v>235</v>
      </c>
      <c r="H46" s="202">
        <v>1</v>
      </c>
      <c r="I46" s="202" t="s">
        <v>773</v>
      </c>
      <c r="J46" s="201">
        <v>12500</v>
      </c>
      <c r="K46" s="201">
        <f t="shared" si="4"/>
        <v>10000</v>
      </c>
      <c r="L46" s="201">
        <f t="shared" si="6"/>
        <v>15625</v>
      </c>
      <c r="M46" s="33">
        <v>0.96699999999999997</v>
      </c>
      <c r="N46" s="448">
        <f t="shared" si="5"/>
        <v>1.25</v>
      </c>
      <c r="O46" s="69">
        <v>0</v>
      </c>
      <c r="S46" s="201"/>
      <c r="T46" s="201"/>
      <c r="U46" s="201"/>
    </row>
    <row r="47" spans="1:21" s="202" customFormat="1" x14ac:dyDescent="0.15">
      <c r="A47" s="202" t="s">
        <v>933</v>
      </c>
      <c r="B47" s="202" t="s">
        <v>713</v>
      </c>
      <c r="C47" s="202" t="s">
        <v>726</v>
      </c>
      <c r="D47" s="29">
        <v>3332.14</v>
      </c>
      <c r="E47" s="438">
        <f t="shared" si="3"/>
        <v>0.17771413333333333</v>
      </c>
      <c r="F47" s="202" t="s">
        <v>80</v>
      </c>
      <c r="G47" s="202" t="s">
        <v>235</v>
      </c>
      <c r="H47" s="202">
        <v>1</v>
      </c>
      <c r="I47" s="202" t="s">
        <v>773</v>
      </c>
      <c r="J47" s="201">
        <v>15000</v>
      </c>
      <c r="K47" s="201">
        <f t="shared" si="4"/>
        <v>12000</v>
      </c>
      <c r="L47" s="201">
        <f t="shared" si="6"/>
        <v>18750</v>
      </c>
      <c r="M47" s="33">
        <v>0.96699999999999997</v>
      </c>
      <c r="N47" s="448">
        <f t="shared" si="5"/>
        <v>1.25</v>
      </c>
      <c r="O47" s="69">
        <v>0</v>
      </c>
      <c r="S47" s="201"/>
      <c r="T47" s="201"/>
      <c r="U47" s="201"/>
    </row>
    <row r="48" spans="1:21" s="202" customFormat="1" x14ac:dyDescent="0.15">
      <c r="A48" s="202" t="s">
        <v>934</v>
      </c>
      <c r="B48" s="202" t="s">
        <v>727</v>
      </c>
      <c r="C48" s="202" t="s">
        <v>728</v>
      </c>
      <c r="D48" s="29">
        <v>883.5</v>
      </c>
      <c r="E48" s="438">
        <f t="shared" si="3"/>
        <v>0.2677272727272727</v>
      </c>
      <c r="F48" s="202" t="s">
        <v>77</v>
      </c>
      <c r="H48" s="202">
        <v>1</v>
      </c>
      <c r="I48" s="202" t="s">
        <v>772</v>
      </c>
      <c r="J48" s="201">
        <v>2500</v>
      </c>
      <c r="K48" s="201">
        <f t="shared" si="4"/>
        <v>2000</v>
      </c>
      <c r="L48" s="201">
        <v>3300</v>
      </c>
      <c r="M48" s="33">
        <v>0.97299999999999998</v>
      </c>
      <c r="N48" s="448">
        <f t="shared" si="5"/>
        <v>1.32</v>
      </c>
      <c r="O48" s="69">
        <v>0</v>
      </c>
      <c r="S48" s="201"/>
      <c r="T48" s="201"/>
      <c r="U48" s="201"/>
    </row>
    <row r="49" spans="1:21" s="202" customFormat="1" x14ac:dyDescent="0.15">
      <c r="A49" s="202" t="s">
        <v>935</v>
      </c>
      <c r="B49" s="202" t="s">
        <v>727</v>
      </c>
      <c r="C49" s="202" t="s">
        <v>729</v>
      </c>
      <c r="D49" s="29">
        <v>861.8</v>
      </c>
      <c r="E49" s="438">
        <f t="shared" si="3"/>
        <v>0.21544999999999997</v>
      </c>
      <c r="F49" s="202" t="s">
        <v>77</v>
      </c>
      <c r="H49" s="202">
        <v>1</v>
      </c>
      <c r="I49" s="202" t="s">
        <v>772</v>
      </c>
      <c r="J49" s="201">
        <v>3000</v>
      </c>
      <c r="K49" s="201">
        <f t="shared" si="4"/>
        <v>2400</v>
      </c>
      <c r="L49" s="201">
        <v>4000</v>
      </c>
      <c r="M49" s="33">
        <v>0.97399999999999998</v>
      </c>
      <c r="N49" s="448">
        <f t="shared" si="5"/>
        <v>1.3333333333333333</v>
      </c>
      <c r="O49" s="69">
        <v>0</v>
      </c>
      <c r="S49" s="201"/>
      <c r="T49" s="201"/>
      <c r="U49" s="201"/>
    </row>
    <row r="50" spans="1:21" s="202" customFormat="1" x14ac:dyDescent="0.15">
      <c r="A50" s="202" t="s">
        <v>936</v>
      </c>
      <c r="B50" s="202" t="s">
        <v>727</v>
      </c>
      <c r="C50" s="202" t="s">
        <v>730</v>
      </c>
      <c r="D50" s="29">
        <v>982.7</v>
      </c>
      <c r="E50" s="438">
        <f t="shared" si="3"/>
        <v>0.22853488372093025</v>
      </c>
      <c r="F50" s="202" t="s">
        <v>77</v>
      </c>
      <c r="H50" s="202">
        <v>1</v>
      </c>
      <c r="I50" s="202" t="s">
        <v>772</v>
      </c>
      <c r="J50" s="201">
        <v>3300</v>
      </c>
      <c r="K50" s="201">
        <f t="shared" si="4"/>
        <v>2640</v>
      </c>
      <c r="L50" s="201">
        <v>4300</v>
      </c>
      <c r="M50" s="33">
        <v>0.97399999999999998</v>
      </c>
      <c r="N50" s="448">
        <f t="shared" si="5"/>
        <v>1.303030303030303</v>
      </c>
      <c r="O50" s="69">
        <v>0</v>
      </c>
      <c r="S50" s="201"/>
      <c r="T50" s="201"/>
      <c r="U50" s="201"/>
    </row>
    <row r="51" spans="1:21" s="202" customFormat="1" x14ac:dyDescent="0.15">
      <c r="A51" s="202" t="s">
        <v>937</v>
      </c>
      <c r="B51" s="202" t="s">
        <v>727</v>
      </c>
      <c r="C51" s="202" t="s">
        <v>731</v>
      </c>
      <c r="D51" s="29">
        <v>1001.3</v>
      </c>
      <c r="E51" s="438">
        <f t="shared" si="3"/>
        <v>0.20860416666666665</v>
      </c>
      <c r="F51" s="202" t="s">
        <v>77</v>
      </c>
      <c r="H51" s="202">
        <v>1</v>
      </c>
      <c r="I51" s="202" t="s">
        <v>772</v>
      </c>
      <c r="J51" s="201">
        <v>3680</v>
      </c>
      <c r="K51" s="201">
        <f t="shared" si="4"/>
        <v>2944</v>
      </c>
      <c r="L51" s="201">
        <v>4800</v>
      </c>
      <c r="M51" s="33">
        <v>0.97499999999999998</v>
      </c>
      <c r="N51" s="448">
        <f t="shared" si="5"/>
        <v>1.3043478260869565</v>
      </c>
      <c r="O51" s="69">
        <v>0</v>
      </c>
      <c r="S51" s="201"/>
      <c r="T51" s="201"/>
      <c r="U51" s="201"/>
    </row>
    <row r="52" spans="1:21" s="202" customFormat="1" x14ac:dyDescent="0.15">
      <c r="A52" s="202" t="s">
        <v>938</v>
      </c>
      <c r="B52" s="202" t="s">
        <v>727</v>
      </c>
      <c r="C52" s="202" t="s">
        <v>732</v>
      </c>
      <c r="D52" s="29">
        <v>1069.5</v>
      </c>
      <c r="E52" s="438">
        <f t="shared" si="3"/>
        <v>0.17824999999999999</v>
      </c>
      <c r="F52" s="202" t="s">
        <v>77</v>
      </c>
      <c r="H52" s="202">
        <v>1</v>
      </c>
      <c r="I52" s="202" t="s">
        <v>772</v>
      </c>
      <c r="J52" s="201">
        <v>4600</v>
      </c>
      <c r="K52" s="201">
        <f t="shared" si="4"/>
        <v>3680</v>
      </c>
      <c r="L52" s="201">
        <v>6000</v>
      </c>
      <c r="M52" s="33">
        <v>0.97499999999999998</v>
      </c>
      <c r="N52" s="448">
        <f t="shared" si="5"/>
        <v>1.3043478260869565</v>
      </c>
      <c r="O52" s="69">
        <v>0</v>
      </c>
      <c r="S52" s="201"/>
      <c r="T52" s="201"/>
      <c r="U52" s="201"/>
    </row>
    <row r="53" spans="1:21" s="202" customFormat="1" x14ac:dyDescent="0.15">
      <c r="A53" s="202" t="s">
        <v>939</v>
      </c>
      <c r="B53" s="202" t="s">
        <v>727</v>
      </c>
      <c r="C53" s="202" t="s">
        <v>733</v>
      </c>
      <c r="D53" s="29">
        <v>1041.5999999999999</v>
      </c>
      <c r="E53" s="438">
        <f t="shared" si="3"/>
        <v>0.16024615384615384</v>
      </c>
      <c r="F53" s="202" t="s">
        <v>77</v>
      </c>
      <c r="H53" s="202">
        <v>1</v>
      </c>
      <c r="I53" s="202" t="s">
        <v>772</v>
      </c>
      <c r="J53" s="201">
        <v>5000</v>
      </c>
      <c r="K53" s="201">
        <f t="shared" si="4"/>
        <v>4000</v>
      </c>
      <c r="L53" s="201">
        <v>6500</v>
      </c>
      <c r="M53" s="33">
        <v>0.97599999999999998</v>
      </c>
      <c r="N53" s="448">
        <f t="shared" si="5"/>
        <v>1.3</v>
      </c>
      <c r="O53" s="69">
        <v>0</v>
      </c>
      <c r="S53" s="201"/>
      <c r="T53" s="201"/>
      <c r="U53" s="201"/>
    </row>
    <row r="54" spans="1:21" s="202" customFormat="1" x14ac:dyDescent="0.15">
      <c r="A54" s="202" t="s">
        <v>940</v>
      </c>
      <c r="B54" s="202" t="s">
        <v>727</v>
      </c>
      <c r="C54" s="202" t="s">
        <v>734</v>
      </c>
      <c r="D54" s="29">
        <v>1317.5</v>
      </c>
      <c r="E54" s="438">
        <f t="shared" si="3"/>
        <v>0.18821428571428572</v>
      </c>
      <c r="F54" s="202" t="s">
        <v>77</v>
      </c>
      <c r="H54" s="202">
        <v>1</v>
      </c>
      <c r="I54" s="202" t="s">
        <v>772</v>
      </c>
      <c r="J54" s="201">
        <v>6000</v>
      </c>
      <c r="K54" s="201">
        <f t="shared" si="4"/>
        <v>4800</v>
      </c>
      <c r="L54" s="201">
        <v>7000</v>
      </c>
      <c r="M54" s="33">
        <v>0.97599999999999998</v>
      </c>
      <c r="N54" s="448">
        <f t="shared" si="5"/>
        <v>1.1666666666666667</v>
      </c>
      <c r="O54" s="69">
        <v>0</v>
      </c>
      <c r="S54" s="201"/>
      <c r="T54" s="201"/>
      <c r="U54" s="201"/>
    </row>
    <row r="55" spans="1:21" s="202" customFormat="1" x14ac:dyDescent="0.15">
      <c r="A55" s="202" t="s">
        <v>941</v>
      </c>
      <c r="B55" s="202" t="s">
        <v>735</v>
      </c>
      <c r="C55" s="202" t="s">
        <v>736</v>
      </c>
      <c r="D55" s="29">
        <v>805.2</v>
      </c>
      <c r="E55" s="438">
        <f t="shared" si="3"/>
        <v>0.33550000000000002</v>
      </c>
      <c r="F55" s="202" t="s">
        <v>80</v>
      </c>
      <c r="G55" s="202" t="s">
        <v>788</v>
      </c>
      <c r="H55" s="202">
        <v>1</v>
      </c>
      <c r="I55" s="202" t="s">
        <v>774</v>
      </c>
      <c r="J55" s="201">
        <v>2000</v>
      </c>
      <c r="K55" s="201">
        <f t="shared" si="4"/>
        <v>1600</v>
      </c>
      <c r="L55" s="201">
        <v>2400</v>
      </c>
      <c r="M55" s="33">
        <v>0.96499999999999997</v>
      </c>
      <c r="N55" s="448">
        <f t="shared" si="5"/>
        <v>1.2</v>
      </c>
      <c r="O55" s="69">
        <v>0</v>
      </c>
      <c r="S55" s="201"/>
      <c r="T55" s="201"/>
      <c r="U55" s="201"/>
    </row>
    <row r="56" spans="1:21" s="202" customFormat="1" x14ac:dyDescent="0.15">
      <c r="A56" s="202" t="s">
        <v>870</v>
      </c>
      <c r="B56" s="202" t="s">
        <v>735</v>
      </c>
      <c r="C56" s="202" t="s">
        <v>737</v>
      </c>
      <c r="D56" s="29">
        <v>850.57</v>
      </c>
      <c r="E56" s="438">
        <f t="shared" si="3"/>
        <v>0.25774848484848484</v>
      </c>
      <c r="F56" s="202" t="s">
        <v>80</v>
      </c>
      <c r="G56" s="202" t="s">
        <v>788</v>
      </c>
      <c r="H56" s="202">
        <v>1</v>
      </c>
      <c r="I56" s="202" t="s">
        <v>774</v>
      </c>
      <c r="J56" s="201">
        <v>3000</v>
      </c>
      <c r="K56" s="201">
        <f t="shared" si="4"/>
        <v>2400</v>
      </c>
      <c r="L56" s="201">
        <v>3300</v>
      </c>
      <c r="M56" s="33">
        <v>0.96499999999999997</v>
      </c>
      <c r="N56" s="448">
        <f t="shared" si="5"/>
        <v>1.1000000000000001</v>
      </c>
      <c r="O56" s="69">
        <v>0</v>
      </c>
      <c r="S56" s="201"/>
      <c r="T56" s="201"/>
      <c r="U56" s="201"/>
    </row>
    <row r="57" spans="1:21" s="202" customFormat="1" x14ac:dyDescent="0.15">
      <c r="A57" s="202" t="s">
        <v>895</v>
      </c>
      <c r="B57" s="202" t="s">
        <v>735</v>
      </c>
      <c r="C57" s="202" t="s">
        <v>738</v>
      </c>
      <c r="D57" s="29">
        <v>895.93</v>
      </c>
      <c r="E57" s="438">
        <f t="shared" si="3"/>
        <v>0.18665208333333333</v>
      </c>
      <c r="F57" s="202" t="s">
        <v>80</v>
      </c>
      <c r="G57" s="202" t="s">
        <v>788</v>
      </c>
      <c r="H57" s="202">
        <v>1</v>
      </c>
      <c r="I57" s="202" t="s">
        <v>774</v>
      </c>
      <c r="J57" s="201">
        <v>4000</v>
      </c>
      <c r="K57" s="201">
        <f t="shared" si="4"/>
        <v>3200</v>
      </c>
      <c r="L57" s="201">
        <v>4800</v>
      </c>
      <c r="M57" s="33">
        <v>0.96499999999999997</v>
      </c>
      <c r="N57" s="448">
        <f t="shared" si="5"/>
        <v>1.2</v>
      </c>
      <c r="O57" s="69">
        <v>0</v>
      </c>
      <c r="S57" s="201"/>
      <c r="T57" s="201"/>
      <c r="U57" s="201"/>
    </row>
    <row r="58" spans="1:21" s="202" customFormat="1" x14ac:dyDescent="0.15">
      <c r="A58" s="202" t="s">
        <v>942</v>
      </c>
      <c r="B58" s="202" t="s">
        <v>735</v>
      </c>
      <c r="C58" s="202" t="s">
        <v>739</v>
      </c>
      <c r="D58" s="29">
        <v>941.3</v>
      </c>
      <c r="E58" s="438">
        <f t="shared" si="3"/>
        <v>0.15431147540983606</v>
      </c>
      <c r="F58" s="202" t="s">
        <v>80</v>
      </c>
      <c r="G58" s="202" t="s">
        <v>788</v>
      </c>
      <c r="H58" s="202">
        <v>1</v>
      </c>
      <c r="I58" s="202" t="s">
        <v>774</v>
      </c>
      <c r="J58" s="201">
        <v>5000</v>
      </c>
      <c r="K58" s="201">
        <f t="shared" si="4"/>
        <v>4000</v>
      </c>
      <c r="L58" s="201">
        <v>6100</v>
      </c>
      <c r="M58" s="33">
        <v>0.96499999999999997</v>
      </c>
      <c r="N58" s="448">
        <f t="shared" si="5"/>
        <v>1.22</v>
      </c>
      <c r="O58" s="69">
        <v>0</v>
      </c>
      <c r="S58" s="201"/>
      <c r="T58" s="201"/>
      <c r="U58" s="201"/>
    </row>
    <row r="59" spans="1:21" s="202" customFormat="1" x14ac:dyDescent="0.15">
      <c r="A59" s="202" t="s">
        <v>943</v>
      </c>
      <c r="B59" s="202" t="s">
        <v>740</v>
      </c>
      <c r="C59" s="202" t="s">
        <v>741</v>
      </c>
      <c r="D59" s="29">
        <v>680.4</v>
      </c>
      <c r="E59" s="438">
        <f t="shared" si="3"/>
        <v>0.42524999999999996</v>
      </c>
      <c r="F59" s="202" t="s">
        <v>77</v>
      </c>
      <c r="H59" s="202">
        <v>1</v>
      </c>
      <c r="I59" s="202" t="s">
        <v>772</v>
      </c>
      <c r="J59" s="201">
        <v>1500</v>
      </c>
      <c r="K59" s="201">
        <f t="shared" si="4"/>
        <v>1200</v>
      </c>
      <c r="L59" s="201">
        <v>1600</v>
      </c>
      <c r="M59" s="33">
        <v>0.96099999999999997</v>
      </c>
      <c r="N59" s="448">
        <f t="shared" si="5"/>
        <v>1.0666666666666667</v>
      </c>
      <c r="O59" s="69">
        <v>0</v>
      </c>
      <c r="S59" s="201"/>
      <c r="T59" s="201"/>
      <c r="U59" s="201"/>
    </row>
    <row r="60" spans="1:21" s="202" customFormat="1" x14ac:dyDescent="0.15">
      <c r="A60" s="202" t="s">
        <v>944</v>
      </c>
      <c r="B60" s="202" t="s">
        <v>740</v>
      </c>
      <c r="C60" s="202" t="s">
        <v>742</v>
      </c>
      <c r="D60" s="29">
        <v>913.5</v>
      </c>
      <c r="E60" s="438">
        <f t="shared" si="3"/>
        <v>0.3447169811320755</v>
      </c>
      <c r="F60" s="202" t="s">
        <v>77</v>
      </c>
      <c r="H60" s="202">
        <v>1</v>
      </c>
      <c r="I60" s="202" t="s">
        <v>772</v>
      </c>
      <c r="J60" s="201">
        <v>2500</v>
      </c>
      <c r="K60" s="201">
        <f t="shared" si="4"/>
        <v>2000</v>
      </c>
      <c r="L60" s="201">
        <v>2650</v>
      </c>
      <c r="M60" s="33">
        <v>0.96699999999999997</v>
      </c>
      <c r="N60" s="448">
        <f t="shared" si="5"/>
        <v>1.06</v>
      </c>
      <c r="O60" s="69">
        <v>0</v>
      </c>
      <c r="S60" s="201"/>
      <c r="T60" s="201"/>
      <c r="U60" s="201"/>
    </row>
    <row r="61" spans="1:21" s="202" customFormat="1" x14ac:dyDescent="0.15">
      <c r="A61" s="202" t="s">
        <v>945</v>
      </c>
      <c r="B61" s="202" t="s">
        <v>740</v>
      </c>
      <c r="C61" s="202" t="s">
        <v>743</v>
      </c>
      <c r="D61" s="29">
        <v>1121.4000000000001</v>
      </c>
      <c r="E61" s="438">
        <f t="shared" si="3"/>
        <v>0.2893935483870968</v>
      </c>
      <c r="F61" s="202" t="s">
        <v>77</v>
      </c>
      <c r="G61" s="202" t="s">
        <v>789</v>
      </c>
      <c r="H61" s="202">
        <v>1</v>
      </c>
      <c r="I61" s="202" t="s">
        <v>772</v>
      </c>
      <c r="J61" s="201">
        <v>3100</v>
      </c>
      <c r="K61" s="201">
        <f t="shared" si="4"/>
        <v>2480</v>
      </c>
      <c r="L61" s="201">
        <f t="shared" ref="L61:L94" si="7">J61*1.25</f>
        <v>3875</v>
      </c>
      <c r="M61" s="33">
        <v>0.96499999999999997</v>
      </c>
      <c r="N61" s="448">
        <f t="shared" si="5"/>
        <v>1.25</v>
      </c>
      <c r="O61" s="69">
        <v>0</v>
      </c>
      <c r="S61" s="201"/>
      <c r="T61" s="201"/>
      <c r="U61" s="201"/>
    </row>
    <row r="62" spans="1:21" s="202" customFormat="1" x14ac:dyDescent="0.15">
      <c r="A62" s="202" t="s">
        <v>946</v>
      </c>
      <c r="B62" s="202" t="s">
        <v>740</v>
      </c>
      <c r="C62" s="202" t="s">
        <v>744</v>
      </c>
      <c r="D62" s="29">
        <v>1149.75</v>
      </c>
      <c r="E62" s="438">
        <f t="shared" si="3"/>
        <v>0.22994999999999999</v>
      </c>
      <c r="F62" s="202" t="s">
        <v>77</v>
      </c>
      <c r="G62" s="202" t="s">
        <v>789</v>
      </c>
      <c r="H62" s="202">
        <v>1</v>
      </c>
      <c r="I62" s="202" t="s">
        <v>772</v>
      </c>
      <c r="J62" s="201">
        <v>4000</v>
      </c>
      <c r="K62" s="201">
        <f t="shared" si="4"/>
        <v>3200</v>
      </c>
      <c r="L62" s="201">
        <f t="shared" si="7"/>
        <v>5000</v>
      </c>
      <c r="M62" s="33">
        <v>0.97499999999999998</v>
      </c>
      <c r="N62" s="448">
        <f t="shared" si="5"/>
        <v>1.25</v>
      </c>
      <c r="O62" s="69">
        <v>0</v>
      </c>
      <c r="S62" s="201"/>
      <c r="T62" s="201"/>
      <c r="U62" s="201"/>
    </row>
    <row r="63" spans="1:21" s="202" customFormat="1" x14ac:dyDescent="0.15">
      <c r="A63" s="202" t="s">
        <v>947</v>
      </c>
      <c r="B63" s="202" t="s">
        <v>740</v>
      </c>
      <c r="C63" s="202" t="s">
        <v>745</v>
      </c>
      <c r="D63" s="29">
        <v>1228.5</v>
      </c>
      <c r="E63" s="438">
        <f t="shared" si="3"/>
        <v>0.19083495145631069</v>
      </c>
      <c r="F63" s="202" t="s">
        <v>77</v>
      </c>
      <c r="G63" s="202" t="s">
        <v>789</v>
      </c>
      <c r="H63" s="202">
        <v>1</v>
      </c>
      <c r="I63" s="202" t="s">
        <v>772</v>
      </c>
      <c r="J63" s="201">
        <v>5150</v>
      </c>
      <c r="K63" s="201">
        <f t="shared" si="4"/>
        <v>4120</v>
      </c>
      <c r="L63" s="201">
        <f t="shared" si="7"/>
        <v>6437.5</v>
      </c>
      <c r="M63" s="33">
        <v>0.97</v>
      </c>
      <c r="N63" s="448">
        <f t="shared" si="5"/>
        <v>1.25</v>
      </c>
      <c r="O63" s="69">
        <v>0</v>
      </c>
      <c r="S63" s="201"/>
      <c r="T63" s="201"/>
      <c r="U63" s="201"/>
    </row>
    <row r="64" spans="1:21" s="202" customFormat="1" x14ac:dyDescent="0.15">
      <c r="A64" s="202" t="s">
        <v>948</v>
      </c>
      <c r="B64" s="202" t="s">
        <v>740</v>
      </c>
      <c r="C64" s="202" t="s">
        <v>746</v>
      </c>
      <c r="D64" s="29">
        <v>1316.7</v>
      </c>
      <c r="E64" s="438">
        <f t="shared" si="3"/>
        <v>0.17555999999999999</v>
      </c>
      <c r="F64" s="202" t="s">
        <v>77</v>
      </c>
      <c r="G64" s="202" t="s">
        <v>789</v>
      </c>
      <c r="H64" s="202">
        <v>1</v>
      </c>
      <c r="I64" s="202" t="s">
        <v>772</v>
      </c>
      <c r="J64" s="201">
        <v>6000</v>
      </c>
      <c r="K64" s="201">
        <f t="shared" si="4"/>
        <v>4800</v>
      </c>
      <c r="L64" s="201">
        <f t="shared" si="7"/>
        <v>7500</v>
      </c>
      <c r="M64" s="33">
        <v>0.97</v>
      </c>
      <c r="N64" s="448">
        <f t="shared" si="5"/>
        <v>1.25</v>
      </c>
      <c r="O64" s="69">
        <v>0</v>
      </c>
      <c r="S64" s="201"/>
      <c r="T64" s="201"/>
      <c r="U64" s="201"/>
    </row>
    <row r="65" spans="1:21" s="202" customFormat="1" x14ac:dyDescent="0.15">
      <c r="A65" s="202" t="s">
        <v>949</v>
      </c>
      <c r="B65" s="202" t="s">
        <v>740</v>
      </c>
      <c r="C65" s="202" t="s">
        <v>747</v>
      </c>
      <c r="D65" s="29">
        <v>1505.7</v>
      </c>
      <c r="E65" s="438">
        <f t="shared" si="3"/>
        <v>0.17208000000000001</v>
      </c>
      <c r="F65" s="202" t="s">
        <v>77</v>
      </c>
      <c r="G65" s="202" t="s">
        <v>789</v>
      </c>
      <c r="H65" s="202">
        <v>1</v>
      </c>
      <c r="I65" s="202" t="s">
        <v>772</v>
      </c>
      <c r="J65" s="201">
        <v>7000</v>
      </c>
      <c r="K65" s="201">
        <f t="shared" si="4"/>
        <v>5600</v>
      </c>
      <c r="L65" s="201">
        <f t="shared" si="7"/>
        <v>8750</v>
      </c>
      <c r="M65" s="33">
        <v>0.97</v>
      </c>
      <c r="N65" s="448">
        <f t="shared" si="5"/>
        <v>1.25</v>
      </c>
      <c r="O65" s="69">
        <v>0</v>
      </c>
      <c r="S65" s="201"/>
      <c r="T65" s="201"/>
      <c r="U65" s="201"/>
    </row>
    <row r="66" spans="1:21" s="202" customFormat="1" x14ac:dyDescent="0.15">
      <c r="A66" s="202" t="s">
        <v>950</v>
      </c>
      <c r="B66" s="202" t="s">
        <v>704</v>
      </c>
      <c r="C66" s="202" t="s">
        <v>748</v>
      </c>
      <c r="D66" s="29">
        <v>3669.15</v>
      </c>
      <c r="E66" s="438">
        <f t="shared" si="3"/>
        <v>0.29353200000000002</v>
      </c>
      <c r="F66" s="202" t="s">
        <v>80</v>
      </c>
      <c r="G66" s="202" t="s">
        <v>790</v>
      </c>
      <c r="H66" s="202">
        <v>3</v>
      </c>
      <c r="I66" s="202" t="s">
        <v>775</v>
      </c>
      <c r="J66" s="201">
        <v>10000</v>
      </c>
      <c r="K66" s="201">
        <f t="shared" si="4"/>
        <v>8000</v>
      </c>
      <c r="L66" s="201">
        <f t="shared" si="7"/>
        <v>12500</v>
      </c>
      <c r="M66" s="33">
        <v>0.97499999999999998</v>
      </c>
      <c r="N66" s="448">
        <f t="shared" si="5"/>
        <v>1.25</v>
      </c>
      <c r="O66" s="69">
        <v>0</v>
      </c>
      <c r="S66" s="201"/>
      <c r="T66" s="201"/>
      <c r="U66" s="201"/>
    </row>
    <row r="67" spans="1:21" s="202" customFormat="1" x14ac:dyDescent="0.15">
      <c r="A67" s="202" t="s">
        <v>951</v>
      </c>
      <c r="B67" s="202" t="s">
        <v>704</v>
      </c>
      <c r="C67" s="202" t="s">
        <v>749</v>
      </c>
      <c r="D67" s="29">
        <v>3128.99</v>
      </c>
      <c r="E67" s="438">
        <f t="shared" si="3"/>
        <v>0.12515959999999998</v>
      </c>
      <c r="F67" s="202" t="s">
        <v>80</v>
      </c>
      <c r="G67" s="202" t="s">
        <v>791</v>
      </c>
      <c r="H67" s="202">
        <v>3</v>
      </c>
      <c r="I67" s="202" t="s">
        <v>775</v>
      </c>
      <c r="J67" s="201">
        <v>20000</v>
      </c>
      <c r="K67" s="201">
        <f t="shared" si="4"/>
        <v>16000</v>
      </c>
      <c r="L67" s="201">
        <f t="shared" si="7"/>
        <v>25000</v>
      </c>
      <c r="M67" s="33">
        <v>0.97499999999999998</v>
      </c>
      <c r="N67" s="448">
        <f t="shared" si="5"/>
        <v>1.25</v>
      </c>
      <c r="O67" s="69">
        <v>0</v>
      </c>
      <c r="S67" s="201"/>
      <c r="T67" s="201"/>
      <c r="U67" s="201"/>
    </row>
    <row r="68" spans="1:21" s="202" customFormat="1" x14ac:dyDescent="0.15">
      <c r="A68" s="202" t="s">
        <v>952</v>
      </c>
      <c r="B68" s="202" t="s">
        <v>704</v>
      </c>
      <c r="C68" s="202" t="s">
        <v>750</v>
      </c>
      <c r="D68" s="29">
        <v>3648.47</v>
      </c>
      <c r="E68" s="438">
        <f t="shared" si="3"/>
        <v>0.10575275362318839</v>
      </c>
      <c r="F68" s="202" t="s">
        <v>80</v>
      </c>
      <c r="G68" s="202" t="s">
        <v>791</v>
      </c>
      <c r="H68" s="202">
        <v>3</v>
      </c>
      <c r="I68" s="202" t="s">
        <v>775</v>
      </c>
      <c r="J68" s="201">
        <v>27600</v>
      </c>
      <c r="K68" s="201">
        <f t="shared" si="4"/>
        <v>22080</v>
      </c>
      <c r="L68" s="201">
        <f t="shared" si="7"/>
        <v>34500</v>
      </c>
      <c r="M68" s="33">
        <v>0.97499999999999998</v>
      </c>
      <c r="N68" s="448">
        <f t="shared" si="5"/>
        <v>1.25</v>
      </c>
      <c r="O68" s="69">
        <v>0</v>
      </c>
      <c r="S68" s="201"/>
      <c r="T68" s="201"/>
      <c r="U68" s="201"/>
    </row>
    <row r="69" spans="1:21" s="202" customFormat="1" x14ac:dyDescent="0.15">
      <c r="A69" s="202" t="s">
        <v>953</v>
      </c>
      <c r="B69" s="202" t="s">
        <v>713</v>
      </c>
      <c r="C69" s="202" t="s">
        <v>232</v>
      </c>
      <c r="D69" s="29">
        <v>2600.37</v>
      </c>
      <c r="E69" s="438">
        <f t="shared" si="3"/>
        <v>0.20802959999999998</v>
      </c>
      <c r="F69" s="202" t="s">
        <v>80</v>
      </c>
      <c r="G69" s="202" t="s">
        <v>236</v>
      </c>
      <c r="H69" s="202">
        <v>3</v>
      </c>
      <c r="I69" s="202" t="s">
        <v>239</v>
      </c>
      <c r="J69" s="201">
        <v>10000</v>
      </c>
      <c r="K69" s="201">
        <f t="shared" si="4"/>
        <v>8000</v>
      </c>
      <c r="L69" s="201">
        <f t="shared" si="7"/>
        <v>12500</v>
      </c>
      <c r="M69" s="33">
        <v>0.96499999999999997</v>
      </c>
      <c r="N69" s="448">
        <f t="shared" si="5"/>
        <v>1.25</v>
      </c>
      <c r="O69" s="69">
        <v>0</v>
      </c>
      <c r="S69" s="201"/>
      <c r="T69" s="201"/>
      <c r="U69" s="201"/>
    </row>
    <row r="70" spans="1:21" s="202" customFormat="1" x14ac:dyDescent="0.15">
      <c r="A70" s="202" t="s">
        <v>954</v>
      </c>
      <c r="B70" s="202" t="s">
        <v>713</v>
      </c>
      <c r="C70" s="202" t="s">
        <v>233</v>
      </c>
      <c r="D70" s="29">
        <v>2902.72</v>
      </c>
      <c r="E70" s="438">
        <f t="shared" si="3"/>
        <v>0.19351466666666664</v>
      </c>
      <c r="F70" s="202" t="s">
        <v>80</v>
      </c>
      <c r="G70" s="202" t="s">
        <v>236</v>
      </c>
      <c r="H70" s="202">
        <v>3</v>
      </c>
      <c r="I70" s="202" t="s">
        <v>239</v>
      </c>
      <c r="J70" s="201">
        <v>12000</v>
      </c>
      <c r="K70" s="201">
        <f t="shared" si="4"/>
        <v>9600</v>
      </c>
      <c r="L70" s="201">
        <f t="shared" si="7"/>
        <v>15000</v>
      </c>
      <c r="M70" s="33">
        <v>0.96499999999999997</v>
      </c>
      <c r="N70" s="448">
        <f t="shared" si="5"/>
        <v>1.25</v>
      </c>
      <c r="O70" s="69">
        <v>0</v>
      </c>
      <c r="S70" s="201"/>
      <c r="T70" s="201"/>
      <c r="U70" s="201"/>
    </row>
    <row r="71" spans="1:21" s="202" customFormat="1" x14ac:dyDescent="0.15">
      <c r="A71" s="202" t="s">
        <v>955</v>
      </c>
      <c r="B71" s="202" t="s">
        <v>713</v>
      </c>
      <c r="C71" s="202" t="s">
        <v>234</v>
      </c>
      <c r="D71" s="29">
        <v>2680.75</v>
      </c>
      <c r="E71" s="438">
        <f t="shared" si="3"/>
        <v>0.14297333333333334</v>
      </c>
      <c r="F71" s="202" t="s">
        <v>80</v>
      </c>
      <c r="G71" s="202" t="s">
        <v>237</v>
      </c>
      <c r="H71" s="202">
        <v>3</v>
      </c>
      <c r="I71" s="202" t="s">
        <v>239</v>
      </c>
      <c r="J71" s="201">
        <v>15000</v>
      </c>
      <c r="K71" s="201">
        <f t="shared" si="4"/>
        <v>12000</v>
      </c>
      <c r="L71" s="201">
        <f t="shared" si="7"/>
        <v>18750</v>
      </c>
      <c r="M71" s="33">
        <v>0.96499999999999997</v>
      </c>
      <c r="N71" s="448">
        <f t="shared" si="5"/>
        <v>1.25</v>
      </c>
      <c r="O71" s="69">
        <v>0</v>
      </c>
      <c r="S71" s="201"/>
      <c r="T71" s="201"/>
      <c r="U71" s="201"/>
    </row>
    <row r="72" spans="1:21" s="202" customFormat="1" x14ac:dyDescent="0.15">
      <c r="A72" s="202" t="s">
        <v>956</v>
      </c>
      <c r="B72" s="202" t="s">
        <v>713</v>
      </c>
      <c r="C72" s="202" t="s">
        <v>751</v>
      </c>
      <c r="D72" s="29">
        <v>2509.6999999999998</v>
      </c>
      <c r="E72" s="438">
        <f t="shared" si="3"/>
        <v>0.20077599999999998</v>
      </c>
      <c r="F72" s="202" t="s">
        <v>80</v>
      </c>
      <c r="H72" s="202">
        <v>3</v>
      </c>
      <c r="I72" s="202" t="s">
        <v>775</v>
      </c>
      <c r="J72" s="201">
        <v>10000</v>
      </c>
      <c r="K72" s="201">
        <f t="shared" si="4"/>
        <v>8000</v>
      </c>
      <c r="L72" s="201">
        <f t="shared" si="7"/>
        <v>12500</v>
      </c>
      <c r="M72" s="33">
        <v>0.96499999999999997</v>
      </c>
      <c r="N72" s="448">
        <f t="shared" si="5"/>
        <v>1.25</v>
      </c>
      <c r="O72" s="69">
        <v>0</v>
      </c>
      <c r="S72" s="201"/>
      <c r="T72" s="201"/>
      <c r="U72" s="201"/>
    </row>
    <row r="73" spans="1:21" s="202" customFormat="1" x14ac:dyDescent="0.15">
      <c r="A73" s="202" t="s">
        <v>957</v>
      </c>
      <c r="B73" s="202" t="s">
        <v>713</v>
      </c>
      <c r="C73" s="202" t="s">
        <v>752</v>
      </c>
      <c r="D73" s="29">
        <v>2727.29</v>
      </c>
      <c r="E73" s="438">
        <f t="shared" si="3"/>
        <v>0.17454655999999999</v>
      </c>
      <c r="F73" s="202" t="s">
        <v>80</v>
      </c>
      <c r="H73" s="202">
        <v>3</v>
      </c>
      <c r="I73" s="202" t="s">
        <v>775</v>
      </c>
      <c r="J73" s="201">
        <v>12500</v>
      </c>
      <c r="K73" s="201">
        <f t="shared" si="4"/>
        <v>10000</v>
      </c>
      <c r="L73" s="201">
        <f t="shared" si="7"/>
        <v>15625</v>
      </c>
      <c r="M73" s="33">
        <v>0.97</v>
      </c>
      <c r="N73" s="448">
        <f t="shared" si="5"/>
        <v>1.25</v>
      </c>
      <c r="O73" s="69">
        <v>0</v>
      </c>
      <c r="S73" s="201"/>
      <c r="T73" s="201"/>
      <c r="U73" s="201"/>
    </row>
    <row r="74" spans="1:21" s="202" customFormat="1" x14ac:dyDescent="0.15">
      <c r="A74" s="202" t="s">
        <v>958</v>
      </c>
      <c r="B74" s="202" t="s">
        <v>713</v>
      </c>
      <c r="C74" s="202" t="s">
        <v>753</v>
      </c>
      <c r="D74" s="29">
        <v>2888.33</v>
      </c>
      <c r="E74" s="438">
        <f t="shared" si="3"/>
        <v>0.15404426666666665</v>
      </c>
      <c r="F74" s="202" t="s">
        <v>80</v>
      </c>
      <c r="H74" s="202">
        <v>3</v>
      </c>
      <c r="I74" s="202" t="s">
        <v>775</v>
      </c>
      <c r="J74" s="201">
        <v>15000</v>
      </c>
      <c r="K74" s="201">
        <f t="shared" si="4"/>
        <v>12000</v>
      </c>
      <c r="L74" s="201">
        <f t="shared" si="7"/>
        <v>18750</v>
      </c>
      <c r="M74" s="33">
        <v>0.97</v>
      </c>
      <c r="N74" s="448">
        <f t="shared" si="5"/>
        <v>1.25</v>
      </c>
      <c r="O74" s="69">
        <v>0</v>
      </c>
      <c r="S74" s="201"/>
      <c r="T74" s="201"/>
      <c r="U74" s="201"/>
    </row>
    <row r="75" spans="1:21" s="202" customFormat="1" x14ac:dyDescent="0.15">
      <c r="A75" s="202" t="s">
        <v>959</v>
      </c>
      <c r="B75" s="202" t="s">
        <v>713</v>
      </c>
      <c r="C75" s="202" t="s">
        <v>754</v>
      </c>
      <c r="D75" s="29">
        <v>2931.46</v>
      </c>
      <c r="E75" s="438">
        <f t="shared" si="3"/>
        <v>0.13400960000000001</v>
      </c>
      <c r="F75" s="202" t="s">
        <v>80</v>
      </c>
      <c r="H75" s="202">
        <v>3</v>
      </c>
      <c r="I75" s="202" t="s">
        <v>775</v>
      </c>
      <c r="J75" s="201">
        <v>17500</v>
      </c>
      <c r="K75" s="201">
        <f t="shared" si="4"/>
        <v>14000</v>
      </c>
      <c r="L75" s="201">
        <f t="shared" si="7"/>
        <v>21875</v>
      </c>
      <c r="M75" s="33">
        <v>0.97499999999999998</v>
      </c>
      <c r="N75" s="448">
        <f t="shared" si="5"/>
        <v>1.25</v>
      </c>
      <c r="O75" s="69">
        <v>0</v>
      </c>
      <c r="S75" s="201"/>
      <c r="T75" s="201"/>
      <c r="U75" s="201"/>
    </row>
    <row r="76" spans="1:21" s="202" customFormat="1" x14ac:dyDescent="0.15">
      <c r="A76" s="202" t="s">
        <v>960</v>
      </c>
      <c r="B76" s="202" t="s">
        <v>713</v>
      </c>
      <c r="C76" s="202" t="s">
        <v>755</v>
      </c>
      <c r="D76" s="29">
        <v>2876.64</v>
      </c>
      <c r="E76" s="438">
        <f t="shared" si="3"/>
        <v>0.11506559999999999</v>
      </c>
      <c r="F76" s="202" t="s">
        <v>80</v>
      </c>
      <c r="H76" s="202">
        <v>3</v>
      </c>
      <c r="I76" s="202" t="s">
        <v>775</v>
      </c>
      <c r="J76" s="201">
        <v>20000</v>
      </c>
      <c r="K76" s="201">
        <f t="shared" si="4"/>
        <v>16000</v>
      </c>
      <c r="L76" s="201">
        <f t="shared" si="7"/>
        <v>25000</v>
      </c>
      <c r="M76" s="33">
        <v>0.97499999999999998</v>
      </c>
      <c r="N76" s="448">
        <f t="shared" si="5"/>
        <v>1.25</v>
      </c>
      <c r="O76" s="69">
        <v>0</v>
      </c>
      <c r="S76" s="201"/>
      <c r="T76" s="201"/>
      <c r="U76" s="201"/>
    </row>
    <row r="77" spans="1:21" s="202" customFormat="1" x14ac:dyDescent="0.15">
      <c r="A77" s="202" t="s">
        <v>961</v>
      </c>
      <c r="B77" s="202" t="s">
        <v>713</v>
      </c>
      <c r="C77" s="202" t="s">
        <v>756</v>
      </c>
      <c r="D77" s="29">
        <v>2919.11</v>
      </c>
      <c r="E77" s="438">
        <f t="shared" si="3"/>
        <v>0.10287612334801763</v>
      </c>
      <c r="F77" s="202" t="s">
        <v>80</v>
      </c>
      <c r="H77" s="202">
        <v>3</v>
      </c>
      <c r="I77" s="202" t="s">
        <v>775</v>
      </c>
      <c r="J77" s="201">
        <v>22700</v>
      </c>
      <c r="K77" s="201">
        <f t="shared" si="4"/>
        <v>18160</v>
      </c>
      <c r="L77" s="201">
        <f t="shared" si="7"/>
        <v>28375</v>
      </c>
      <c r="M77" s="33">
        <v>0.97499999999999998</v>
      </c>
      <c r="N77" s="448">
        <f t="shared" si="5"/>
        <v>1.25</v>
      </c>
      <c r="O77" s="69">
        <v>0</v>
      </c>
      <c r="S77" s="201"/>
      <c r="T77" s="201"/>
      <c r="U77" s="201"/>
    </row>
    <row r="78" spans="1:21" s="202" customFormat="1" x14ac:dyDescent="0.15">
      <c r="A78" s="202" t="s">
        <v>962</v>
      </c>
      <c r="B78" s="202" t="s">
        <v>713</v>
      </c>
      <c r="C78" s="202" t="s">
        <v>757</v>
      </c>
      <c r="D78" s="29">
        <v>2990.74</v>
      </c>
      <c r="E78" s="438">
        <f t="shared" si="3"/>
        <v>9.9691333333333326E-2</v>
      </c>
      <c r="F78" s="202" t="s">
        <v>80</v>
      </c>
      <c r="H78" s="202">
        <v>3</v>
      </c>
      <c r="I78" s="202" t="s">
        <v>775</v>
      </c>
      <c r="J78" s="201">
        <v>24000</v>
      </c>
      <c r="K78" s="201">
        <f t="shared" si="4"/>
        <v>19200</v>
      </c>
      <c r="L78" s="201">
        <f t="shared" si="7"/>
        <v>30000</v>
      </c>
      <c r="M78" s="33">
        <v>0.97499999999999998</v>
      </c>
      <c r="N78" s="448">
        <f t="shared" si="5"/>
        <v>1.25</v>
      </c>
      <c r="O78" s="69">
        <v>0</v>
      </c>
      <c r="S78" s="201"/>
      <c r="T78" s="201"/>
      <c r="U78" s="201"/>
    </row>
    <row r="79" spans="1:21" s="202" customFormat="1" x14ac:dyDescent="0.15">
      <c r="A79" s="202" t="s">
        <v>963</v>
      </c>
      <c r="B79" s="202" t="s">
        <v>727</v>
      </c>
      <c r="C79" s="202" t="s">
        <v>758</v>
      </c>
      <c r="D79" s="29">
        <v>2340.5</v>
      </c>
      <c r="E79" s="438">
        <f t="shared" si="3"/>
        <v>0.12482666666666667</v>
      </c>
      <c r="F79" s="202" t="s">
        <v>77</v>
      </c>
      <c r="G79" s="202" t="s">
        <v>792</v>
      </c>
      <c r="H79" s="202">
        <v>3</v>
      </c>
      <c r="I79" s="202" t="s">
        <v>772</v>
      </c>
      <c r="J79" s="201">
        <v>15000</v>
      </c>
      <c r="K79" s="201">
        <f t="shared" si="4"/>
        <v>12000</v>
      </c>
      <c r="L79" s="201">
        <f t="shared" si="7"/>
        <v>18750</v>
      </c>
      <c r="M79" s="33">
        <v>0.98299999999999998</v>
      </c>
      <c r="N79" s="448">
        <f t="shared" si="5"/>
        <v>1.25</v>
      </c>
      <c r="O79" s="69">
        <v>0</v>
      </c>
      <c r="S79" s="201"/>
      <c r="T79" s="201"/>
      <c r="U79" s="201"/>
    </row>
    <row r="80" spans="1:21" s="202" customFormat="1" x14ac:dyDescent="0.15">
      <c r="A80" s="202" t="s">
        <v>964</v>
      </c>
      <c r="B80" s="202" t="s">
        <v>727</v>
      </c>
      <c r="C80" s="202" t="s">
        <v>759</v>
      </c>
      <c r="D80" s="29">
        <v>2697</v>
      </c>
      <c r="E80" s="438">
        <f t="shared" si="3"/>
        <v>0.14384</v>
      </c>
      <c r="F80" s="202" t="s">
        <v>77</v>
      </c>
      <c r="G80" s="202" t="s">
        <v>793</v>
      </c>
      <c r="H80" s="202">
        <v>3</v>
      </c>
      <c r="I80" s="202" t="s">
        <v>772</v>
      </c>
      <c r="J80" s="201">
        <v>15000</v>
      </c>
      <c r="K80" s="201">
        <f t="shared" si="4"/>
        <v>12000</v>
      </c>
      <c r="L80" s="201">
        <f t="shared" si="7"/>
        <v>18750</v>
      </c>
      <c r="M80" s="33">
        <v>0.98299999999999998</v>
      </c>
      <c r="N80" s="448">
        <f t="shared" si="5"/>
        <v>1.25</v>
      </c>
      <c r="O80" s="69">
        <v>0</v>
      </c>
      <c r="S80" s="201"/>
      <c r="T80" s="201"/>
      <c r="U80" s="201"/>
    </row>
    <row r="81" spans="1:21" s="202" customFormat="1" x14ac:dyDescent="0.15">
      <c r="A81" s="202" t="s">
        <v>965</v>
      </c>
      <c r="B81" s="202" t="s">
        <v>727</v>
      </c>
      <c r="C81" s="202" t="s">
        <v>760</v>
      </c>
      <c r="D81" s="29">
        <v>2697</v>
      </c>
      <c r="E81" s="438">
        <f t="shared" si="3"/>
        <v>0.10788</v>
      </c>
      <c r="F81" s="202" t="s">
        <v>77</v>
      </c>
      <c r="G81" s="202" t="s">
        <v>792</v>
      </c>
      <c r="H81" s="202">
        <v>3</v>
      </c>
      <c r="I81" s="202" t="s">
        <v>772</v>
      </c>
      <c r="J81" s="201">
        <v>20000</v>
      </c>
      <c r="K81" s="201">
        <f t="shared" si="4"/>
        <v>16000</v>
      </c>
      <c r="L81" s="201">
        <f t="shared" si="7"/>
        <v>25000</v>
      </c>
      <c r="M81" s="33">
        <v>0.98299999999999998</v>
      </c>
      <c r="N81" s="448">
        <f t="shared" si="5"/>
        <v>1.25</v>
      </c>
      <c r="O81" s="69">
        <v>0</v>
      </c>
      <c r="S81" s="201"/>
      <c r="T81" s="201"/>
      <c r="U81" s="201"/>
    </row>
    <row r="82" spans="1:21" s="202" customFormat="1" x14ac:dyDescent="0.15">
      <c r="A82" s="202" t="s">
        <v>966</v>
      </c>
      <c r="B82" s="202" t="s">
        <v>727</v>
      </c>
      <c r="C82" s="202" t="s">
        <v>761</v>
      </c>
      <c r="D82" s="29">
        <v>2991.5</v>
      </c>
      <c r="E82" s="438">
        <f t="shared" si="3"/>
        <v>0.11966</v>
      </c>
      <c r="F82" s="202" t="s">
        <v>77</v>
      </c>
      <c r="G82" s="202" t="s">
        <v>793</v>
      </c>
      <c r="H82" s="202">
        <v>3</v>
      </c>
      <c r="I82" s="202" t="s">
        <v>772</v>
      </c>
      <c r="J82" s="201">
        <v>20000</v>
      </c>
      <c r="K82" s="201">
        <f t="shared" si="4"/>
        <v>16000</v>
      </c>
      <c r="L82" s="201">
        <f t="shared" si="7"/>
        <v>25000</v>
      </c>
      <c r="M82" s="33">
        <v>0.98299999999999998</v>
      </c>
      <c r="N82" s="448">
        <f t="shared" si="5"/>
        <v>1.25</v>
      </c>
      <c r="O82" s="69">
        <v>0</v>
      </c>
      <c r="S82" s="201"/>
      <c r="T82" s="201"/>
      <c r="U82" s="201"/>
    </row>
    <row r="83" spans="1:21" s="202" customFormat="1" x14ac:dyDescent="0.15">
      <c r="A83" s="202" t="s">
        <v>967</v>
      </c>
      <c r="B83" s="202" t="s">
        <v>727</v>
      </c>
      <c r="C83" s="202" t="s">
        <v>762</v>
      </c>
      <c r="D83" s="29">
        <v>3400.7</v>
      </c>
      <c r="E83" s="438">
        <f t="shared" si="3"/>
        <v>0.11335666666666666</v>
      </c>
      <c r="F83" s="202" t="s">
        <v>77</v>
      </c>
      <c r="G83" s="202" t="s">
        <v>793</v>
      </c>
      <c r="H83" s="202">
        <v>3</v>
      </c>
      <c r="I83" s="202" t="s">
        <v>772</v>
      </c>
      <c r="J83" s="201">
        <v>24000</v>
      </c>
      <c r="K83" s="201">
        <f t="shared" si="4"/>
        <v>19200</v>
      </c>
      <c r="L83" s="201">
        <f t="shared" si="7"/>
        <v>30000</v>
      </c>
      <c r="M83" s="33">
        <v>0.98299999999999998</v>
      </c>
      <c r="N83" s="448">
        <f t="shared" si="5"/>
        <v>1.25</v>
      </c>
      <c r="O83" s="69">
        <v>0</v>
      </c>
      <c r="S83" s="201"/>
      <c r="T83" s="201"/>
      <c r="U83" s="201"/>
    </row>
    <row r="84" spans="1:21" s="202" customFormat="1" x14ac:dyDescent="0.15">
      <c r="A84" s="202" t="s">
        <v>968</v>
      </c>
      <c r="B84" s="202" t="s">
        <v>727</v>
      </c>
      <c r="C84" s="202" t="s">
        <v>763</v>
      </c>
      <c r="D84" s="29">
        <v>3948.78</v>
      </c>
      <c r="E84" s="438">
        <f t="shared" si="3"/>
        <v>9.5728000000000008E-2</v>
      </c>
      <c r="F84" s="202" t="s">
        <v>77</v>
      </c>
      <c r="G84" s="202" t="s">
        <v>793</v>
      </c>
      <c r="H84" s="202">
        <v>3</v>
      </c>
      <c r="I84" s="202" t="s">
        <v>772</v>
      </c>
      <c r="J84" s="201">
        <v>33000</v>
      </c>
      <c r="K84" s="201">
        <f t="shared" si="4"/>
        <v>26400</v>
      </c>
      <c r="L84" s="201">
        <f t="shared" si="7"/>
        <v>41250</v>
      </c>
      <c r="M84" s="33">
        <v>0.98299999999999998</v>
      </c>
      <c r="N84" s="448">
        <f t="shared" si="5"/>
        <v>1.25</v>
      </c>
      <c r="O84" s="69">
        <v>0</v>
      </c>
      <c r="S84" s="201"/>
      <c r="T84" s="201"/>
      <c r="U84" s="201"/>
    </row>
    <row r="85" spans="1:21" s="202" customFormat="1" x14ac:dyDescent="0.15">
      <c r="A85" s="202" t="s">
        <v>969</v>
      </c>
      <c r="B85" s="202" t="s">
        <v>727</v>
      </c>
      <c r="C85" s="202" t="s">
        <v>764</v>
      </c>
      <c r="D85" s="29">
        <v>4371</v>
      </c>
      <c r="E85" s="438">
        <f t="shared" si="3"/>
        <v>8.7419999999999998E-2</v>
      </c>
      <c r="F85" s="202" t="s">
        <v>77</v>
      </c>
      <c r="G85" s="202" t="s">
        <v>793</v>
      </c>
      <c r="H85" s="202">
        <v>3</v>
      </c>
      <c r="I85" s="202" t="s">
        <v>772</v>
      </c>
      <c r="J85" s="201">
        <v>40000</v>
      </c>
      <c r="K85" s="201">
        <f t="shared" si="4"/>
        <v>32000</v>
      </c>
      <c r="L85" s="201">
        <f t="shared" si="7"/>
        <v>50000</v>
      </c>
      <c r="M85" s="33">
        <v>0.98299999999999998</v>
      </c>
      <c r="N85" s="448">
        <f t="shared" si="5"/>
        <v>1.25</v>
      </c>
      <c r="O85" s="69">
        <v>0</v>
      </c>
      <c r="S85" s="201"/>
      <c r="T85" s="201"/>
      <c r="U85" s="201"/>
    </row>
    <row r="86" spans="1:21" s="202" customFormat="1" x14ac:dyDescent="0.15">
      <c r="A86" s="202" t="s">
        <v>970</v>
      </c>
      <c r="B86" s="202" t="s">
        <v>735</v>
      </c>
      <c r="C86" s="202" t="s">
        <v>765</v>
      </c>
      <c r="D86" s="29">
        <v>6603</v>
      </c>
      <c r="E86" s="438">
        <f t="shared" si="3"/>
        <v>0.13206000000000001</v>
      </c>
      <c r="F86" s="202" t="s">
        <v>777</v>
      </c>
      <c r="G86" s="202" t="s">
        <v>794</v>
      </c>
      <c r="H86" s="202">
        <v>3</v>
      </c>
      <c r="I86" s="202" t="s">
        <v>775</v>
      </c>
      <c r="J86" s="201">
        <v>40000</v>
      </c>
      <c r="K86" s="201">
        <f t="shared" si="4"/>
        <v>32000</v>
      </c>
      <c r="L86" s="201">
        <f t="shared" si="7"/>
        <v>50000</v>
      </c>
      <c r="M86" s="33">
        <v>0.97799999999999998</v>
      </c>
      <c r="N86" s="448">
        <f t="shared" si="5"/>
        <v>1.25</v>
      </c>
      <c r="O86" s="69">
        <v>0</v>
      </c>
      <c r="S86" s="201"/>
      <c r="T86" s="201"/>
      <c r="U86" s="201"/>
    </row>
    <row r="87" spans="1:21" s="202" customFormat="1" x14ac:dyDescent="0.15">
      <c r="A87" s="202" t="s">
        <v>971</v>
      </c>
      <c r="B87" s="202" t="s">
        <v>735</v>
      </c>
      <c r="C87" s="202" t="s">
        <v>766</v>
      </c>
      <c r="D87" s="29">
        <v>6984.3</v>
      </c>
      <c r="E87" s="438">
        <f t="shared" si="3"/>
        <v>0.139686</v>
      </c>
      <c r="F87" s="202" t="s">
        <v>777</v>
      </c>
      <c r="G87" s="202" t="s">
        <v>795</v>
      </c>
      <c r="H87" s="202">
        <v>3</v>
      </c>
      <c r="I87" s="202" t="s">
        <v>775</v>
      </c>
      <c r="J87" s="201">
        <v>40000</v>
      </c>
      <c r="K87" s="201">
        <f t="shared" si="4"/>
        <v>32000</v>
      </c>
      <c r="L87" s="201">
        <f t="shared" si="7"/>
        <v>50000</v>
      </c>
      <c r="M87" s="33">
        <v>0.97799999999999998</v>
      </c>
      <c r="N87" s="448">
        <f t="shared" si="5"/>
        <v>1.25</v>
      </c>
      <c r="O87" s="69">
        <v>0</v>
      </c>
      <c r="S87" s="201"/>
      <c r="T87" s="201"/>
      <c r="U87" s="201"/>
    </row>
    <row r="88" spans="1:21" s="202" customFormat="1" x14ac:dyDescent="0.15">
      <c r="A88" s="202" t="s">
        <v>972</v>
      </c>
      <c r="B88" s="202" t="s">
        <v>735</v>
      </c>
      <c r="C88" s="202" t="s">
        <v>767</v>
      </c>
      <c r="D88" s="29">
        <v>5549</v>
      </c>
      <c r="E88" s="438">
        <f t="shared" si="3"/>
        <v>8.8784000000000002E-2</v>
      </c>
      <c r="F88" s="202" t="s">
        <v>777</v>
      </c>
      <c r="H88" s="202">
        <v>3</v>
      </c>
      <c r="I88" s="202" t="s">
        <v>775</v>
      </c>
      <c r="J88" s="201">
        <v>50000</v>
      </c>
      <c r="K88" s="201">
        <f t="shared" si="4"/>
        <v>40000</v>
      </c>
      <c r="L88" s="201">
        <f t="shared" si="7"/>
        <v>62500</v>
      </c>
      <c r="M88" s="33"/>
      <c r="N88" s="448">
        <f t="shared" si="5"/>
        <v>1.25</v>
      </c>
      <c r="O88" s="69">
        <v>0</v>
      </c>
      <c r="S88" s="201"/>
      <c r="T88" s="201"/>
      <c r="U88" s="201"/>
    </row>
    <row r="89" spans="1:21" s="202" customFormat="1" x14ac:dyDescent="0.15">
      <c r="A89" s="202" t="s">
        <v>973</v>
      </c>
      <c r="B89" s="202" t="s">
        <v>740</v>
      </c>
      <c r="C89" s="202" t="s">
        <v>979</v>
      </c>
      <c r="D89" s="29">
        <v>3024</v>
      </c>
      <c r="E89" s="438">
        <f t="shared" ref="E89:E94" si="8">D89/L89</f>
        <v>0.24192</v>
      </c>
      <c r="F89" s="202" t="s">
        <v>77</v>
      </c>
      <c r="G89" s="202" t="s">
        <v>980</v>
      </c>
      <c r="H89" s="202">
        <v>3</v>
      </c>
      <c r="I89" s="202" t="s">
        <v>772</v>
      </c>
      <c r="J89" s="201">
        <v>10000</v>
      </c>
      <c r="K89" s="201">
        <f t="shared" ref="K89:K94" si="9">J89*0.8</f>
        <v>8000</v>
      </c>
      <c r="L89" s="201">
        <f t="shared" si="7"/>
        <v>12500</v>
      </c>
      <c r="M89" s="33">
        <v>0.98</v>
      </c>
      <c r="N89" s="448">
        <f t="shared" ref="N89:N94" si="10">L89/J89</f>
        <v>1.25</v>
      </c>
      <c r="O89" s="69">
        <v>0</v>
      </c>
      <c r="S89" s="201"/>
      <c r="T89" s="201"/>
      <c r="U89" s="201"/>
    </row>
    <row r="90" spans="1:21" s="202" customFormat="1" x14ac:dyDescent="0.15">
      <c r="A90" s="202" t="s">
        <v>974</v>
      </c>
      <c r="B90" s="202" t="s">
        <v>740</v>
      </c>
      <c r="C90" s="202" t="s">
        <v>768</v>
      </c>
      <c r="D90" s="29">
        <v>3329.55</v>
      </c>
      <c r="E90" s="438">
        <f t="shared" si="8"/>
        <v>0.22197</v>
      </c>
      <c r="F90" s="202" t="s">
        <v>77</v>
      </c>
      <c r="G90" s="202" t="s">
        <v>796</v>
      </c>
      <c r="H90" s="202">
        <v>3</v>
      </c>
      <c r="I90" s="202" t="s">
        <v>772</v>
      </c>
      <c r="J90" s="201">
        <v>12000</v>
      </c>
      <c r="K90" s="201">
        <f t="shared" si="9"/>
        <v>9600</v>
      </c>
      <c r="L90" s="201">
        <f t="shared" si="7"/>
        <v>15000</v>
      </c>
      <c r="M90" s="33">
        <v>0.97499999999999998</v>
      </c>
      <c r="N90" s="448">
        <f t="shared" si="10"/>
        <v>1.25</v>
      </c>
      <c r="O90" s="69">
        <v>0</v>
      </c>
      <c r="S90" s="201"/>
      <c r="T90" s="201"/>
      <c r="U90" s="201"/>
    </row>
    <row r="91" spans="1:21" s="202" customFormat="1" x14ac:dyDescent="0.15">
      <c r="A91" s="202" t="s">
        <v>975</v>
      </c>
      <c r="B91" s="202" t="s">
        <v>740</v>
      </c>
      <c r="C91" s="202" t="s">
        <v>769</v>
      </c>
      <c r="D91" s="29">
        <v>3792.6</v>
      </c>
      <c r="E91" s="438">
        <f t="shared" si="8"/>
        <v>0.20227200000000001</v>
      </c>
      <c r="F91" s="202" t="s">
        <v>77</v>
      </c>
      <c r="G91" s="202" t="s">
        <v>796</v>
      </c>
      <c r="H91" s="202">
        <v>3</v>
      </c>
      <c r="I91" s="202" t="s">
        <v>772</v>
      </c>
      <c r="J91" s="201">
        <v>15000</v>
      </c>
      <c r="K91" s="201">
        <f t="shared" si="9"/>
        <v>12000</v>
      </c>
      <c r="L91" s="201">
        <f t="shared" si="7"/>
        <v>18750</v>
      </c>
      <c r="M91" s="33">
        <v>0.97499999999999998</v>
      </c>
      <c r="N91" s="448">
        <f t="shared" si="10"/>
        <v>1.25</v>
      </c>
      <c r="O91" s="69">
        <v>0</v>
      </c>
      <c r="S91" s="201"/>
      <c r="T91" s="201"/>
      <c r="U91" s="201"/>
    </row>
    <row r="92" spans="1:21" s="202" customFormat="1" x14ac:dyDescent="0.15">
      <c r="A92" s="202" t="s">
        <v>976</v>
      </c>
      <c r="B92" s="202" t="s">
        <v>740</v>
      </c>
      <c r="C92" s="202" t="s">
        <v>770</v>
      </c>
      <c r="D92" s="29">
        <v>3921.75</v>
      </c>
      <c r="E92" s="438">
        <f t="shared" si="8"/>
        <v>0.15687000000000001</v>
      </c>
      <c r="F92" s="202" t="s">
        <v>77</v>
      </c>
      <c r="G92" s="202" t="s">
        <v>796</v>
      </c>
      <c r="H92" s="202">
        <v>3</v>
      </c>
      <c r="I92" s="202" t="s">
        <v>772</v>
      </c>
      <c r="J92" s="201">
        <v>20000</v>
      </c>
      <c r="K92" s="201">
        <f t="shared" si="9"/>
        <v>16000</v>
      </c>
      <c r="L92" s="201">
        <f t="shared" si="7"/>
        <v>25000</v>
      </c>
      <c r="M92" s="33">
        <v>0.97499999999999998</v>
      </c>
      <c r="N92" s="448">
        <f t="shared" si="10"/>
        <v>1.25</v>
      </c>
      <c r="O92" s="69">
        <v>0</v>
      </c>
      <c r="S92" s="201"/>
      <c r="T92" s="201"/>
      <c r="U92" s="201"/>
    </row>
    <row r="93" spans="1:21" s="202" customFormat="1" x14ac:dyDescent="0.15">
      <c r="A93" s="202" t="s">
        <v>977</v>
      </c>
      <c r="B93" s="202" t="s">
        <v>740</v>
      </c>
      <c r="C93" s="202" t="s">
        <v>771</v>
      </c>
      <c r="D93" s="29">
        <v>4126.5</v>
      </c>
      <c r="E93" s="438">
        <f t="shared" si="8"/>
        <v>0.11004</v>
      </c>
      <c r="F93" s="202" t="s">
        <v>77</v>
      </c>
      <c r="G93" s="202" t="s">
        <v>796</v>
      </c>
      <c r="H93" s="202">
        <v>3</v>
      </c>
      <c r="I93" s="202" t="s">
        <v>772</v>
      </c>
      <c r="J93" s="201">
        <v>30000</v>
      </c>
      <c r="K93" s="201">
        <f t="shared" si="9"/>
        <v>24000</v>
      </c>
      <c r="L93" s="201">
        <f t="shared" si="7"/>
        <v>37500</v>
      </c>
      <c r="M93" s="33">
        <v>0.98</v>
      </c>
      <c r="N93" s="448">
        <f t="shared" si="10"/>
        <v>1.25</v>
      </c>
      <c r="O93" s="69">
        <v>0</v>
      </c>
      <c r="S93" s="201"/>
      <c r="T93" s="201"/>
      <c r="U93" s="201"/>
    </row>
    <row r="94" spans="1:21" s="202" customFormat="1" x14ac:dyDescent="0.15">
      <c r="A94" s="202" t="s">
        <v>978</v>
      </c>
      <c r="B94" s="202" t="s">
        <v>740</v>
      </c>
      <c r="C94" s="202" t="s">
        <v>776</v>
      </c>
      <c r="D94" s="29">
        <v>6060.6</v>
      </c>
      <c r="E94" s="438">
        <f t="shared" si="8"/>
        <v>0.16161600000000001</v>
      </c>
      <c r="F94" s="202" t="s">
        <v>77</v>
      </c>
      <c r="G94" s="202" t="s">
        <v>796</v>
      </c>
      <c r="H94" s="202">
        <v>3</v>
      </c>
      <c r="I94" s="202" t="s">
        <v>772</v>
      </c>
      <c r="J94" s="201">
        <v>30000</v>
      </c>
      <c r="K94" s="201">
        <f t="shared" si="9"/>
        <v>24000</v>
      </c>
      <c r="L94" s="201">
        <f t="shared" si="7"/>
        <v>37500</v>
      </c>
      <c r="M94" s="33">
        <v>0.98</v>
      </c>
      <c r="N94" s="448">
        <f t="shared" si="10"/>
        <v>1.25</v>
      </c>
      <c r="O94" s="69">
        <v>0</v>
      </c>
      <c r="S94" s="201"/>
      <c r="T94" s="201"/>
      <c r="U94" s="201"/>
    </row>
    <row r="95" spans="1:21" x14ac:dyDescent="0.15">
      <c r="D95" s="29"/>
      <c r="E95" s="29"/>
    </row>
    <row r="96" spans="1:21" x14ac:dyDescent="0.15">
      <c r="A96" s="28" t="s">
        <v>111</v>
      </c>
      <c r="B96" s="28" t="s">
        <v>129</v>
      </c>
      <c r="C96" s="28" t="s">
        <v>75</v>
      </c>
      <c r="D96" s="27" t="s">
        <v>65</v>
      </c>
      <c r="E96" s="27" t="s">
        <v>71</v>
      </c>
      <c r="F96" s="28" t="s">
        <v>72</v>
      </c>
      <c r="G96" s="28" t="s">
        <v>73</v>
      </c>
      <c r="H96" s="203"/>
      <c r="I96" s="203"/>
      <c r="J96" s="28"/>
      <c r="K96" s="28"/>
      <c r="L96" s="31" t="s">
        <v>70</v>
      </c>
    </row>
    <row r="97" spans="1:18" x14ac:dyDescent="0.15">
      <c r="A97" s="26" t="str">
        <f>B97&amp;IF(C97="","","_"&amp;C97)</f>
        <v>Enphase_ENV-120 M</v>
      </c>
      <c r="B97" s="26" t="s">
        <v>99</v>
      </c>
      <c r="C97" s="26" t="s">
        <v>109</v>
      </c>
      <c r="D97" s="29">
        <v>201.3</v>
      </c>
      <c r="F97" s="26" t="s">
        <v>80</v>
      </c>
      <c r="G97" s="26" t="s">
        <v>113</v>
      </c>
      <c r="L97" s="29"/>
      <c r="R97" s="202" t="str">
        <f>"Components!A"&amp;ROW(A97)&amp;":A"&amp;ROW(A97)</f>
        <v>Components!A97:A97</v>
      </c>
    </row>
    <row r="98" spans="1:18" s="202" customFormat="1" x14ac:dyDescent="0.15">
      <c r="A98" s="202" t="str">
        <f>B98&amp;IF(C98="","","_"&amp;C98)</f>
        <v>APS_ECU-MX-YC500</v>
      </c>
      <c r="B98" s="202" t="s">
        <v>701</v>
      </c>
      <c r="C98" s="202" t="s">
        <v>797</v>
      </c>
      <c r="D98" s="29">
        <v>239.4</v>
      </c>
      <c r="F98" s="202" t="s">
        <v>77</v>
      </c>
      <c r="L98" s="29"/>
      <c r="R98" s="202" t="str">
        <f>"Components!A"&amp;ROW(A98)&amp;":A"&amp;ROW(A98)</f>
        <v>Components!A98:A98</v>
      </c>
    </row>
    <row r="99" spans="1:18" x14ac:dyDescent="0.15">
      <c r="A99" s="26" t="str">
        <f>B99&amp;IF(C99="","","_"&amp;C99)</f>
        <v>TIGO_CCA-PS-INT</v>
      </c>
      <c r="B99" s="26" t="s">
        <v>100</v>
      </c>
      <c r="C99" s="26" t="s">
        <v>101</v>
      </c>
      <c r="D99" s="29">
        <v>211.2</v>
      </c>
      <c r="E99" s="29"/>
      <c r="F99" s="26" t="s">
        <v>77</v>
      </c>
      <c r="G99" s="26" t="s">
        <v>102</v>
      </c>
      <c r="R99" s="202" t="str">
        <f>"Components!A"&amp;ROW(A99)&amp;":A"&amp;ROW(A99)+COUNTA($A$99:$A$102)-1</f>
        <v>Components!A99:A101</v>
      </c>
    </row>
    <row r="100" spans="1:18" x14ac:dyDescent="0.15">
      <c r="A100" s="26" t="str">
        <f>B100&amp;IF(C100="","","_"&amp;C100)</f>
        <v>TIGO_CCAK-IGDIN</v>
      </c>
      <c r="B100" s="26" t="s">
        <v>100</v>
      </c>
      <c r="C100" s="26" t="s">
        <v>103</v>
      </c>
      <c r="D100" s="29">
        <v>224.8</v>
      </c>
      <c r="E100" s="29"/>
      <c r="F100" s="26" t="s">
        <v>77</v>
      </c>
      <c r="G100" s="26" t="s">
        <v>104</v>
      </c>
    </row>
    <row r="101" spans="1:18" x14ac:dyDescent="0.15">
      <c r="A101" s="26" t="str">
        <f>B101&amp;IF(C101="","","_"&amp;C101)</f>
        <v>TIGO_CCA-DINOUT</v>
      </c>
      <c r="B101" s="26" t="s">
        <v>100</v>
      </c>
      <c r="C101" s="26" t="s">
        <v>105</v>
      </c>
      <c r="D101" s="29">
        <v>252.8</v>
      </c>
      <c r="E101" s="29"/>
      <c r="F101" s="26" t="s">
        <v>77</v>
      </c>
      <c r="G101" s="26" t="s">
        <v>106</v>
      </c>
    </row>
    <row r="102" spans="1:18" x14ac:dyDescent="0.15">
      <c r="D102" s="29"/>
      <c r="E102" s="29"/>
    </row>
    <row r="103" spans="1:18" x14ac:dyDescent="0.15">
      <c r="A103" s="28" t="s">
        <v>5</v>
      </c>
      <c r="B103" s="28" t="s">
        <v>129</v>
      </c>
      <c r="C103" s="28" t="s">
        <v>75</v>
      </c>
      <c r="D103" s="27" t="s">
        <v>65</v>
      </c>
      <c r="E103" s="27" t="s">
        <v>71</v>
      </c>
      <c r="F103" s="28" t="s">
        <v>72</v>
      </c>
      <c r="G103" s="28" t="s">
        <v>73</v>
      </c>
      <c r="H103" s="203"/>
      <c r="I103" s="203"/>
      <c r="J103" s="28"/>
      <c r="K103" s="28"/>
      <c r="L103" s="31" t="s">
        <v>70</v>
      </c>
    </row>
    <row r="104" spans="1:18" s="68" customFormat="1" x14ac:dyDescent="0.15">
      <c r="A104" s="68" t="s">
        <v>169</v>
      </c>
      <c r="D104" s="29">
        <f>266+IF(CFE_Hilos=3,114,38)</f>
        <v>304</v>
      </c>
      <c r="F104" s="68" t="s">
        <v>170</v>
      </c>
      <c r="G104" s="68" t="s">
        <v>171</v>
      </c>
      <c r="H104" s="202"/>
      <c r="I104" s="202"/>
      <c r="L104" s="29"/>
      <c r="P104" s="202"/>
      <c r="Q104" s="202"/>
    </row>
    <row r="105" spans="1:18" x14ac:dyDescent="0.15">
      <c r="D105" s="29"/>
      <c r="E105" s="29"/>
    </row>
    <row r="106" spans="1:18" x14ac:dyDescent="0.15">
      <c r="A106" s="28" t="s">
        <v>136</v>
      </c>
      <c r="B106" s="28" t="s">
        <v>129</v>
      </c>
      <c r="C106" s="28" t="s">
        <v>75</v>
      </c>
      <c r="D106" s="27" t="s">
        <v>65</v>
      </c>
      <c r="E106" s="27" t="s">
        <v>71</v>
      </c>
      <c r="F106" s="28" t="s">
        <v>72</v>
      </c>
      <c r="G106" s="28" t="s">
        <v>73</v>
      </c>
      <c r="H106" s="203"/>
      <c r="I106" s="203"/>
      <c r="J106" s="28"/>
      <c r="K106" s="28"/>
      <c r="L106" s="31" t="s">
        <v>70</v>
      </c>
    </row>
    <row r="107" spans="1:18" x14ac:dyDescent="0.15">
      <c r="A107" s="26" t="str">
        <f>B107&amp;IF(C107="","","_"&amp;C107)</f>
        <v>TIGO_GTWY-WCOMM</v>
      </c>
      <c r="B107" s="26" t="s">
        <v>100</v>
      </c>
      <c r="C107" s="26" t="s">
        <v>107</v>
      </c>
      <c r="D107" s="29">
        <v>64</v>
      </c>
      <c r="E107" s="29"/>
      <c r="F107" s="26" t="s">
        <v>77</v>
      </c>
      <c r="G107" s="26" t="s">
        <v>108</v>
      </c>
    </row>
    <row r="108" spans="1:18" x14ac:dyDescent="0.15">
      <c r="A108" s="26" t="str">
        <f>B108&amp;IF(C108="","","_"&amp;C108)</f>
        <v>Enphase_WF-01</v>
      </c>
      <c r="B108" s="68" t="s">
        <v>99</v>
      </c>
      <c r="C108" s="68" t="s">
        <v>110</v>
      </c>
      <c r="D108" s="29">
        <v>29.44</v>
      </c>
      <c r="F108" s="26" t="s">
        <v>77</v>
      </c>
      <c r="G108" s="26" t="s">
        <v>137</v>
      </c>
      <c r="L108" s="29"/>
    </row>
  </sheetData>
  <pageMargins left="0.7" right="0.7" top="0.75" bottom="0.75" header="0.3" footer="0.3"/>
  <pageSetup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9"/>
  <sheetViews>
    <sheetView zoomScaleNormal="100" zoomScalePageLayoutView="130" workbookViewId="0">
      <pane xSplit="1" ySplit="3" topLeftCell="B4" activePane="bottomRight" state="frozen"/>
      <selection sqref="A1:H8"/>
      <selection pane="topRight" sqref="A1:H8"/>
      <selection pane="bottomLeft" sqref="A1:H8"/>
      <selection pane="bottomRight" activeCell="B4" sqref="B4"/>
    </sheetView>
  </sheetViews>
  <sheetFormatPr defaultColWidth="11.42578125" defaultRowHeight="10.5" x14ac:dyDescent="0.15"/>
  <cols>
    <col min="1" max="1" width="29.42578125" style="103" customWidth="1"/>
    <col min="2" max="5" width="7.85546875" style="103" bestFit="1" customWidth="1"/>
    <col min="6" max="10" width="7.85546875" style="72" bestFit="1" customWidth="1"/>
    <col min="11" max="13" width="8" style="72" bestFit="1" customWidth="1"/>
    <col min="14" max="14" width="12" style="72" bestFit="1" customWidth="1"/>
    <col min="15" max="15" width="11.42578125" style="72"/>
    <col min="16" max="16" width="37" style="72" bestFit="1" customWidth="1"/>
    <col min="17" max="29" width="5" style="72" bestFit="1" customWidth="1"/>
    <col min="30" max="16384" width="11.42578125" style="72"/>
  </cols>
  <sheetData>
    <row r="1" spans="1:15" x14ac:dyDescent="0.15">
      <c r="A1" s="583" t="s">
        <v>1021</v>
      </c>
      <c r="B1" s="506">
        <f>IF(VLOOKUP(B2,Inputs!$A$36:$B$47,2,FALSE)="",CustUsage_kWhPerYear/12,VLOOKUP(B2,Inputs!$A$36:$B$47,2,FALSE))</f>
        <v>1544</v>
      </c>
      <c r="C1" s="506">
        <f>IF(VLOOKUP(C2,Inputs!$A$36:$B$47,2,FALSE)="",CustUsage_kWhPerYear/12,VLOOKUP(C2,Inputs!$A$36:$B$47,2,FALSE))</f>
        <v>1498</v>
      </c>
      <c r="D1" s="506">
        <f>IF(VLOOKUP(D2,Inputs!$A$36:$B$47,2,FALSE)="",CustUsage_kWhPerYear/12,VLOOKUP(D2,Inputs!$A$36:$B$47,2,FALSE))</f>
        <v>1686</v>
      </c>
      <c r="E1" s="506">
        <f>IF(VLOOKUP(E2,Inputs!$A$36:$B$47,2,FALSE)="",CustUsage_kWhPerYear/12,VLOOKUP(E2,Inputs!$A$36:$B$47,2,FALSE))</f>
        <v>956</v>
      </c>
      <c r="F1" s="506">
        <f>IF(VLOOKUP(F2,Inputs!$A$36:$B$47,2,FALSE)="",CustUsage_kWhPerYear/12,VLOOKUP(F2,Inputs!$A$36:$B$47,2,FALSE))</f>
        <v>568</v>
      </c>
      <c r="G1" s="506">
        <f>IF(VLOOKUP(G2,Inputs!$A$36:$B$47,2,FALSE)="",CustUsage_kWhPerYear/12,VLOOKUP(G2,Inputs!$A$36:$B$47,2,FALSE))</f>
        <v>778</v>
      </c>
      <c r="H1" s="506">
        <f>IF(VLOOKUP(H2,Inputs!$A$36:$B$47,2,FALSE)="",CustUsage_kWhPerYear/12,VLOOKUP(H2,Inputs!$A$36:$B$47,2,FALSE))</f>
        <v>882</v>
      </c>
      <c r="I1" s="506">
        <f>IF(VLOOKUP(I2,Inputs!$A$36:$B$47,2,FALSE)="",CustUsage_kWhPerYear/12,VLOOKUP(I2,Inputs!$A$36:$B$47,2,FALSE))</f>
        <v>950</v>
      </c>
      <c r="J1" s="506">
        <f>IF(VLOOKUP(J2,Inputs!$A$36:$B$47,2,FALSE)="",CustUsage_kWhPerYear/12,VLOOKUP(J2,Inputs!$A$36:$B$47,2,FALSE))</f>
        <v>1280</v>
      </c>
      <c r="K1" s="506">
        <f>IF(VLOOKUP(K2,Inputs!$A$36:$B$47,2,FALSE)="",CustUsage_kWhPerYear/12,VLOOKUP(K2,Inputs!$A$36:$B$47,2,FALSE))</f>
        <v>1500</v>
      </c>
      <c r="L1" s="506">
        <f>IF(VLOOKUP(L2,Inputs!$A$36:$B$47,2,FALSE)="",CustUsage_kWhPerYear/12,VLOOKUP(L2,Inputs!$A$36:$B$47,2,FALSE))</f>
        <v>1800</v>
      </c>
      <c r="M1" s="506">
        <f>IF(VLOOKUP(M2,Inputs!$A$36:$B$47,2,FALSE)="",CustUsage_kWhPerYear/12,VLOOKUP(M2,Inputs!$A$36:$B$47,2,FALSE))</f>
        <v>1774</v>
      </c>
    </row>
    <row r="2" spans="1:15" x14ac:dyDescent="0.15">
      <c r="A2" s="102" t="s">
        <v>197</v>
      </c>
      <c r="B2" s="509" t="str">
        <f>VLOOKUP(B30,ListData!$B$116:$C$127,2,FALSE)</f>
        <v>SEP</v>
      </c>
      <c r="C2" s="509" t="str">
        <f>VLOOKUP(C30,ListData!$B$116:$C$127,2,FALSE)</f>
        <v>OCT</v>
      </c>
      <c r="D2" s="509" t="str">
        <f>VLOOKUP(D30,ListData!$B$116:$C$127,2,FALSE)</f>
        <v>NOV</v>
      </c>
      <c r="E2" s="509" t="str">
        <f>VLOOKUP(E30,ListData!$B$116:$C$127,2,FALSE)</f>
        <v>DIC</v>
      </c>
      <c r="F2" s="509" t="str">
        <f>VLOOKUP(F30,ListData!$B$116:$C$127,2,FALSE)</f>
        <v>ENE</v>
      </c>
      <c r="G2" s="509" t="str">
        <f>VLOOKUP(G30,ListData!$B$116:$C$127,2,FALSE)</f>
        <v>FEB</v>
      </c>
      <c r="H2" s="509" t="str">
        <f>VLOOKUP(H30,ListData!$B$116:$C$127,2,FALSE)</f>
        <v>MAR</v>
      </c>
      <c r="I2" s="509" t="str">
        <f>VLOOKUP(I30,ListData!$B$116:$C$127,2,FALSE)</f>
        <v>ABR</v>
      </c>
      <c r="J2" s="509" t="str">
        <f>VLOOKUP(J30,ListData!$B$116:$C$127,2,FALSE)</f>
        <v>MAY</v>
      </c>
      <c r="K2" s="509" t="str">
        <f>VLOOKUP(K30,ListData!$B$116:$C$127,2,FALSE)</f>
        <v>JUN</v>
      </c>
      <c r="L2" s="509" t="str">
        <f>VLOOKUP(L30,ListData!$B$116:$C$127,2,FALSE)</f>
        <v>JUL</v>
      </c>
      <c r="M2" s="509" t="str">
        <f>VLOOKUP(M30,ListData!$B$116:$C$127,2,FALSE)</f>
        <v>AGO</v>
      </c>
    </row>
    <row r="3" spans="1:15" ht="31.5" x14ac:dyDescent="0.15">
      <c r="A3" s="110" t="s">
        <v>46</v>
      </c>
      <c r="B3" s="105">
        <v>201609</v>
      </c>
      <c r="C3" s="105">
        <v>201610</v>
      </c>
      <c r="D3" s="105">
        <v>201611</v>
      </c>
      <c r="E3" s="105">
        <v>201612</v>
      </c>
      <c r="F3" s="105">
        <v>201701</v>
      </c>
      <c r="G3" s="105">
        <v>201702</v>
      </c>
      <c r="H3" s="105">
        <v>201703</v>
      </c>
      <c r="I3" s="105">
        <v>201704</v>
      </c>
      <c r="J3" s="105">
        <v>201705</v>
      </c>
      <c r="K3" s="105">
        <v>201706</v>
      </c>
      <c r="L3" s="105">
        <v>201707</v>
      </c>
      <c r="M3" s="105">
        <v>201708</v>
      </c>
      <c r="N3" s="105" t="s">
        <v>991</v>
      </c>
      <c r="O3" s="105" t="s">
        <v>1012</v>
      </c>
    </row>
    <row r="4" spans="1:15" x14ac:dyDescent="0.15">
      <c r="A4" s="229" t="s">
        <v>47</v>
      </c>
      <c r="B4" s="229"/>
      <c r="C4" s="72"/>
      <c r="D4" s="72"/>
      <c r="E4" s="229"/>
      <c r="F4" s="229"/>
    </row>
    <row r="5" spans="1:15" x14ac:dyDescent="0.15">
      <c r="A5" s="103" t="s">
        <v>48</v>
      </c>
      <c r="B5" s="109">
        <v>92.45</v>
      </c>
      <c r="C5" s="72">
        <v>92.86</v>
      </c>
      <c r="D5" s="72">
        <v>93.97</v>
      </c>
      <c r="E5" s="109">
        <v>94.17</v>
      </c>
      <c r="F5" s="109">
        <v>95.67</v>
      </c>
      <c r="G5" s="72">
        <v>97.01</v>
      </c>
      <c r="H5" s="72">
        <v>99.95</v>
      </c>
      <c r="I5" s="202">
        <v>100.55</v>
      </c>
      <c r="J5" s="72">
        <v>99.84</v>
      </c>
      <c r="K5" s="72">
        <v>98.71</v>
      </c>
      <c r="L5" s="72">
        <v>98.86</v>
      </c>
      <c r="M5" s="72">
        <v>98</v>
      </c>
      <c r="N5" s="511"/>
      <c r="O5" s="511"/>
    </row>
    <row r="6" spans="1:15" x14ac:dyDescent="0.15">
      <c r="A6" s="103" t="s">
        <v>49</v>
      </c>
      <c r="B6" s="109">
        <v>3.7530000000000001</v>
      </c>
      <c r="C6" s="72">
        <v>3.7570000000000001</v>
      </c>
      <c r="D6" s="109">
        <v>3.8809999999999998</v>
      </c>
      <c r="E6" s="109">
        <v>3.9350000000000001</v>
      </c>
      <c r="F6" s="109">
        <v>4.0380000000000003</v>
      </c>
      <c r="G6" s="72">
        <v>4.1929999999999996</v>
      </c>
      <c r="H6" s="109">
        <v>4.5280000000000005</v>
      </c>
      <c r="I6" s="111">
        <v>4.4619999999999997</v>
      </c>
      <c r="J6" s="72">
        <v>4.2460000000000004</v>
      </c>
      <c r="K6" s="72">
        <v>4.2320000000000002</v>
      </c>
      <c r="L6" s="72">
        <v>4.2249999999999996</v>
      </c>
      <c r="M6" s="72">
        <v>4.1529999999999996</v>
      </c>
      <c r="N6" s="511"/>
      <c r="O6" s="511"/>
    </row>
    <row r="7" spans="1:15" x14ac:dyDescent="0.15">
      <c r="A7" s="229" t="s">
        <v>50</v>
      </c>
      <c r="B7" s="229"/>
      <c r="C7" s="72"/>
      <c r="D7" s="72"/>
      <c r="E7" s="229"/>
      <c r="F7" s="229"/>
      <c r="I7" s="202"/>
    </row>
    <row r="8" spans="1:15" x14ac:dyDescent="0.15">
      <c r="A8" s="103" t="s">
        <v>48</v>
      </c>
      <c r="B8" s="109">
        <v>92.45</v>
      </c>
      <c r="C8" s="60">
        <v>92.86</v>
      </c>
      <c r="D8" s="72">
        <v>93.97</v>
      </c>
      <c r="E8" s="109">
        <v>94.17</v>
      </c>
      <c r="F8" s="109">
        <v>95.67</v>
      </c>
      <c r="G8" s="60">
        <f>G5</f>
        <v>97.01</v>
      </c>
      <c r="H8" s="72">
        <v>99.95</v>
      </c>
      <c r="I8" s="202">
        <v>100.55</v>
      </c>
      <c r="J8" s="72">
        <v>99.84</v>
      </c>
      <c r="K8" s="72">
        <v>98.71</v>
      </c>
      <c r="L8" s="72">
        <v>98.86</v>
      </c>
      <c r="M8" s="72">
        <v>98</v>
      </c>
      <c r="N8" s="511"/>
      <c r="O8" s="511"/>
    </row>
    <row r="9" spans="1:15" x14ac:dyDescent="0.15">
      <c r="A9" s="103" t="s">
        <v>49</v>
      </c>
      <c r="B9" s="109">
        <v>3.222</v>
      </c>
      <c r="C9" s="72">
        <v>3.226</v>
      </c>
      <c r="D9" s="109">
        <v>3.3330000000000002</v>
      </c>
      <c r="E9" s="109">
        <v>3.379</v>
      </c>
      <c r="F9" s="109">
        <v>3.468</v>
      </c>
      <c r="G9" s="72">
        <v>3.601</v>
      </c>
      <c r="H9" s="109">
        <v>3.8890000000000002</v>
      </c>
      <c r="I9" s="111">
        <v>3.8330000000000002</v>
      </c>
      <c r="J9" s="72">
        <v>3.6469999999999998</v>
      </c>
      <c r="K9" s="72">
        <v>3.6349999999999998</v>
      </c>
      <c r="L9" s="72">
        <v>3.629</v>
      </c>
      <c r="M9" s="72">
        <v>3.5670000000000002</v>
      </c>
      <c r="N9" s="511"/>
      <c r="O9" s="511"/>
    </row>
    <row r="10" spans="1:15" x14ac:dyDescent="0.15">
      <c r="A10" s="229" t="s">
        <v>867</v>
      </c>
      <c r="B10" s="229"/>
      <c r="C10" s="72"/>
      <c r="D10" s="72"/>
      <c r="E10" s="229"/>
      <c r="F10" s="229"/>
      <c r="I10" s="202"/>
    </row>
    <row r="11" spans="1:15" x14ac:dyDescent="0.15">
      <c r="A11" s="103" t="s">
        <v>48</v>
      </c>
      <c r="B11" s="109">
        <v>92.45</v>
      </c>
      <c r="C11" s="60">
        <v>92.86</v>
      </c>
      <c r="D11" s="72">
        <v>93.97</v>
      </c>
      <c r="E11" s="109">
        <v>94.17</v>
      </c>
      <c r="F11" s="109">
        <v>95.67</v>
      </c>
      <c r="G11" s="60">
        <f>G$5</f>
        <v>97.01</v>
      </c>
      <c r="H11" s="72">
        <v>99.95</v>
      </c>
      <c r="I11" s="202">
        <v>100.55</v>
      </c>
      <c r="J11" s="72">
        <v>99.84</v>
      </c>
      <c r="K11" s="72">
        <v>98.71</v>
      </c>
      <c r="L11" s="72">
        <v>98.86</v>
      </c>
      <c r="M11" s="72">
        <v>98</v>
      </c>
      <c r="N11" s="511"/>
      <c r="O11" s="511"/>
    </row>
    <row r="12" spans="1:15" x14ac:dyDescent="0.15">
      <c r="A12" s="103" t="s">
        <v>49</v>
      </c>
      <c r="B12" s="109">
        <v>4.09</v>
      </c>
      <c r="C12" s="72">
        <v>4.0940000000000003</v>
      </c>
      <c r="D12" s="109">
        <v>4.2300000000000004</v>
      </c>
      <c r="E12" s="109">
        <v>4.2889999999999997</v>
      </c>
      <c r="F12" s="109">
        <v>4.4009999999999998</v>
      </c>
      <c r="G12" s="72">
        <v>4.57</v>
      </c>
      <c r="H12" s="109">
        <v>4.9350000000000005</v>
      </c>
      <c r="I12" s="111">
        <v>4.8629999999999995</v>
      </c>
      <c r="J12" s="72">
        <v>4.6280000000000001</v>
      </c>
      <c r="K12" s="72">
        <v>4.6120000000000001</v>
      </c>
      <c r="L12" s="72">
        <v>4.6050000000000004</v>
      </c>
      <c r="M12" s="72">
        <v>4.5259999999999998</v>
      </c>
      <c r="N12" s="511"/>
      <c r="O12" s="511"/>
    </row>
    <row r="13" spans="1:15" x14ac:dyDescent="0.15">
      <c r="A13" s="229" t="s">
        <v>868</v>
      </c>
      <c r="B13" s="229"/>
      <c r="C13" s="72"/>
      <c r="D13" s="72"/>
      <c r="E13" s="229"/>
      <c r="F13" s="229"/>
      <c r="I13" s="202"/>
    </row>
    <row r="14" spans="1:15" x14ac:dyDescent="0.15">
      <c r="A14" s="103" t="s">
        <v>48</v>
      </c>
      <c r="B14" s="109">
        <v>92.45</v>
      </c>
      <c r="C14" s="60">
        <v>92.86</v>
      </c>
      <c r="D14" s="72">
        <v>93.97</v>
      </c>
      <c r="E14" s="109">
        <v>94.17</v>
      </c>
      <c r="F14" s="109">
        <v>95.67</v>
      </c>
      <c r="G14" s="60">
        <f>G$5</f>
        <v>97.01</v>
      </c>
      <c r="H14" s="72">
        <v>99.95</v>
      </c>
      <c r="I14" s="202">
        <v>100.55</v>
      </c>
      <c r="J14" s="72">
        <v>99.84</v>
      </c>
      <c r="K14" s="72">
        <v>98.71</v>
      </c>
      <c r="L14" s="72">
        <v>98.86</v>
      </c>
      <c r="M14" s="72">
        <v>98</v>
      </c>
      <c r="N14" s="511"/>
      <c r="O14" s="511"/>
    </row>
    <row r="15" spans="1:15" x14ac:dyDescent="0.15">
      <c r="A15" s="103" t="s">
        <v>49</v>
      </c>
      <c r="B15" s="109">
        <v>3.222</v>
      </c>
      <c r="C15" s="72">
        <v>3.226</v>
      </c>
      <c r="D15" s="109">
        <v>3.3330000000000002</v>
      </c>
      <c r="E15" s="109">
        <v>3.379</v>
      </c>
      <c r="F15" s="109">
        <v>3.468</v>
      </c>
      <c r="G15" s="72">
        <v>3.601</v>
      </c>
      <c r="H15" s="109">
        <v>3.8890000000000002</v>
      </c>
      <c r="I15" s="111">
        <v>3.8330000000000002</v>
      </c>
      <c r="J15" s="72">
        <v>3.6469999999999998</v>
      </c>
      <c r="K15" s="72">
        <v>3.6349999999999998</v>
      </c>
      <c r="L15" s="72">
        <v>3.629</v>
      </c>
      <c r="M15" s="72">
        <v>3.5670000000000002</v>
      </c>
      <c r="N15" s="511"/>
      <c r="O15" s="511"/>
    </row>
    <row r="16" spans="1:15" x14ac:dyDescent="0.15">
      <c r="A16" s="101" t="s">
        <v>52</v>
      </c>
      <c r="B16" s="72"/>
      <c r="C16" s="72"/>
      <c r="D16" s="72"/>
      <c r="E16" s="72"/>
      <c r="I16" s="202"/>
    </row>
    <row r="17" spans="1:30" x14ac:dyDescent="0.15">
      <c r="A17" s="103" t="s">
        <v>48</v>
      </c>
      <c r="B17" s="109">
        <v>92.45</v>
      </c>
      <c r="C17" s="60">
        <v>92.86</v>
      </c>
      <c r="D17" s="72">
        <v>93.97</v>
      </c>
      <c r="E17" s="109">
        <v>94.17</v>
      </c>
      <c r="F17" s="109">
        <v>95.67</v>
      </c>
      <c r="G17" s="60">
        <f>G$5</f>
        <v>97.01</v>
      </c>
      <c r="H17" s="72">
        <v>99.95</v>
      </c>
      <c r="I17" s="202">
        <v>100.55</v>
      </c>
      <c r="J17" s="72">
        <v>99.84</v>
      </c>
      <c r="K17" s="72">
        <v>98.71</v>
      </c>
      <c r="L17" s="72">
        <v>98.86</v>
      </c>
      <c r="M17" s="72">
        <v>98</v>
      </c>
      <c r="N17" s="511">
        <f>AVERAGE(B17:M17)</f>
        <v>96.836666666666659</v>
      </c>
      <c r="O17" s="511">
        <f>N17</f>
        <v>96.836666666666659</v>
      </c>
    </row>
    <row r="18" spans="1:30" x14ac:dyDescent="0.15">
      <c r="A18" s="103" t="s">
        <v>53</v>
      </c>
      <c r="B18" s="109">
        <v>3.6160000000000001</v>
      </c>
      <c r="C18" s="72">
        <v>3.62</v>
      </c>
      <c r="D18" s="109">
        <v>3.74</v>
      </c>
      <c r="E18" s="109">
        <v>3.7919999999999998</v>
      </c>
      <c r="F18" s="109">
        <v>3.891</v>
      </c>
      <c r="G18" s="72">
        <v>4.04</v>
      </c>
      <c r="H18" s="109">
        <v>4.3629999999999995</v>
      </c>
      <c r="I18" s="111">
        <v>4.3</v>
      </c>
      <c r="J18" s="72">
        <v>4.0919999999999996</v>
      </c>
      <c r="K18" s="72">
        <v>4.0780000000000003</v>
      </c>
      <c r="L18" s="72">
        <v>4.0709999999999997</v>
      </c>
      <c r="M18" s="72">
        <v>4.0010000000000003</v>
      </c>
      <c r="N18" s="511">
        <f>AVERAGE(B18:M18)</f>
        <v>3.9670000000000001</v>
      </c>
      <c r="O18" s="511">
        <f>IFERROR(SUMPRODUCT($B$1:$M$1,B18:M18)/CustUsage_kWhPerYear,N18)</f>
        <v>3.9434387486855935</v>
      </c>
    </row>
    <row r="19" spans="1:30" x14ac:dyDescent="0.15">
      <c r="A19" s="101" t="s">
        <v>54</v>
      </c>
      <c r="B19" s="72"/>
      <c r="C19" s="72"/>
      <c r="D19" s="72"/>
      <c r="E19" s="109"/>
      <c r="I19" s="202"/>
    </row>
    <row r="20" spans="1:30" x14ac:dyDescent="0.15">
      <c r="A20" s="103" t="s">
        <v>48</v>
      </c>
      <c r="B20" s="109">
        <v>92.45</v>
      </c>
      <c r="C20" s="60">
        <v>92.86</v>
      </c>
      <c r="D20" s="72">
        <v>93.97</v>
      </c>
      <c r="E20" s="109">
        <v>94.17</v>
      </c>
      <c r="F20" s="109">
        <v>95.67</v>
      </c>
      <c r="G20" s="60">
        <f>G$5</f>
        <v>97.01</v>
      </c>
      <c r="H20" s="72">
        <v>99.95</v>
      </c>
      <c r="I20" s="202">
        <v>99.95</v>
      </c>
      <c r="J20" s="72">
        <v>99.84</v>
      </c>
      <c r="K20" s="72">
        <v>98.71</v>
      </c>
      <c r="L20" s="72">
        <v>98.86</v>
      </c>
      <c r="M20" s="72">
        <v>98</v>
      </c>
      <c r="N20" s="511">
        <f>AVERAGE(B20:M20)</f>
        <v>96.786666666666676</v>
      </c>
      <c r="O20" s="511">
        <f>N20</f>
        <v>96.786666666666676</v>
      </c>
    </row>
    <row r="21" spans="1:30" x14ac:dyDescent="0.15">
      <c r="A21" s="103" t="s">
        <v>49</v>
      </c>
      <c r="B21" s="109">
        <v>3.5270000000000001</v>
      </c>
      <c r="C21" s="72">
        <v>3.5310000000000001</v>
      </c>
      <c r="D21" s="109">
        <v>3.6480000000000001</v>
      </c>
      <c r="E21" s="109">
        <v>3.6989999999999998</v>
      </c>
      <c r="F21" s="109">
        <v>3.7960000000000003</v>
      </c>
      <c r="G21" s="72">
        <v>3.9409999999999998</v>
      </c>
      <c r="H21" s="109">
        <v>4.2560000000000002</v>
      </c>
      <c r="I21" s="111">
        <v>4.194</v>
      </c>
      <c r="J21" s="72">
        <v>3.9910000000000001</v>
      </c>
      <c r="K21" s="72">
        <v>3.9769999999999999</v>
      </c>
      <c r="L21" s="72">
        <v>3.9710000000000001</v>
      </c>
      <c r="M21" s="72">
        <v>3.903</v>
      </c>
      <c r="N21" s="511">
        <f>AVERAGE(B21:M21)</f>
        <v>3.8694999999999991</v>
      </c>
      <c r="O21" s="511">
        <f>IFERROR(SUMPRODUCT($B$1:$M$1,B21:M21)/CustUsage_kWhPerYear,N21)</f>
        <v>3.8464720031545752</v>
      </c>
    </row>
    <row r="22" spans="1:30" x14ac:dyDescent="0.15">
      <c r="A22" s="101" t="s">
        <v>55</v>
      </c>
      <c r="B22" s="109"/>
      <c r="C22" s="72"/>
      <c r="D22" s="72"/>
      <c r="E22" s="72"/>
      <c r="F22" s="109"/>
      <c r="I22" s="202"/>
    </row>
    <row r="23" spans="1:30" x14ac:dyDescent="0.15">
      <c r="A23" s="103" t="s">
        <v>48</v>
      </c>
      <c r="B23" s="109">
        <v>92.45</v>
      </c>
      <c r="C23" s="60">
        <v>92.86</v>
      </c>
      <c r="D23" s="72">
        <v>93.97</v>
      </c>
      <c r="E23" s="109">
        <v>94.17</v>
      </c>
      <c r="F23" s="109">
        <v>95.67</v>
      </c>
      <c r="G23" s="60">
        <f>G$5</f>
        <v>97.01</v>
      </c>
      <c r="H23" s="72">
        <v>99.95</v>
      </c>
      <c r="I23" s="202">
        <v>100.55</v>
      </c>
      <c r="J23" s="72">
        <v>99.84</v>
      </c>
      <c r="K23" s="72">
        <v>98.71</v>
      </c>
      <c r="L23" s="72">
        <v>98.86</v>
      </c>
      <c r="M23" s="72">
        <v>98</v>
      </c>
      <c r="N23" s="511">
        <f>AVERAGE(B23:M23)</f>
        <v>96.836666666666659</v>
      </c>
      <c r="O23" s="511">
        <f>N23</f>
        <v>96.836666666666659</v>
      </c>
    </row>
    <row r="24" spans="1:30" x14ac:dyDescent="0.15">
      <c r="A24" s="103" t="s">
        <v>49</v>
      </c>
      <c r="B24" s="109">
        <v>3.581</v>
      </c>
      <c r="C24" s="72">
        <v>3.585</v>
      </c>
      <c r="D24" s="109">
        <v>3.7040000000000002</v>
      </c>
      <c r="E24" s="109">
        <v>3.7549999999999999</v>
      </c>
      <c r="F24" s="109">
        <v>3.8529999999999998</v>
      </c>
      <c r="G24" s="72">
        <v>4.0010000000000003</v>
      </c>
      <c r="H24" s="109">
        <v>4.3209999999999997</v>
      </c>
      <c r="I24" s="111">
        <v>4.258</v>
      </c>
      <c r="J24" s="72">
        <v>4.0519999999999996</v>
      </c>
      <c r="K24" s="72">
        <v>4.0380000000000003</v>
      </c>
      <c r="L24" s="72">
        <v>4.032</v>
      </c>
      <c r="M24" s="72">
        <v>3.9630000000000001</v>
      </c>
      <c r="N24" s="511">
        <f>AVERAGE(B24:M24)</f>
        <v>3.9285833333333327</v>
      </c>
      <c r="O24" s="511">
        <f>IFERROR(SUMPRODUCT($B$1:$M$1,B24:M24)/CustUsage_kWhPerYear,N24)</f>
        <v>3.9053065194532071</v>
      </c>
    </row>
    <row r="25" spans="1:30" x14ac:dyDescent="0.15">
      <c r="A25" s="101" t="s">
        <v>51</v>
      </c>
      <c r="B25" s="72"/>
      <c r="C25" s="72"/>
      <c r="D25" s="72"/>
      <c r="E25" s="72"/>
      <c r="I25" s="202"/>
    </row>
    <row r="26" spans="1:30" x14ac:dyDescent="0.15">
      <c r="A26" s="103" t="s">
        <v>48</v>
      </c>
      <c r="B26" s="109">
        <v>92.45</v>
      </c>
      <c r="C26" s="60">
        <v>92.86</v>
      </c>
      <c r="D26" s="72">
        <v>93.97</v>
      </c>
      <c r="E26" s="109">
        <v>94.17</v>
      </c>
      <c r="F26" s="109">
        <v>95.67</v>
      </c>
      <c r="G26" s="60">
        <f>G$5</f>
        <v>97.01</v>
      </c>
      <c r="H26" s="72">
        <v>99.95</v>
      </c>
      <c r="I26" s="202">
        <v>100.55</v>
      </c>
      <c r="J26" s="72">
        <v>99.84</v>
      </c>
      <c r="K26" s="72">
        <v>98.71</v>
      </c>
      <c r="L26" s="72">
        <v>98.86</v>
      </c>
      <c r="M26" s="72">
        <v>98</v>
      </c>
      <c r="N26" s="511">
        <f>AVERAGE(B26:M26)</f>
        <v>96.836666666666659</v>
      </c>
      <c r="O26" s="511">
        <f>N26</f>
        <v>96.836666666666659</v>
      </c>
    </row>
    <row r="27" spans="1:30" x14ac:dyDescent="0.15">
      <c r="A27" s="103" t="s">
        <v>49</v>
      </c>
      <c r="B27" s="109">
        <v>3.8620000000000001</v>
      </c>
      <c r="C27" s="72">
        <v>3.8660000000000001</v>
      </c>
      <c r="D27" s="109">
        <v>3.9940000000000002</v>
      </c>
      <c r="E27" s="109">
        <v>4.05</v>
      </c>
      <c r="F27" s="109">
        <v>4.1559999999999997</v>
      </c>
      <c r="G27" s="72">
        <v>4.3049999999999997</v>
      </c>
      <c r="H27" s="109">
        <v>4.66</v>
      </c>
      <c r="I27" s="111">
        <v>4.5919999999999996</v>
      </c>
      <c r="J27" s="72">
        <v>4.37</v>
      </c>
      <c r="K27" s="72">
        <v>4.3550000000000004</v>
      </c>
      <c r="L27" s="72">
        <v>4.3479999999999999</v>
      </c>
      <c r="M27" s="72">
        <v>4.274</v>
      </c>
      <c r="N27" s="511">
        <f>AVERAGE(B27:M27)</f>
        <v>4.2359999999999998</v>
      </c>
      <c r="O27" s="511">
        <f>IFERROR(SUMPRODUCT($B$1:$M$1,B27:M27)/CustUsage_kWhPerYear,N27)</f>
        <v>4.2111510252365933</v>
      </c>
    </row>
    <row r="28" spans="1:30" x14ac:dyDescent="0.15">
      <c r="B28" s="72"/>
      <c r="C28" s="72"/>
      <c r="D28" s="72"/>
      <c r="E28" s="72"/>
    </row>
    <row r="29" spans="1:30" x14ac:dyDescent="0.15">
      <c r="B29" s="72"/>
      <c r="C29" s="72"/>
      <c r="D29" s="72"/>
      <c r="E29" s="72"/>
      <c r="P29" s="72" t="s">
        <v>882</v>
      </c>
    </row>
    <row r="30" spans="1:30" x14ac:dyDescent="0.15">
      <c r="A30" s="103" t="s">
        <v>312</v>
      </c>
      <c r="B30" s="60">
        <f t="shared" ref="B30:M30" si="0">INT(RIGHT(B3,2))</f>
        <v>9</v>
      </c>
      <c r="C30" s="60">
        <f t="shared" si="0"/>
        <v>10</v>
      </c>
      <c r="D30" s="60">
        <f t="shared" si="0"/>
        <v>11</v>
      </c>
      <c r="E30" s="60">
        <f t="shared" si="0"/>
        <v>12</v>
      </c>
      <c r="F30" s="60">
        <f t="shared" si="0"/>
        <v>1</v>
      </c>
      <c r="G30" s="60">
        <f t="shared" si="0"/>
        <v>2</v>
      </c>
      <c r="H30" s="60">
        <f t="shared" si="0"/>
        <v>3</v>
      </c>
      <c r="I30" s="60">
        <f t="shared" si="0"/>
        <v>4</v>
      </c>
      <c r="J30" s="60">
        <f t="shared" si="0"/>
        <v>5</v>
      </c>
      <c r="K30" s="60">
        <f t="shared" si="0"/>
        <v>6</v>
      </c>
      <c r="L30" s="60">
        <f t="shared" si="0"/>
        <v>7</v>
      </c>
      <c r="M30" s="60">
        <f t="shared" si="0"/>
        <v>8</v>
      </c>
      <c r="P30" s="72" t="s">
        <v>883</v>
      </c>
    </row>
    <row r="31" spans="1:30" x14ac:dyDescent="0.15">
      <c r="A31" s="103" t="s">
        <v>869</v>
      </c>
      <c r="B31" s="494" t="str">
        <f>IF(AND(B30&gt;=5,B30&lt;=10),"Summer", "Winter")</f>
        <v>Summer</v>
      </c>
      <c r="C31" s="494" t="str">
        <f>IF(AND(C30&gt;=5,C30&lt;=10),"Summer", "Winter")</f>
        <v>Summer</v>
      </c>
      <c r="D31" s="494" t="str">
        <f>IF(AND(D30&gt;=5,D30&lt;=10),"Summer", "Winter")</f>
        <v>Winter</v>
      </c>
      <c r="E31" s="494" t="str">
        <f>IF(AND(E30&gt;=5,E30&lt;=10),"Summer", "Winter")</f>
        <v>Winter</v>
      </c>
      <c r="F31" s="494" t="str">
        <f t="shared" ref="F31:L31" si="1">IF(AND(F30&gt;=5,F30&lt;=10),"Summer", "Winter")</f>
        <v>Winter</v>
      </c>
      <c r="G31" s="494" t="str">
        <f t="shared" si="1"/>
        <v>Winter</v>
      </c>
      <c r="H31" s="494" t="str">
        <f t="shared" si="1"/>
        <v>Winter</v>
      </c>
      <c r="I31" s="494" t="str">
        <f t="shared" si="1"/>
        <v>Winter</v>
      </c>
      <c r="J31" s="494" t="str">
        <f t="shared" si="1"/>
        <v>Summer</v>
      </c>
      <c r="K31" s="494" t="str">
        <f t="shared" si="1"/>
        <v>Summer</v>
      </c>
      <c r="L31" s="494" t="str">
        <f t="shared" si="1"/>
        <v>Summer</v>
      </c>
      <c r="M31" s="494" t="str">
        <f>IF(AND(M30&gt;=5,M30&lt;=10),"Summer", "Winter")</f>
        <v>Summer</v>
      </c>
      <c r="Q31" s="72" t="s">
        <v>875</v>
      </c>
      <c r="R31" s="72">
        <v>1</v>
      </c>
      <c r="S31" s="72">
        <v>2</v>
      </c>
      <c r="T31" s="72">
        <v>3</v>
      </c>
      <c r="U31" s="72">
        <v>4</v>
      </c>
      <c r="V31" s="72">
        <v>5</v>
      </c>
      <c r="W31" s="72">
        <v>6</v>
      </c>
      <c r="X31" s="72">
        <v>7</v>
      </c>
      <c r="Y31" s="72">
        <v>8</v>
      </c>
      <c r="Z31" s="72">
        <v>9</v>
      </c>
      <c r="AA31" s="72">
        <v>10</v>
      </c>
      <c r="AB31" s="72">
        <v>11</v>
      </c>
      <c r="AC31" s="72">
        <v>12</v>
      </c>
    </row>
    <row r="32" spans="1:30" x14ac:dyDescent="0.15">
      <c r="A32" s="229" t="s">
        <v>866</v>
      </c>
      <c r="B32" s="72"/>
      <c r="C32" s="72"/>
      <c r="D32" s="72"/>
      <c r="E32" s="72"/>
      <c r="P32" s="40" t="s">
        <v>871</v>
      </c>
      <c r="Q32" s="72">
        <v>74.7</v>
      </c>
      <c r="R32" s="72">
        <v>63.1</v>
      </c>
      <c r="S32" s="72">
        <v>64.599999999999994</v>
      </c>
      <c r="T32" s="72">
        <v>67.3</v>
      </c>
      <c r="U32" s="72">
        <v>71.8</v>
      </c>
      <c r="V32" s="72">
        <v>76.099999999999994</v>
      </c>
      <c r="W32" s="72">
        <v>80.599999999999994</v>
      </c>
      <c r="X32" s="72">
        <v>85.5</v>
      </c>
      <c r="Y32" s="72">
        <v>86.2</v>
      </c>
      <c r="Z32" s="72">
        <v>84.7</v>
      </c>
      <c r="AA32" s="72">
        <v>79.2</v>
      </c>
      <c r="AB32" s="72">
        <v>71.599999999999994</v>
      </c>
      <c r="AC32" s="72">
        <v>65.3</v>
      </c>
      <c r="AD32" s="72" t="s">
        <v>879</v>
      </c>
    </row>
    <row r="33" spans="1:30" x14ac:dyDescent="0.15">
      <c r="A33" s="103" t="s">
        <v>48</v>
      </c>
      <c r="B33" s="72">
        <f t="shared" ref="B33:M33" si="2">IF(B$31="Summer",B5,B8)</f>
        <v>92.45</v>
      </c>
      <c r="C33" s="72">
        <f t="shared" si="2"/>
        <v>92.86</v>
      </c>
      <c r="D33" s="72">
        <f t="shared" si="2"/>
        <v>93.97</v>
      </c>
      <c r="E33" s="72">
        <f t="shared" si="2"/>
        <v>94.17</v>
      </c>
      <c r="F33" s="72">
        <f t="shared" si="2"/>
        <v>95.67</v>
      </c>
      <c r="G33" s="72">
        <f t="shared" si="2"/>
        <v>97.01</v>
      </c>
      <c r="H33" s="72">
        <f t="shared" si="2"/>
        <v>99.95</v>
      </c>
      <c r="I33" s="72">
        <f t="shared" si="2"/>
        <v>100.55</v>
      </c>
      <c r="J33" s="72">
        <f t="shared" si="2"/>
        <v>99.84</v>
      </c>
      <c r="K33" s="72">
        <f t="shared" si="2"/>
        <v>98.71</v>
      </c>
      <c r="L33" s="72">
        <f t="shared" si="2"/>
        <v>98.86</v>
      </c>
      <c r="M33" s="72">
        <f t="shared" si="2"/>
        <v>98</v>
      </c>
      <c r="N33" s="511">
        <f>AVERAGE(B33:M33)</f>
        <v>96.836666666666659</v>
      </c>
      <c r="O33" s="511">
        <f>N33</f>
        <v>96.836666666666659</v>
      </c>
      <c r="P33" s="40" t="s">
        <v>872</v>
      </c>
      <c r="Q33" s="72">
        <v>64</v>
      </c>
      <c r="R33" s="72">
        <v>56.5</v>
      </c>
      <c r="S33" s="72">
        <v>57.7</v>
      </c>
      <c r="T33" s="72">
        <v>58.6</v>
      </c>
      <c r="U33" s="72">
        <v>61</v>
      </c>
      <c r="V33" s="72">
        <v>64.400000000000006</v>
      </c>
      <c r="W33" s="72">
        <v>67.599999999999994</v>
      </c>
      <c r="X33" s="72">
        <v>72</v>
      </c>
      <c r="Y33" s="72">
        <v>73</v>
      </c>
      <c r="Z33" s="72">
        <v>71.599999999999994</v>
      </c>
      <c r="AA33" s="72">
        <v>67.099999999999994</v>
      </c>
      <c r="AB33" s="72">
        <v>61.9</v>
      </c>
      <c r="AC33" s="72">
        <v>57.2</v>
      </c>
      <c r="AD33" s="72" t="s">
        <v>877</v>
      </c>
    </row>
    <row r="34" spans="1:30" x14ac:dyDescent="0.15">
      <c r="A34" s="103" t="s">
        <v>49</v>
      </c>
      <c r="B34" s="72">
        <f t="shared" ref="B34:M34" si="3">IF(B$31="Summer",B6,B9)</f>
        <v>3.7530000000000001</v>
      </c>
      <c r="C34" s="72">
        <f t="shared" si="3"/>
        <v>3.7570000000000001</v>
      </c>
      <c r="D34" s="72">
        <f t="shared" si="3"/>
        <v>3.3330000000000002</v>
      </c>
      <c r="E34" s="72">
        <f t="shared" si="3"/>
        <v>3.379</v>
      </c>
      <c r="F34" s="72">
        <f t="shared" si="3"/>
        <v>3.468</v>
      </c>
      <c r="G34" s="72">
        <f t="shared" si="3"/>
        <v>3.601</v>
      </c>
      <c r="H34" s="72">
        <f t="shared" si="3"/>
        <v>3.8890000000000002</v>
      </c>
      <c r="I34" s="72">
        <f t="shared" si="3"/>
        <v>3.8330000000000002</v>
      </c>
      <c r="J34" s="72">
        <f t="shared" si="3"/>
        <v>4.2460000000000004</v>
      </c>
      <c r="K34" s="72">
        <f t="shared" si="3"/>
        <v>4.2320000000000002</v>
      </c>
      <c r="L34" s="72">
        <f t="shared" si="3"/>
        <v>4.2249999999999996</v>
      </c>
      <c r="M34" s="72">
        <f t="shared" si="3"/>
        <v>4.1529999999999996</v>
      </c>
      <c r="N34" s="511">
        <f>AVERAGE(B34:M34)</f>
        <v>3.8224166666666668</v>
      </c>
      <c r="O34" s="511">
        <f>IFERROR(SUMPRODUCT($B$1:$M$1,B34:M34)/CustUsage_kWhPerYear,N34)</f>
        <v>3.8689886961093585</v>
      </c>
      <c r="P34" s="40" t="s">
        <v>873</v>
      </c>
      <c r="Q34" s="72">
        <v>75.2</v>
      </c>
      <c r="R34" s="72">
        <v>63</v>
      </c>
      <c r="S34" s="72">
        <v>64</v>
      </c>
      <c r="T34" s="72">
        <v>66.7</v>
      </c>
      <c r="U34" s="72">
        <v>71.099999999999994</v>
      </c>
      <c r="V34" s="72">
        <v>76.3</v>
      </c>
      <c r="W34" s="72">
        <v>82.8</v>
      </c>
      <c r="X34" s="72">
        <v>87.3</v>
      </c>
      <c r="Y34" s="72">
        <v>87.8</v>
      </c>
      <c r="Z34" s="72">
        <v>86.2</v>
      </c>
      <c r="AA34" s="72">
        <v>80.400000000000006</v>
      </c>
      <c r="AB34" s="72">
        <v>71.599999999999994</v>
      </c>
      <c r="AC34" s="72">
        <v>64.900000000000006</v>
      </c>
      <c r="AD34" s="72" t="s">
        <v>879</v>
      </c>
    </row>
    <row r="35" spans="1:30" x14ac:dyDescent="0.15">
      <c r="A35" s="229" t="s">
        <v>865</v>
      </c>
      <c r="B35" s="72"/>
      <c r="C35" s="72"/>
      <c r="D35" s="72"/>
      <c r="E35" s="72"/>
      <c r="P35" s="40" t="s">
        <v>874</v>
      </c>
      <c r="Q35" s="72">
        <v>73</v>
      </c>
      <c r="R35" s="72">
        <v>66</v>
      </c>
      <c r="S35" s="72">
        <v>66</v>
      </c>
      <c r="T35" s="72">
        <v>68</v>
      </c>
      <c r="U35" s="72">
        <v>71</v>
      </c>
      <c r="V35" s="72">
        <v>73</v>
      </c>
      <c r="W35" s="72">
        <v>77</v>
      </c>
      <c r="X35" s="72">
        <v>82</v>
      </c>
      <c r="Y35" s="72">
        <v>82</v>
      </c>
      <c r="Z35" s="72">
        <v>82</v>
      </c>
      <c r="AA35" s="72">
        <v>78</v>
      </c>
      <c r="AB35" s="72">
        <v>73</v>
      </c>
      <c r="AC35" s="72">
        <v>69</v>
      </c>
      <c r="AD35" s="72" t="s">
        <v>878</v>
      </c>
    </row>
    <row r="36" spans="1:30" x14ac:dyDescent="0.15">
      <c r="A36" s="103" t="s">
        <v>48</v>
      </c>
      <c r="B36" s="72">
        <f t="shared" ref="B36:M36" si="4">IF(B$31="Summer",B11,B14)</f>
        <v>92.45</v>
      </c>
      <c r="C36" s="72">
        <f t="shared" si="4"/>
        <v>92.86</v>
      </c>
      <c r="D36" s="72">
        <f t="shared" si="4"/>
        <v>93.97</v>
      </c>
      <c r="E36" s="72">
        <f t="shared" si="4"/>
        <v>94.17</v>
      </c>
      <c r="F36" s="72">
        <f t="shared" si="4"/>
        <v>95.67</v>
      </c>
      <c r="G36" s="72">
        <f t="shared" si="4"/>
        <v>97.01</v>
      </c>
      <c r="H36" s="72">
        <f t="shared" si="4"/>
        <v>99.95</v>
      </c>
      <c r="I36" s="72">
        <f t="shared" si="4"/>
        <v>100.55</v>
      </c>
      <c r="J36" s="72">
        <f t="shared" si="4"/>
        <v>99.84</v>
      </c>
      <c r="K36" s="72">
        <f t="shared" si="4"/>
        <v>98.71</v>
      </c>
      <c r="L36" s="72">
        <f t="shared" si="4"/>
        <v>98.86</v>
      </c>
      <c r="M36" s="72">
        <f t="shared" si="4"/>
        <v>98</v>
      </c>
      <c r="N36" s="511">
        <f>AVERAGE(B36:M36)</f>
        <v>96.836666666666659</v>
      </c>
      <c r="O36" s="511">
        <f>N36</f>
        <v>96.836666666666659</v>
      </c>
      <c r="P36" s="40" t="s">
        <v>876</v>
      </c>
      <c r="Q36" s="72">
        <v>72.3</v>
      </c>
      <c r="R36" s="72">
        <v>63.3</v>
      </c>
      <c r="S36" s="72">
        <v>64.400000000000006</v>
      </c>
      <c r="T36" s="72">
        <v>65.8</v>
      </c>
      <c r="U36" s="72">
        <v>68.5</v>
      </c>
      <c r="V36" s="72">
        <v>71.2</v>
      </c>
      <c r="W36" s="72">
        <v>76.5</v>
      </c>
      <c r="X36" s="72">
        <v>82</v>
      </c>
      <c r="Y36" s="72">
        <v>83.1</v>
      </c>
      <c r="Z36" s="72">
        <v>81.900000000000006</v>
      </c>
      <c r="AA36" s="72">
        <v>76.599999999999994</v>
      </c>
      <c r="AB36" s="72">
        <v>69.599999999999994</v>
      </c>
      <c r="AC36" s="72">
        <v>64.900000000000006</v>
      </c>
      <c r="AD36" s="72" t="s">
        <v>880</v>
      </c>
    </row>
    <row r="37" spans="1:30" x14ac:dyDescent="0.15">
      <c r="A37" s="103" t="s">
        <v>49</v>
      </c>
      <c r="B37" s="72">
        <f t="shared" ref="B37:M37" si="5">IF(B$31="Summer",B12,B15)</f>
        <v>4.09</v>
      </c>
      <c r="C37" s="72">
        <f t="shared" si="5"/>
        <v>4.0940000000000003</v>
      </c>
      <c r="D37" s="72">
        <f t="shared" si="5"/>
        <v>3.3330000000000002</v>
      </c>
      <c r="E37" s="72">
        <f t="shared" si="5"/>
        <v>3.379</v>
      </c>
      <c r="F37" s="72">
        <f t="shared" si="5"/>
        <v>3.468</v>
      </c>
      <c r="G37" s="72">
        <f t="shared" si="5"/>
        <v>3.601</v>
      </c>
      <c r="H37" s="72">
        <f t="shared" si="5"/>
        <v>3.8890000000000002</v>
      </c>
      <c r="I37" s="72">
        <f t="shared" si="5"/>
        <v>3.8330000000000002</v>
      </c>
      <c r="J37" s="72">
        <f t="shared" si="5"/>
        <v>4.6280000000000001</v>
      </c>
      <c r="K37" s="72">
        <f t="shared" si="5"/>
        <v>4.6120000000000001</v>
      </c>
      <c r="L37" s="72">
        <f t="shared" si="5"/>
        <v>4.6050000000000004</v>
      </c>
      <c r="M37" s="72">
        <f t="shared" si="5"/>
        <v>4.5259999999999998</v>
      </c>
      <c r="N37" s="511">
        <f>AVERAGE(B37:M37)</f>
        <v>4.004833333333333</v>
      </c>
      <c r="O37" s="511">
        <f>IFERROR(SUMPRODUCT($B$1:$M$1,B37:M37)/CustUsage_kWhPerYear,N37)</f>
        <v>4.0943972134595166</v>
      </c>
      <c r="P37" s="40" t="s">
        <v>881</v>
      </c>
      <c r="Q37" s="72">
        <v>67.8</v>
      </c>
      <c r="R37" s="72">
        <v>59</v>
      </c>
      <c r="S37" s="72">
        <v>60.4</v>
      </c>
      <c r="T37" s="72">
        <v>61.3</v>
      </c>
      <c r="U37" s="72">
        <v>63.7</v>
      </c>
      <c r="V37" s="72">
        <v>66.400000000000006</v>
      </c>
      <c r="W37" s="72">
        <v>71.8</v>
      </c>
      <c r="X37" s="72">
        <v>78.099999999999994</v>
      </c>
      <c r="Y37" s="72">
        <v>79.3</v>
      </c>
      <c r="Z37" s="72">
        <v>77.7</v>
      </c>
      <c r="AA37" s="72">
        <v>70.5</v>
      </c>
      <c r="AB37" s="72">
        <v>65.5</v>
      </c>
      <c r="AC37" s="72">
        <v>60.4</v>
      </c>
      <c r="AD37" s="72" t="s">
        <v>880</v>
      </c>
    </row>
    <row r="39" spans="1:30" x14ac:dyDescent="0.15">
      <c r="P39" s="40" t="s">
        <v>884</v>
      </c>
    </row>
    <row r="40" spans="1:30" x14ac:dyDescent="0.15">
      <c r="R40" s="72">
        <f>_xlfn.RANK.AVG(R32,$R32:$AC32)</f>
        <v>12</v>
      </c>
      <c r="S40" s="72">
        <f t="shared" ref="S40:AC40" si="6">_xlfn.RANK.AVG(S32,$R32:$AC32)</f>
        <v>11</v>
      </c>
      <c r="T40" s="72">
        <f t="shared" si="6"/>
        <v>9</v>
      </c>
      <c r="U40" s="72">
        <f t="shared" si="6"/>
        <v>7</v>
      </c>
      <c r="V40" s="72">
        <f t="shared" si="6"/>
        <v>6</v>
      </c>
      <c r="W40" s="72">
        <f t="shared" si="6"/>
        <v>4</v>
      </c>
      <c r="X40" s="72">
        <f t="shared" si="6"/>
        <v>2</v>
      </c>
      <c r="Y40" s="72">
        <f t="shared" si="6"/>
        <v>1</v>
      </c>
      <c r="Z40" s="72">
        <f t="shared" si="6"/>
        <v>3</v>
      </c>
      <c r="AA40" s="72">
        <f t="shared" si="6"/>
        <v>5</v>
      </c>
      <c r="AB40" s="72">
        <f t="shared" si="6"/>
        <v>8</v>
      </c>
      <c r="AC40" s="72">
        <f t="shared" si="6"/>
        <v>10</v>
      </c>
    </row>
    <row r="41" spans="1:30" x14ac:dyDescent="0.15">
      <c r="R41" s="72">
        <f t="shared" ref="R41:AC41" si="7">_xlfn.RANK.AVG(R33,$R33:$AC33)</f>
        <v>12</v>
      </c>
      <c r="S41" s="72">
        <f t="shared" si="7"/>
        <v>10</v>
      </c>
      <c r="T41" s="72">
        <f t="shared" si="7"/>
        <v>9</v>
      </c>
      <c r="U41" s="72">
        <f t="shared" si="7"/>
        <v>8</v>
      </c>
      <c r="V41" s="72">
        <f t="shared" si="7"/>
        <v>6</v>
      </c>
      <c r="W41" s="72">
        <f t="shared" si="7"/>
        <v>4</v>
      </c>
      <c r="X41" s="72">
        <f t="shared" si="7"/>
        <v>2</v>
      </c>
      <c r="Y41" s="72">
        <f t="shared" si="7"/>
        <v>1</v>
      </c>
      <c r="Z41" s="72">
        <f t="shared" si="7"/>
        <v>3</v>
      </c>
      <c r="AA41" s="72">
        <f t="shared" si="7"/>
        <v>5</v>
      </c>
      <c r="AB41" s="72">
        <f t="shared" si="7"/>
        <v>7</v>
      </c>
      <c r="AC41" s="72">
        <f t="shared" si="7"/>
        <v>11</v>
      </c>
    </row>
    <row r="42" spans="1:30" x14ac:dyDescent="0.15">
      <c r="R42" s="72">
        <f t="shared" ref="R42:AC42" si="8">_xlfn.RANK.AVG(R34,$R34:$AC34)</f>
        <v>12</v>
      </c>
      <c r="S42" s="72">
        <f t="shared" si="8"/>
        <v>11</v>
      </c>
      <c r="T42" s="72">
        <f t="shared" si="8"/>
        <v>9</v>
      </c>
      <c r="U42" s="72">
        <f t="shared" si="8"/>
        <v>8</v>
      </c>
      <c r="V42" s="72">
        <f t="shared" si="8"/>
        <v>6</v>
      </c>
      <c r="W42" s="72">
        <f t="shared" si="8"/>
        <v>4</v>
      </c>
      <c r="X42" s="72">
        <f t="shared" si="8"/>
        <v>2</v>
      </c>
      <c r="Y42" s="72">
        <f t="shared" si="8"/>
        <v>1</v>
      </c>
      <c r="Z42" s="72">
        <f t="shared" si="8"/>
        <v>3</v>
      </c>
      <c r="AA42" s="72">
        <f t="shared" si="8"/>
        <v>5</v>
      </c>
      <c r="AB42" s="72">
        <f t="shared" si="8"/>
        <v>7</v>
      </c>
      <c r="AC42" s="72">
        <f t="shared" si="8"/>
        <v>10</v>
      </c>
    </row>
    <row r="43" spans="1:30" x14ac:dyDescent="0.15">
      <c r="R43" s="72">
        <f t="shared" ref="R43:AC43" si="9">_xlfn.RANK.AVG(R35,$R35:$AC35)</f>
        <v>11.5</v>
      </c>
      <c r="S43" s="72">
        <f t="shared" si="9"/>
        <v>11.5</v>
      </c>
      <c r="T43" s="72">
        <f t="shared" si="9"/>
        <v>10</v>
      </c>
      <c r="U43" s="72">
        <f t="shared" si="9"/>
        <v>8</v>
      </c>
      <c r="V43" s="72">
        <f t="shared" si="9"/>
        <v>6.5</v>
      </c>
      <c r="W43" s="72">
        <f t="shared" si="9"/>
        <v>5</v>
      </c>
      <c r="X43" s="72">
        <f t="shared" si="9"/>
        <v>2</v>
      </c>
      <c r="Y43" s="72">
        <f t="shared" si="9"/>
        <v>2</v>
      </c>
      <c r="Z43" s="72">
        <f t="shared" si="9"/>
        <v>2</v>
      </c>
      <c r="AA43" s="72">
        <f t="shared" si="9"/>
        <v>4</v>
      </c>
      <c r="AB43" s="72">
        <f t="shared" si="9"/>
        <v>6.5</v>
      </c>
      <c r="AC43" s="72">
        <f t="shared" si="9"/>
        <v>9</v>
      </c>
    </row>
    <row r="44" spans="1:30" x14ac:dyDescent="0.15">
      <c r="R44" s="72">
        <f t="shared" ref="R44:AC45" si="10">_xlfn.RANK.AVG(R36,$R36:$AC36)</f>
        <v>12</v>
      </c>
      <c r="S44" s="72">
        <f t="shared" si="10"/>
        <v>11</v>
      </c>
      <c r="T44" s="72">
        <f t="shared" si="10"/>
        <v>9</v>
      </c>
      <c r="U44" s="72">
        <f t="shared" si="10"/>
        <v>8</v>
      </c>
      <c r="V44" s="72">
        <f t="shared" si="10"/>
        <v>6</v>
      </c>
      <c r="W44" s="72">
        <f t="shared" si="10"/>
        <v>5</v>
      </c>
      <c r="X44" s="72">
        <f t="shared" si="10"/>
        <v>2</v>
      </c>
      <c r="Y44" s="72">
        <f t="shared" si="10"/>
        <v>1</v>
      </c>
      <c r="Z44" s="72">
        <f t="shared" si="10"/>
        <v>3</v>
      </c>
      <c r="AA44" s="72">
        <f t="shared" si="10"/>
        <v>4</v>
      </c>
      <c r="AB44" s="72">
        <f t="shared" si="10"/>
        <v>7</v>
      </c>
      <c r="AC44" s="72">
        <f t="shared" si="10"/>
        <v>10</v>
      </c>
    </row>
    <row r="45" spans="1:30" x14ac:dyDescent="0.15">
      <c r="R45" s="72">
        <f t="shared" si="10"/>
        <v>12</v>
      </c>
      <c r="S45" s="72">
        <f t="shared" si="10"/>
        <v>10.5</v>
      </c>
      <c r="T45" s="72">
        <f t="shared" si="10"/>
        <v>9</v>
      </c>
      <c r="U45" s="72">
        <f t="shared" si="10"/>
        <v>8</v>
      </c>
      <c r="V45" s="72">
        <f t="shared" si="10"/>
        <v>6</v>
      </c>
      <c r="W45" s="72">
        <f t="shared" si="10"/>
        <v>4</v>
      </c>
      <c r="X45" s="72">
        <f t="shared" si="10"/>
        <v>2</v>
      </c>
      <c r="Y45" s="72">
        <f t="shared" si="10"/>
        <v>1</v>
      </c>
      <c r="Z45" s="72">
        <f t="shared" si="10"/>
        <v>3</v>
      </c>
      <c r="AA45" s="72">
        <f t="shared" si="10"/>
        <v>5</v>
      </c>
      <c r="AB45" s="72">
        <f t="shared" si="10"/>
        <v>7</v>
      </c>
      <c r="AC45" s="72">
        <f t="shared" si="10"/>
        <v>10.5</v>
      </c>
    </row>
    <row r="47" spans="1:30" x14ac:dyDescent="0.15">
      <c r="A47" s="103" t="s">
        <v>982</v>
      </c>
      <c r="B47" s="72">
        <v>800</v>
      </c>
      <c r="C47" s="72">
        <v>750</v>
      </c>
      <c r="D47" s="72">
        <v>650</v>
      </c>
      <c r="E47" s="72">
        <v>600</v>
      </c>
      <c r="F47" s="72">
        <v>350</v>
      </c>
      <c r="G47" s="72">
        <v>350</v>
      </c>
      <c r="H47" s="72">
        <v>350</v>
      </c>
      <c r="I47" s="72">
        <v>359</v>
      </c>
      <c r="J47" s="72">
        <v>450</v>
      </c>
      <c r="K47" s="72">
        <v>650</v>
      </c>
      <c r="L47" s="72">
        <v>750</v>
      </c>
      <c r="M47" s="72">
        <v>800</v>
      </c>
      <c r="N47" s="72">
        <f>SUM(B47:M47)</f>
        <v>6859</v>
      </c>
    </row>
    <row r="48" spans="1:30" x14ac:dyDescent="0.15">
      <c r="A48" s="103" t="s">
        <v>983</v>
      </c>
      <c r="B48" s="103">
        <f>B47*B34</f>
        <v>3002.4</v>
      </c>
      <c r="C48" s="103">
        <f t="shared" ref="C48:M48" si="11">C47*C34</f>
        <v>2817.75</v>
      </c>
      <c r="D48" s="103">
        <f t="shared" si="11"/>
        <v>2166.4500000000003</v>
      </c>
      <c r="E48" s="103">
        <f t="shared" si="11"/>
        <v>2027.4</v>
      </c>
      <c r="F48" s="103">
        <f t="shared" si="11"/>
        <v>1213.8</v>
      </c>
      <c r="G48" s="103">
        <f t="shared" si="11"/>
        <v>1260.3499999999999</v>
      </c>
      <c r="H48" s="103">
        <f t="shared" si="11"/>
        <v>1361.15</v>
      </c>
      <c r="I48" s="103">
        <f t="shared" si="11"/>
        <v>1376.047</v>
      </c>
      <c r="J48" s="103">
        <f t="shared" si="11"/>
        <v>1910.7000000000003</v>
      </c>
      <c r="K48" s="103">
        <f t="shared" si="11"/>
        <v>2750.8</v>
      </c>
      <c r="L48" s="103">
        <f t="shared" si="11"/>
        <v>3168.7499999999995</v>
      </c>
      <c r="M48" s="103">
        <f t="shared" si="11"/>
        <v>3322.3999999999996</v>
      </c>
      <c r="N48" s="72">
        <f>SUM(B48:M48)</f>
        <v>26377.996999999996</v>
      </c>
    </row>
    <row r="49" spans="14:14" x14ac:dyDescent="0.15">
      <c r="N49" s="72">
        <f>N48/N47</f>
        <v>3.8457496719638424</v>
      </c>
    </row>
  </sheetData>
  <sheetProtection selectLockedCells="1" selectUnlockedCells="1"/>
  <conditionalFormatting sqref="R40:AC45">
    <cfRule type="expression" dxfId="0" priority="1">
      <formula>IF(R40&lt;7,TRUE,FALSE)</formula>
    </cfRule>
  </conditionalFormatting>
  <hyperlinks>
    <hyperlink ref="A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9"/>
  <sheetViews>
    <sheetView zoomScaleNormal="100" zoomScalePageLayoutView="130" workbookViewId="0">
      <pane xSplit="2" ySplit="3" topLeftCell="C4" activePane="bottomRight" state="frozen"/>
      <selection sqref="A1:H8"/>
      <selection pane="topRight" sqref="A1:H8"/>
      <selection pane="bottomLeft" sqref="A1:H8"/>
      <selection pane="bottomRight" activeCell="C4" sqref="C4"/>
    </sheetView>
  </sheetViews>
  <sheetFormatPr defaultColWidth="11.42578125" defaultRowHeight="10.5" x14ac:dyDescent="0.15"/>
  <cols>
    <col min="1" max="1" width="3" style="72" bestFit="1" customWidth="1"/>
    <col min="2" max="2" width="27" style="103" bestFit="1" customWidth="1"/>
    <col min="3" max="6" width="7.85546875" style="103" bestFit="1" customWidth="1"/>
    <col min="7" max="14" width="7.85546875" style="72" bestFit="1" customWidth="1"/>
    <col min="15" max="16384" width="11.42578125" style="72"/>
  </cols>
  <sheetData>
    <row r="1" spans="1:16" x14ac:dyDescent="0.15">
      <c r="B1" s="583" t="s">
        <v>1021</v>
      </c>
      <c r="C1" s="506">
        <f>IF(VLOOKUP(C2,Inputs!$A$36:$B$47,2,FALSE)="",CustUsage_kWhPerYear/12,VLOOKUP(C2,Inputs!$A$36:$B$47,2,FALSE))</f>
        <v>1544</v>
      </c>
      <c r="D1" s="506">
        <f>IF(VLOOKUP(D2,Inputs!$A$36:$B$47,2,FALSE)="",CustUsage_kWhPerYear/12,VLOOKUP(D2,Inputs!$A$36:$B$47,2,FALSE))</f>
        <v>1498</v>
      </c>
      <c r="E1" s="506">
        <f>IF(VLOOKUP(E2,Inputs!$A$36:$B$47,2,FALSE)="",CustUsage_kWhPerYear/12,VLOOKUP(E2,Inputs!$A$36:$B$47,2,FALSE))</f>
        <v>1686</v>
      </c>
      <c r="F1" s="506">
        <f>IF(VLOOKUP(F2,Inputs!$A$36:$B$47,2,FALSE)="",CustUsage_kWhPerYear/12,VLOOKUP(F2,Inputs!$A$36:$B$47,2,FALSE))</f>
        <v>956</v>
      </c>
      <c r="G1" s="506">
        <f>IF(VLOOKUP(G2,Inputs!$A$36:$B$47,2,FALSE)="",CustUsage_kWhPerYear/12,VLOOKUP(G2,Inputs!$A$36:$B$47,2,FALSE))</f>
        <v>568</v>
      </c>
      <c r="H1" s="506">
        <f>IF(VLOOKUP(H2,Inputs!$A$36:$B$47,2,FALSE)="",CustUsage_kWhPerYear/12,VLOOKUP(H2,Inputs!$A$36:$B$47,2,FALSE))</f>
        <v>778</v>
      </c>
      <c r="I1" s="506">
        <f>IF(VLOOKUP(I2,Inputs!$A$36:$B$47,2,FALSE)="",CustUsage_kWhPerYear/12,VLOOKUP(I2,Inputs!$A$36:$B$47,2,FALSE))</f>
        <v>882</v>
      </c>
      <c r="J1" s="506">
        <f>IF(VLOOKUP(J2,Inputs!$A$36:$B$47,2,FALSE)="",CustUsage_kWhPerYear/12,VLOOKUP(J2,Inputs!$A$36:$B$47,2,FALSE))</f>
        <v>950</v>
      </c>
      <c r="K1" s="506">
        <f>IF(VLOOKUP(K2,Inputs!$A$36:$B$47,2,FALSE)="",CustUsage_kWhPerYear/12,VLOOKUP(K2,Inputs!$A$36:$B$47,2,FALSE))</f>
        <v>1280</v>
      </c>
      <c r="L1" s="506">
        <f>IF(VLOOKUP(L2,Inputs!$A$36:$B$47,2,FALSE)="",CustUsage_kWhPerYear/12,VLOOKUP(L2,Inputs!$A$36:$B$47,2,FALSE))</f>
        <v>1500</v>
      </c>
      <c r="M1" s="506">
        <f>IF(VLOOKUP(M2,Inputs!$A$36:$B$47,2,FALSE)="",CustUsage_kWhPerYear/12,VLOOKUP(M2,Inputs!$A$36:$B$47,2,FALSE))</f>
        <v>1800</v>
      </c>
      <c r="N1" s="506">
        <f>IF(VLOOKUP(N2,Inputs!$A$36:$B$47,2,FALSE)="",CustUsage_kWhPerYear/12,VLOOKUP(N2,Inputs!$A$36:$B$47,2,FALSE))</f>
        <v>1774</v>
      </c>
    </row>
    <row r="2" spans="1:16" x14ac:dyDescent="0.15">
      <c r="B2" s="102" t="s">
        <v>196</v>
      </c>
      <c r="C2" s="509" t="str">
        <f>VLOOKUP(INT(RIGHT(C3,2)),ListData!$B$116:$C$127,2,FALSE)</f>
        <v>SEP</v>
      </c>
      <c r="D2" s="509" t="str">
        <f>VLOOKUP(INT(RIGHT(D3,2)),ListData!$B$116:$C$127,2,FALSE)</f>
        <v>OCT</v>
      </c>
      <c r="E2" s="509" t="str">
        <f>VLOOKUP(INT(RIGHT(E3,2)),ListData!$B$116:$C$127,2,FALSE)</f>
        <v>NOV</v>
      </c>
      <c r="F2" s="509" t="str">
        <f>VLOOKUP(INT(RIGHT(F3,2)),ListData!$B$116:$C$127,2,FALSE)</f>
        <v>DIC</v>
      </c>
      <c r="G2" s="509" t="str">
        <f>VLOOKUP(INT(RIGHT(G3,2)),ListData!$B$116:$C$127,2,FALSE)</f>
        <v>ENE</v>
      </c>
      <c r="H2" s="509" t="str">
        <f>VLOOKUP(INT(RIGHT(H3,2)),ListData!$B$116:$C$127,2,FALSE)</f>
        <v>FEB</v>
      </c>
      <c r="I2" s="509" t="str">
        <f>VLOOKUP(INT(RIGHT(I3,2)),ListData!$B$116:$C$127,2,FALSE)</f>
        <v>MAR</v>
      </c>
      <c r="J2" s="509" t="str">
        <f>VLOOKUP(INT(RIGHT(J3,2)),ListData!$B$116:$C$127,2,FALSE)</f>
        <v>ABR</v>
      </c>
      <c r="K2" s="509" t="str">
        <f>VLOOKUP(INT(RIGHT(K3,2)),ListData!$B$116:$C$127,2,FALSE)</f>
        <v>MAY</v>
      </c>
      <c r="L2" s="509" t="str">
        <f>VLOOKUP(INT(RIGHT(L3,2)),ListData!$B$116:$C$127,2,FALSE)</f>
        <v>JUN</v>
      </c>
      <c r="M2" s="509" t="str">
        <f>VLOOKUP(INT(RIGHT(M3,2)),ListData!$B$116:$C$127,2,FALSE)</f>
        <v>JUL</v>
      </c>
      <c r="N2" s="509" t="str">
        <f>VLOOKUP(INT(RIGHT(N3,2)),ListData!$B$116:$C$127,2,FALSE)</f>
        <v>AGO</v>
      </c>
    </row>
    <row r="3" spans="1:16" ht="31.5" x14ac:dyDescent="0.15">
      <c r="B3" s="104" t="s">
        <v>57</v>
      </c>
      <c r="C3" s="105">
        <v>201609</v>
      </c>
      <c r="D3" s="105">
        <v>201610</v>
      </c>
      <c r="E3" s="105">
        <v>201611</v>
      </c>
      <c r="F3" s="105">
        <v>201612</v>
      </c>
      <c r="G3" s="105">
        <v>201701</v>
      </c>
      <c r="H3" s="105">
        <v>201702</v>
      </c>
      <c r="I3" s="105">
        <v>201703</v>
      </c>
      <c r="J3" s="105">
        <v>201704</v>
      </c>
      <c r="K3" s="105">
        <v>201705</v>
      </c>
      <c r="L3" s="105">
        <v>201706</v>
      </c>
      <c r="M3" s="105">
        <v>201707</v>
      </c>
      <c r="N3" s="105">
        <v>201708</v>
      </c>
      <c r="O3" s="105" t="s">
        <v>991</v>
      </c>
      <c r="P3" s="105" t="s">
        <v>1012</v>
      </c>
    </row>
    <row r="4" spans="1:16" s="48" customFormat="1" x14ac:dyDescent="0.15">
      <c r="B4" s="106" t="s">
        <v>58</v>
      </c>
      <c r="C4" s="107" t="str">
        <f>C2</f>
        <v>SEP</v>
      </c>
      <c r="D4" s="107" t="str">
        <f t="shared" ref="D4:N4" si="0">D2</f>
        <v>OCT</v>
      </c>
      <c r="E4" s="107" t="str">
        <f t="shared" si="0"/>
        <v>NOV</v>
      </c>
      <c r="F4" s="105" t="str">
        <f t="shared" si="0"/>
        <v>DIC</v>
      </c>
      <c r="G4" s="107" t="str">
        <f t="shared" si="0"/>
        <v>ENE</v>
      </c>
      <c r="H4" s="107" t="str">
        <f t="shared" si="0"/>
        <v>FEB</v>
      </c>
      <c r="I4" s="107" t="str">
        <f t="shared" si="0"/>
        <v>MAR</v>
      </c>
      <c r="J4" s="105" t="str">
        <f t="shared" si="0"/>
        <v>ABR</v>
      </c>
      <c r="K4" s="105" t="str">
        <f t="shared" si="0"/>
        <v>MAY</v>
      </c>
      <c r="L4" s="105" t="str">
        <f t="shared" si="0"/>
        <v>JUN</v>
      </c>
      <c r="M4" s="105" t="str">
        <f t="shared" si="0"/>
        <v>JUL</v>
      </c>
      <c r="N4" s="105" t="str">
        <f t="shared" si="0"/>
        <v>AGO</v>
      </c>
      <c r="O4" s="72"/>
      <c r="P4" s="511"/>
    </row>
    <row r="5" spans="1:16" x14ac:dyDescent="0.15">
      <c r="A5" s="72">
        <v>50</v>
      </c>
      <c r="B5" s="108" t="s">
        <v>59</v>
      </c>
      <c r="C5" s="109">
        <v>2.3069999999999999</v>
      </c>
      <c r="D5" s="72">
        <v>2.31</v>
      </c>
      <c r="E5" s="109">
        <v>2.3860000000000001</v>
      </c>
      <c r="F5" s="109">
        <v>2.419</v>
      </c>
      <c r="G5" s="109">
        <v>2.4820000000000002</v>
      </c>
      <c r="H5" s="72">
        <v>2.577</v>
      </c>
      <c r="I5" s="109">
        <v>2.7829999999999999</v>
      </c>
      <c r="J5" s="109">
        <v>2.7429999999999999</v>
      </c>
      <c r="K5" s="109">
        <v>2.61</v>
      </c>
      <c r="L5" s="109">
        <v>2.601</v>
      </c>
      <c r="M5" s="109">
        <v>2.597</v>
      </c>
      <c r="N5" s="109">
        <v>2.5529999999999999</v>
      </c>
      <c r="O5" s="511">
        <f>AVERAGE(C5:N5)</f>
        <v>2.5306666666666664</v>
      </c>
      <c r="P5" s="511">
        <f>IFERROR(SUMPRODUCT($C$1:$N$1,C5:N5)/CustUsage_kWhPerYear,O5)</f>
        <v>2.5156945320715036</v>
      </c>
    </row>
    <row r="6" spans="1:16" x14ac:dyDescent="0.15">
      <c r="A6" s="72">
        <v>50</v>
      </c>
      <c r="B6" s="109" t="s">
        <v>60</v>
      </c>
      <c r="C6" s="109">
        <v>2.782</v>
      </c>
      <c r="D6" s="72">
        <v>2.7850000000000001</v>
      </c>
      <c r="E6" s="109">
        <v>2.8769999999999998</v>
      </c>
      <c r="F6" s="109">
        <v>2.9169999999999998</v>
      </c>
      <c r="G6" s="109">
        <v>2.9929999999999999</v>
      </c>
      <c r="H6" s="72">
        <v>3.1080000000000001</v>
      </c>
      <c r="I6" s="109">
        <v>3.3559999999999999</v>
      </c>
      <c r="J6" s="109">
        <v>3.3069999999999999</v>
      </c>
      <c r="K6" s="109">
        <v>3.1469999999999998</v>
      </c>
      <c r="L6" s="109">
        <v>3.1360000000000001</v>
      </c>
      <c r="M6" s="109">
        <v>3.1309999999999998</v>
      </c>
      <c r="N6" s="109">
        <v>3.077</v>
      </c>
      <c r="O6" s="511">
        <f>AVERAGE(C6:N6)</f>
        <v>3.0513333333333326</v>
      </c>
      <c r="P6" s="511">
        <f>IFERROR(SUMPRODUCT($C$1:$N$1,C6:N6)/CustUsage_kWhPerYear,O6)</f>
        <v>3.0331795478443744</v>
      </c>
    </row>
    <row r="7" spans="1:16" ht="12.75" customHeight="1" x14ac:dyDescent="0.15">
      <c r="B7" s="109" t="s">
        <v>61</v>
      </c>
      <c r="C7" s="109">
        <v>3.0659999999999998</v>
      </c>
      <c r="D7" s="72">
        <v>3.069</v>
      </c>
      <c r="E7" s="109">
        <v>3.1709999999999998</v>
      </c>
      <c r="F7" s="109">
        <v>3.2149999999999999</v>
      </c>
      <c r="G7" s="109">
        <v>3.2989999999999999</v>
      </c>
      <c r="H7" s="72">
        <v>3.4249999999999998</v>
      </c>
      <c r="I7" s="109">
        <v>3.6989999999999998</v>
      </c>
      <c r="J7" s="109">
        <v>3.645</v>
      </c>
      <c r="K7" s="109">
        <v>3.4689999999999999</v>
      </c>
      <c r="L7" s="109">
        <v>3.4569999999999999</v>
      </c>
      <c r="M7" s="109">
        <v>3.4510000000000001</v>
      </c>
      <c r="N7" s="109">
        <v>3.3919999999999999</v>
      </c>
      <c r="O7" s="511">
        <f>AVERAGE(C7:N7)</f>
        <v>3.3631666666666664</v>
      </c>
      <c r="P7" s="511">
        <f>IFERROR(SUMPRODUCT($C$1:$N$1,C7:N7)/CustUsage_kWhPerYear,O7)</f>
        <v>3.3431841482649842</v>
      </c>
    </row>
    <row r="8" spans="1:16" ht="12.75" customHeight="1" x14ac:dyDescent="0.15">
      <c r="B8" s="104" t="s">
        <v>62</v>
      </c>
      <c r="C8" s="72"/>
      <c r="D8" s="72"/>
      <c r="E8" s="72"/>
      <c r="F8" s="104"/>
    </row>
    <row r="9" spans="1:16" x14ac:dyDescent="0.15">
      <c r="B9" s="109" t="s">
        <v>63</v>
      </c>
      <c r="C9" s="109">
        <v>61.06</v>
      </c>
      <c r="D9" s="72">
        <v>61.33</v>
      </c>
      <c r="E9" s="109">
        <v>62.06</v>
      </c>
      <c r="F9" s="109">
        <v>62.19</v>
      </c>
      <c r="G9" s="109">
        <v>63.18</v>
      </c>
      <c r="H9" s="72">
        <v>64.06</v>
      </c>
      <c r="I9" s="109">
        <v>66</v>
      </c>
      <c r="J9" s="109">
        <v>66.400000000000006</v>
      </c>
      <c r="K9" s="109">
        <v>65.930000000000007</v>
      </c>
      <c r="L9" s="109">
        <v>65.180000000000007</v>
      </c>
      <c r="M9" s="109">
        <v>65.28</v>
      </c>
      <c r="N9" s="109">
        <v>64.709999999999994</v>
      </c>
      <c r="O9" s="511">
        <f>AVERAGE(C9:N9)</f>
        <v>63.948333333333345</v>
      </c>
      <c r="P9" s="511">
        <f>O9</f>
        <v>63.948333333333345</v>
      </c>
    </row>
  </sheetData>
  <sheetProtection selectLockedCells="1" selectUnlockedCells="1"/>
  <hyperlinks>
    <hyperlink ref="B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98"/>
  <sheetViews>
    <sheetView workbookViewId="0">
      <pane xSplit="2" ySplit="1" topLeftCell="C2" activePane="bottomRight" state="frozen"/>
      <selection sqref="A1:H8"/>
      <selection pane="topRight" sqref="A1:H8"/>
      <selection pane="bottomLeft" sqref="A1:H8"/>
      <selection pane="bottomRight" activeCell="C2" sqref="C2"/>
    </sheetView>
  </sheetViews>
  <sheetFormatPr defaultRowHeight="10.5" x14ac:dyDescent="0.15"/>
  <cols>
    <col min="1" max="1" width="7" style="227" bestFit="1" customWidth="1"/>
    <col min="2" max="2" width="41.140625" style="227" bestFit="1" customWidth="1"/>
    <col min="3" max="4" width="9.5703125" style="227" bestFit="1" customWidth="1"/>
    <col min="5" max="6" width="7.85546875" style="227" bestFit="1" customWidth="1"/>
    <col min="7" max="8" width="9.5703125" style="227" bestFit="1" customWidth="1"/>
    <col min="9" max="14" width="7.85546875" style="227" bestFit="1" customWidth="1"/>
    <col min="15" max="15" width="9.85546875" style="227" bestFit="1" customWidth="1"/>
    <col min="16" max="16" width="11.140625" style="227" customWidth="1"/>
    <col min="17" max="16384" width="9.140625" style="227"/>
  </cols>
  <sheetData>
    <row r="1" spans="1:16" ht="31.5" x14ac:dyDescent="0.15">
      <c r="A1" s="102" t="s">
        <v>197</v>
      </c>
      <c r="B1" s="228" t="s">
        <v>273</v>
      </c>
      <c r="C1" s="105">
        <v>201609</v>
      </c>
      <c r="D1" s="105">
        <v>201610</v>
      </c>
      <c r="E1" s="105">
        <v>201611</v>
      </c>
      <c r="F1" s="105">
        <v>201612</v>
      </c>
      <c r="G1" s="105">
        <v>201701</v>
      </c>
      <c r="H1" s="105">
        <v>201702</v>
      </c>
      <c r="I1" s="105">
        <v>201703</v>
      </c>
      <c r="J1" s="105">
        <v>201704</v>
      </c>
      <c r="K1" s="105">
        <v>201705</v>
      </c>
      <c r="L1" s="105">
        <v>201706</v>
      </c>
      <c r="M1" s="105">
        <v>201707</v>
      </c>
      <c r="N1" s="105">
        <v>201708</v>
      </c>
      <c r="O1" s="105" t="s">
        <v>991</v>
      </c>
      <c r="P1" s="105" t="s">
        <v>1012</v>
      </c>
    </row>
    <row r="2" spans="1:16" x14ac:dyDescent="0.15">
      <c r="B2" s="228" t="s">
        <v>297</v>
      </c>
    </row>
    <row r="3" spans="1:16" x14ac:dyDescent="0.15">
      <c r="B3" s="227" t="s">
        <v>252</v>
      </c>
      <c r="C3" s="509" t="s">
        <v>813</v>
      </c>
      <c r="D3" s="509" t="s">
        <v>814</v>
      </c>
      <c r="E3" s="509" t="s">
        <v>815</v>
      </c>
      <c r="F3" s="509" t="s">
        <v>816</v>
      </c>
      <c r="G3" s="509" t="s">
        <v>805</v>
      </c>
      <c r="H3" s="509" t="s">
        <v>806</v>
      </c>
      <c r="I3" s="509" t="s">
        <v>807</v>
      </c>
      <c r="J3" s="509" t="s">
        <v>808</v>
      </c>
      <c r="K3" s="509" t="s">
        <v>809</v>
      </c>
      <c r="L3" s="509" t="s">
        <v>810</v>
      </c>
      <c r="M3" s="509" t="s">
        <v>811</v>
      </c>
      <c r="N3" s="509" t="s">
        <v>812</v>
      </c>
    </row>
    <row r="4" spans="1:16" x14ac:dyDescent="0.15">
      <c r="A4" s="230">
        <v>75</v>
      </c>
      <c r="B4" s="227" t="s">
        <v>253</v>
      </c>
      <c r="C4" s="227">
        <v>0.79300000000000004</v>
      </c>
      <c r="D4" s="227">
        <v>0.79300000000000004</v>
      </c>
      <c r="E4" s="227">
        <v>0.79300000000000004</v>
      </c>
      <c r="F4" s="227">
        <v>0.79300000000000004</v>
      </c>
      <c r="G4" s="227">
        <v>0.79300000000000004</v>
      </c>
      <c r="H4" s="227">
        <v>0.79300000000000004</v>
      </c>
      <c r="I4" s="227">
        <v>0.79300000000000004</v>
      </c>
      <c r="J4" s="227">
        <v>0.79300000000000004</v>
      </c>
      <c r="K4" s="227">
        <v>0.79300000000000004</v>
      </c>
      <c r="L4" s="227">
        <v>0.79300000000000004</v>
      </c>
      <c r="M4" s="227">
        <v>0.79300000000000004</v>
      </c>
      <c r="N4" s="227">
        <v>0.79300000000000004</v>
      </c>
      <c r="O4" s="511">
        <f>AVERAGE(C4:N4)</f>
        <v>0.79300000000000004</v>
      </c>
      <c r="P4" s="584">
        <f>O4</f>
        <v>0.79300000000000004</v>
      </c>
    </row>
    <row r="5" spans="1:16" x14ac:dyDescent="0.15">
      <c r="A5" s="230">
        <v>65</v>
      </c>
      <c r="B5" s="227" t="s">
        <v>254</v>
      </c>
      <c r="M5" s="227">
        <v>0.95599999999999996</v>
      </c>
      <c r="N5" s="227">
        <v>0.95599999999999996</v>
      </c>
      <c r="O5" s="511">
        <f>AVERAGE(C5:N5)</f>
        <v>0.95599999999999996</v>
      </c>
      <c r="P5" s="584">
        <f>O5</f>
        <v>0.95599999999999996</v>
      </c>
    </row>
    <row r="6" spans="1:16" x14ac:dyDescent="0.15">
      <c r="A6" s="230">
        <v>0</v>
      </c>
      <c r="C6" s="227">
        <v>0.95599999999999996</v>
      </c>
      <c r="D6" s="227">
        <v>0.95599999999999996</v>
      </c>
      <c r="E6" s="227">
        <v>0.95599999999999996</v>
      </c>
      <c r="F6" s="227">
        <v>0.95599999999999996</v>
      </c>
      <c r="G6" s="227">
        <v>0.95599999999999996</v>
      </c>
      <c r="H6" s="227">
        <v>0.95599999999999996</v>
      </c>
      <c r="I6" s="227">
        <v>0.95599999999999996</v>
      </c>
      <c r="J6" s="227">
        <v>0.95599999999999996</v>
      </c>
      <c r="K6" s="227">
        <v>0.95599999999999996</v>
      </c>
      <c r="L6" s="227">
        <v>0.95599999999999996</v>
      </c>
    </row>
    <row r="7" spans="1:16" x14ac:dyDescent="0.15">
      <c r="A7" s="230"/>
      <c r="B7" s="227" t="s">
        <v>255</v>
      </c>
      <c r="C7" s="227">
        <v>2.802</v>
      </c>
      <c r="D7" s="227">
        <v>2.802</v>
      </c>
      <c r="E7" s="227">
        <v>2.802</v>
      </c>
      <c r="F7" s="227">
        <v>2.802</v>
      </c>
      <c r="G7" s="227">
        <v>2.802</v>
      </c>
      <c r="H7" s="227">
        <v>2.802</v>
      </c>
      <c r="I7" s="227">
        <v>2.802</v>
      </c>
      <c r="J7" s="227">
        <v>2.802</v>
      </c>
      <c r="K7" s="227">
        <v>2.802</v>
      </c>
      <c r="L7" s="227">
        <v>2.802</v>
      </c>
      <c r="M7" s="227">
        <v>2.802</v>
      </c>
      <c r="N7" s="227">
        <v>2.802</v>
      </c>
      <c r="O7" s="511">
        <f>AVERAGE(C7:N7)</f>
        <v>2.802</v>
      </c>
      <c r="P7" s="584">
        <f>O7</f>
        <v>2.802</v>
      </c>
    </row>
    <row r="8" spans="1:16" x14ac:dyDescent="0.15">
      <c r="A8" s="230"/>
    </row>
    <row r="9" spans="1:16" x14ac:dyDescent="0.15">
      <c r="B9" s="228" t="s">
        <v>296</v>
      </c>
    </row>
    <row r="10" spans="1:16" x14ac:dyDescent="0.15">
      <c r="B10" s="227" t="s">
        <v>252</v>
      </c>
      <c r="C10" s="509" t="s">
        <v>813</v>
      </c>
      <c r="D10" s="509" t="s">
        <v>814</v>
      </c>
      <c r="E10" s="509" t="s">
        <v>815</v>
      </c>
      <c r="F10" s="509" t="s">
        <v>816</v>
      </c>
      <c r="G10" s="509" t="s">
        <v>805</v>
      </c>
      <c r="H10" s="509" t="s">
        <v>806</v>
      </c>
      <c r="I10" s="509" t="s">
        <v>807</v>
      </c>
      <c r="J10" s="509" t="s">
        <v>808</v>
      </c>
      <c r="K10" s="509" t="s">
        <v>809</v>
      </c>
      <c r="L10" s="509" t="s">
        <v>810</v>
      </c>
      <c r="M10" s="509" t="s">
        <v>811</v>
      </c>
      <c r="N10" s="509" t="s">
        <v>812</v>
      </c>
    </row>
    <row r="11" spans="1:16" x14ac:dyDescent="0.15">
      <c r="A11" s="230">
        <v>75</v>
      </c>
      <c r="B11" s="227" t="s">
        <v>253</v>
      </c>
      <c r="C11" s="227">
        <v>0.79300000000000004</v>
      </c>
      <c r="D11" s="227">
        <v>0.79300000000000004</v>
      </c>
      <c r="E11" s="227">
        <v>0.79300000000000004</v>
      </c>
      <c r="F11" s="227">
        <v>0.79300000000000004</v>
      </c>
      <c r="G11" s="227">
        <v>0.79300000000000004</v>
      </c>
      <c r="H11" s="227">
        <v>0.79300000000000004</v>
      </c>
      <c r="I11" s="227">
        <v>0.79300000000000004</v>
      </c>
      <c r="J11" s="227">
        <v>0.79300000000000004</v>
      </c>
      <c r="K11" s="227">
        <v>0.79300000000000004</v>
      </c>
      <c r="L11" s="227">
        <v>0.79300000000000004</v>
      </c>
      <c r="M11" s="227">
        <v>0.79300000000000004</v>
      </c>
      <c r="N11" s="227">
        <v>0.79300000000000004</v>
      </c>
      <c r="O11" s="511">
        <f>AVERAGE(C11:N11)</f>
        <v>0.79300000000000004</v>
      </c>
      <c r="P11" s="584">
        <f>O11</f>
        <v>0.79300000000000004</v>
      </c>
    </row>
    <row r="12" spans="1:16" x14ac:dyDescent="0.15">
      <c r="A12" s="230">
        <v>65</v>
      </c>
      <c r="B12" s="227" t="s">
        <v>254</v>
      </c>
      <c r="M12" s="227">
        <v>0.95599999999999996</v>
      </c>
      <c r="N12" s="227">
        <v>0.95599999999999996</v>
      </c>
      <c r="O12" s="511">
        <f>AVERAGE(C12:N12)</f>
        <v>0.95599999999999996</v>
      </c>
      <c r="P12" s="584">
        <f>O12</f>
        <v>0.95599999999999996</v>
      </c>
    </row>
    <row r="13" spans="1:16" x14ac:dyDescent="0.15">
      <c r="A13" s="230">
        <v>0</v>
      </c>
      <c r="C13" s="227">
        <v>0.95599999999999996</v>
      </c>
      <c r="D13" s="227">
        <v>0.95599999999999996</v>
      </c>
      <c r="E13" s="227">
        <v>0.95599999999999996</v>
      </c>
      <c r="F13" s="227">
        <v>0.95599999999999996</v>
      </c>
      <c r="G13" s="227">
        <v>0.95599999999999996</v>
      </c>
      <c r="H13" s="227">
        <v>0.95599999999999996</v>
      </c>
      <c r="I13" s="227">
        <v>0.95599999999999996</v>
      </c>
      <c r="J13" s="227">
        <v>0.95599999999999996</v>
      </c>
      <c r="K13" s="227">
        <v>0.95599999999999996</v>
      </c>
      <c r="L13" s="227">
        <v>0.95599999999999996</v>
      </c>
    </row>
    <row r="14" spans="1:16" x14ac:dyDescent="0.15">
      <c r="A14" s="230"/>
      <c r="B14" s="227" t="s">
        <v>255</v>
      </c>
      <c r="C14" s="227">
        <v>2.802</v>
      </c>
      <c r="D14" s="227">
        <v>2.802</v>
      </c>
      <c r="E14" s="227">
        <v>2.802</v>
      </c>
      <c r="F14" s="227">
        <v>2.802</v>
      </c>
      <c r="G14" s="227">
        <v>2.802</v>
      </c>
      <c r="H14" s="227">
        <v>2.802</v>
      </c>
      <c r="I14" s="227">
        <v>2.802</v>
      </c>
      <c r="J14" s="227">
        <v>2.802</v>
      </c>
      <c r="K14" s="227">
        <v>2.802</v>
      </c>
      <c r="L14" s="227">
        <v>2.802</v>
      </c>
      <c r="M14" s="227">
        <v>2.802</v>
      </c>
      <c r="N14" s="227">
        <v>2.802</v>
      </c>
      <c r="O14" s="511">
        <f>AVERAGE(C14:N14)</f>
        <v>2.802</v>
      </c>
      <c r="P14" s="584">
        <f>O14</f>
        <v>2.802</v>
      </c>
    </row>
    <row r="15" spans="1:16" x14ac:dyDescent="0.15">
      <c r="A15" s="230"/>
    </row>
    <row r="16" spans="1:16" x14ac:dyDescent="0.15">
      <c r="A16" s="230"/>
      <c r="B16" s="228" t="s">
        <v>279</v>
      </c>
    </row>
    <row r="17" spans="1:16" x14ac:dyDescent="0.15">
      <c r="A17" s="230"/>
      <c r="B17" s="227" t="s">
        <v>252</v>
      </c>
      <c r="C17" s="509" t="s">
        <v>813</v>
      </c>
      <c r="D17" s="509" t="s">
        <v>814</v>
      </c>
      <c r="E17" s="509" t="s">
        <v>815</v>
      </c>
      <c r="F17" s="509" t="s">
        <v>816</v>
      </c>
      <c r="G17" s="509" t="s">
        <v>805</v>
      </c>
      <c r="H17" s="509" t="s">
        <v>806</v>
      </c>
      <c r="I17" s="509" t="s">
        <v>807</v>
      </c>
      <c r="J17" s="509" t="s">
        <v>808</v>
      </c>
      <c r="K17" s="509" t="s">
        <v>809</v>
      </c>
      <c r="L17" s="509" t="s">
        <v>810</v>
      </c>
      <c r="M17" s="509" t="s">
        <v>811</v>
      </c>
      <c r="N17" s="509" t="s">
        <v>812</v>
      </c>
    </row>
    <row r="18" spans="1:16" x14ac:dyDescent="0.15">
      <c r="A18" s="230">
        <v>100</v>
      </c>
      <c r="B18" s="227" t="s">
        <v>256</v>
      </c>
      <c r="C18" s="227">
        <v>0.69699999999999995</v>
      </c>
      <c r="D18" s="227">
        <v>0.69699999999999995</v>
      </c>
      <c r="E18" s="227">
        <v>0.69699999999999995</v>
      </c>
      <c r="F18" s="227">
        <v>0.69699999999999995</v>
      </c>
      <c r="G18" s="227">
        <v>0.69699999999999995</v>
      </c>
      <c r="H18" s="227">
        <v>0.69699999999999995</v>
      </c>
      <c r="I18" s="227">
        <v>0.69699999999999995</v>
      </c>
      <c r="J18" s="227">
        <v>0.69699999999999995</v>
      </c>
      <c r="K18" s="227">
        <v>0.69699999999999995</v>
      </c>
      <c r="L18" s="227">
        <v>0.69699999999999995</v>
      </c>
      <c r="M18" s="227">
        <v>0.69699999999999995</v>
      </c>
      <c r="N18" s="227">
        <v>0.69699999999999995</v>
      </c>
      <c r="O18" s="511">
        <f>AVERAGE(C18:N18)</f>
        <v>0.69699999999999995</v>
      </c>
      <c r="P18" s="584">
        <f>O18</f>
        <v>0.69699999999999995</v>
      </c>
    </row>
    <row r="19" spans="1:16" x14ac:dyDescent="0.15">
      <c r="A19" s="230">
        <v>50</v>
      </c>
      <c r="B19" s="227" t="s">
        <v>257</v>
      </c>
      <c r="C19" s="227">
        <v>0.82199999999999995</v>
      </c>
      <c r="D19" s="227">
        <v>0.82199999999999995</v>
      </c>
      <c r="E19" s="227">
        <v>0.82199999999999995</v>
      </c>
      <c r="F19" s="227">
        <v>0.82199999999999995</v>
      </c>
      <c r="G19" s="227">
        <v>0.82199999999999995</v>
      </c>
      <c r="H19" s="227">
        <v>0.82199999999999995</v>
      </c>
      <c r="I19" s="227">
        <v>0.82199999999999995</v>
      </c>
      <c r="J19" s="227">
        <v>0.82199999999999995</v>
      </c>
      <c r="K19" s="227">
        <v>0.82199999999999995</v>
      </c>
      <c r="L19" s="227">
        <v>0.82199999999999995</v>
      </c>
      <c r="M19" s="227">
        <v>0.82199999999999995</v>
      </c>
      <c r="N19" s="227">
        <v>0.82199999999999995</v>
      </c>
      <c r="O19" s="511">
        <f>AVERAGE(C19:N19)</f>
        <v>0.82199999999999973</v>
      </c>
      <c r="P19" s="584">
        <f>O19</f>
        <v>0.82199999999999973</v>
      </c>
    </row>
    <row r="20" spans="1:16" x14ac:dyDescent="0.15">
      <c r="A20" s="230">
        <v>0</v>
      </c>
    </row>
    <row r="21" spans="1:16" x14ac:dyDescent="0.15">
      <c r="A21" s="230"/>
      <c r="B21" s="227" t="s">
        <v>255</v>
      </c>
      <c r="C21" s="227">
        <v>2.802</v>
      </c>
      <c r="D21" s="227">
        <v>2.802</v>
      </c>
      <c r="E21" s="227">
        <v>2.802</v>
      </c>
      <c r="F21" s="227">
        <v>2.802</v>
      </c>
      <c r="G21" s="227">
        <v>2.802</v>
      </c>
      <c r="H21" s="227">
        <v>2.802</v>
      </c>
      <c r="I21" s="227">
        <v>2.802</v>
      </c>
      <c r="J21" s="227">
        <v>2.802</v>
      </c>
      <c r="K21" s="227">
        <v>2.802</v>
      </c>
      <c r="L21" s="227">
        <v>2.802</v>
      </c>
      <c r="M21" s="227">
        <v>2.802</v>
      </c>
      <c r="N21" s="227">
        <v>2.802</v>
      </c>
      <c r="O21" s="511">
        <f>AVERAGE(C21:N21)</f>
        <v>2.802</v>
      </c>
      <c r="P21" s="584">
        <f>O21</f>
        <v>2.802</v>
      </c>
    </row>
    <row r="22" spans="1:16" x14ac:dyDescent="0.15">
      <c r="A22" s="230"/>
    </row>
    <row r="23" spans="1:16" x14ac:dyDescent="0.15">
      <c r="A23" s="230"/>
      <c r="B23" s="228" t="s">
        <v>280</v>
      </c>
    </row>
    <row r="24" spans="1:16" x14ac:dyDescent="0.15">
      <c r="A24" s="230"/>
      <c r="B24" s="227" t="s">
        <v>252</v>
      </c>
      <c r="C24" s="509" t="s">
        <v>813</v>
      </c>
      <c r="D24" s="509" t="s">
        <v>814</v>
      </c>
      <c r="E24" s="509" t="s">
        <v>815</v>
      </c>
      <c r="F24" s="509" t="s">
        <v>816</v>
      </c>
      <c r="G24" s="509" t="s">
        <v>805</v>
      </c>
      <c r="H24" s="509" t="s">
        <v>806</v>
      </c>
      <c r="I24" s="509" t="s">
        <v>807</v>
      </c>
      <c r="J24" s="509" t="s">
        <v>808</v>
      </c>
      <c r="K24" s="509" t="s">
        <v>809</v>
      </c>
      <c r="L24" s="509" t="s">
        <v>810</v>
      </c>
      <c r="M24" s="509" t="s">
        <v>811</v>
      </c>
      <c r="N24" s="509" t="s">
        <v>812</v>
      </c>
    </row>
    <row r="25" spans="1:16" x14ac:dyDescent="0.15">
      <c r="A25" s="230">
        <v>75</v>
      </c>
      <c r="B25" s="227" t="s">
        <v>253</v>
      </c>
      <c r="C25" s="227">
        <v>0.79300000000000004</v>
      </c>
      <c r="D25" s="227">
        <v>0.79300000000000004</v>
      </c>
      <c r="E25" s="227">
        <v>0.79300000000000004</v>
      </c>
      <c r="F25" s="227">
        <v>0.79300000000000004</v>
      </c>
      <c r="G25" s="227">
        <v>0.79300000000000004</v>
      </c>
      <c r="H25" s="227">
        <v>0.79300000000000004</v>
      </c>
      <c r="I25" s="227">
        <v>0.79300000000000004</v>
      </c>
      <c r="J25" s="227">
        <v>0.79300000000000004</v>
      </c>
      <c r="K25" s="227">
        <v>0.79300000000000004</v>
      </c>
      <c r="L25" s="227">
        <v>0.79300000000000004</v>
      </c>
      <c r="M25" s="227">
        <v>0.79300000000000004</v>
      </c>
      <c r="N25" s="227">
        <v>0.79300000000000004</v>
      </c>
      <c r="O25" s="511">
        <f>AVERAGE(C25:N25)</f>
        <v>0.79300000000000004</v>
      </c>
      <c r="P25" s="584">
        <f>O25</f>
        <v>0.79300000000000004</v>
      </c>
    </row>
    <row r="26" spans="1:16" x14ac:dyDescent="0.15">
      <c r="A26" s="230">
        <v>75</v>
      </c>
      <c r="B26" s="227" t="s">
        <v>258</v>
      </c>
      <c r="C26" s="227">
        <v>0.95599999999999996</v>
      </c>
      <c r="D26" s="227">
        <v>0.95599999999999996</v>
      </c>
      <c r="E26" s="227">
        <v>0.95599999999999996</v>
      </c>
      <c r="F26" s="227">
        <v>0.95599999999999996</v>
      </c>
      <c r="G26" s="227">
        <v>0.95599999999999996</v>
      </c>
      <c r="H26" s="227">
        <v>0.95599999999999996</v>
      </c>
      <c r="I26" s="227">
        <v>0.95599999999999996</v>
      </c>
      <c r="J26" s="227">
        <v>0.95599999999999996</v>
      </c>
      <c r="K26" s="227">
        <v>0.95599999999999996</v>
      </c>
      <c r="L26" s="227">
        <v>0.95599999999999996</v>
      </c>
      <c r="M26" s="227">
        <v>0.95599999999999996</v>
      </c>
      <c r="N26" s="227">
        <v>0.95599999999999996</v>
      </c>
      <c r="O26" s="511">
        <f>AVERAGE(C26:N26)</f>
        <v>0.95599999999999963</v>
      </c>
      <c r="P26" s="584">
        <f>O26</f>
        <v>0.95599999999999963</v>
      </c>
    </row>
    <row r="27" spans="1:16" x14ac:dyDescent="0.15">
      <c r="A27" s="230">
        <v>0</v>
      </c>
    </row>
    <row r="28" spans="1:16" x14ac:dyDescent="0.15">
      <c r="A28" s="230"/>
      <c r="B28" s="227" t="s">
        <v>255</v>
      </c>
      <c r="C28" s="227">
        <v>2.802</v>
      </c>
      <c r="D28" s="227">
        <v>2.802</v>
      </c>
      <c r="E28" s="227">
        <v>2.802</v>
      </c>
      <c r="F28" s="227">
        <v>2.802</v>
      </c>
      <c r="G28" s="227">
        <v>2.802</v>
      </c>
      <c r="H28" s="227">
        <v>2.802</v>
      </c>
      <c r="I28" s="227">
        <v>2.802</v>
      </c>
      <c r="J28" s="227">
        <v>2.802</v>
      </c>
      <c r="K28" s="227">
        <v>2.802</v>
      </c>
      <c r="L28" s="227">
        <v>2.802</v>
      </c>
      <c r="M28" s="227">
        <v>2.802</v>
      </c>
      <c r="N28" s="227">
        <v>2.802</v>
      </c>
      <c r="O28" s="511">
        <f>AVERAGE(C28:N28)</f>
        <v>2.802</v>
      </c>
      <c r="P28" s="584">
        <f>O28</f>
        <v>2.802</v>
      </c>
    </row>
    <row r="29" spans="1:16" x14ac:dyDescent="0.15">
      <c r="A29" s="230"/>
    </row>
    <row r="30" spans="1:16" x14ac:dyDescent="0.15">
      <c r="A30" s="230"/>
      <c r="B30" s="228" t="s">
        <v>285</v>
      </c>
    </row>
    <row r="31" spans="1:16" x14ac:dyDescent="0.15">
      <c r="A31" s="230"/>
      <c r="B31" s="227" t="s">
        <v>252</v>
      </c>
      <c r="C31" s="509" t="s">
        <v>813</v>
      </c>
      <c r="D31" s="509" t="s">
        <v>814</v>
      </c>
      <c r="E31" s="509" t="s">
        <v>815</v>
      </c>
      <c r="F31" s="509" t="s">
        <v>816</v>
      </c>
      <c r="G31" s="509" t="s">
        <v>805</v>
      </c>
      <c r="H31" s="509" t="s">
        <v>806</v>
      </c>
      <c r="I31" s="509" t="s">
        <v>807</v>
      </c>
      <c r="J31" s="509" t="s">
        <v>808</v>
      </c>
      <c r="K31" s="509" t="s">
        <v>809</v>
      </c>
      <c r="L31" s="509" t="s">
        <v>810</v>
      </c>
      <c r="M31" s="509" t="s">
        <v>811</v>
      </c>
      <c r="N31" s="509" t="s">
        <v>812</v>
      </c>
    </row>
    <row r="32" spans="1:16" x14ac:dyDescent="0.15">
      <c r="A32" s="230">
        <v>125</v>
      </c>
      <c r="B32" s="227" t="s">
        <v>259</v>
      </c>
      <c r="C32" s="227">
        <v>0.69699999999999995</v>
      </c>
      <c r="D32" s="227">
        <v>0.69699999999999995</v>
      </c>
      <c r="E32" s="227">
        <v>0.69699999999999995</v>
      </c>
      <c r="F32" s="227">
        <v>0.69699999999999995</v>
      </c>
      <c r="G32" s="227">
        <v>0.69699999999999995</v>
      </c>
      <c r="H32" s="227">
        <v>0.69699999999999995</v>
      </c>
      <c r="I32" s="227">
        <v>0.69699999999999995</v>
      </c>
      <c r="J32" s="227">
        <v>0.69699999999999995</v>
      </c>
      <c r="K32" s="227">
        <v>0.69699999999999995</v>
      </c>
      <c r="L32" s="227">
        <v>0.69699999999999995</v>
      </c>
      <c r="M32" s="227">
        <v>0.69699999999999995</v>
      </c>
      <c r="N32" s="227">
        <v>0.69699999999999995</v>
      </c>
      <c r="O32" s="511">
        <f>AVERAGE(C32:N32)</f>
        <v>0.69699999999999995</v>
      </c>
      <c r="P32" s="584">
        <f>O32</f>
        <v>0.69699999999999995</v>
      </c>
    </row>
    <row r="33" spans="1:16" x14ac:dyDescent="0.15">
      <c r="A33" s="230">
        <v>100</v>
      </c>
      <c r="B33" s="227" t="s">
        <v>260</v>
      </c>
      <c r="C33" s="227">
        <v>0.82199999999999995</v>
      </c>
      <c r="D33" s="227">
        <v>0.82199999999999995</v>
      </c>
      <c r="E33" s="227">
        <v>0.82199999999999995</v>
      </c>
      <c r="F33" s="227">
        <v>0.82199999999999995</v>
      </c>
      <c r="G33" s="227">
        <v>0.82199999999999995</v>
      </c>
      <c r="H33" s="227">
        <v>0.82199999999999995</v>
      </c>
      <c r="I33" s="227">
        <v>0.82199999999999995</v>
      </c>
      <c r="J33" s="227">
        <v>0.82199999999999995</v>
      </c>
      <c r="K33" s="227">
        <v>0.82199999999999995</v>
      </c>
      <c r="L33" s="227">
        <v>0.82199999999999995</v>
      </c>
      <c r="M33" s="227">
        <v>0.82199999999999995</v>
      </c>
      <c r="N33" s="227">
        <v>0.82199999999999995</v>
      </c>
      <c r="O33" s="511">
        <f>AVERAGE(C33:N33)</f>
        <v>0.82199999999999973</v>
      </c>
      <c r="P33" s="584">
        <f>O33</f>
        <v>0.82199999999999973</v>
      </c>
    </row>
    <row r="34" spans="1:16" x14ac:dyDescent="0.15">
      <c r="A34" s="230">
        <v>0</v>
      </c>
    </row>
    <row r="35" spans="1:16" x14ac:dyDescent="0.15">
      <c r="A35" s="230"/>
      <c r="B35" s="227" t="s">
        <v>255</v>
      </c>
      <c r="C35" s="227">
        <v>2.802</v>
      </c>
      <c r="D35" s="227">
        <v>2.802</v>
      </c>
      <c r="E35" s="227">
        <v>2.802</v>
      </c>
      <c r="F35" s="227">
        <v>2.802</v>
      </c>
      <c r="G35" s="227">
        <v>2.802</v>
      </c>
      <c r="H35" s="227">
        <v>2.802</v>
      </c>
      <c r="I35" s="227">
        <v>2.802</v>
      </c>
      <c r="J35" s="227">
        <v>2.802</v>
      </c>
      <c r="K35" s="227">
        <v>2.802</v>
      </c>
      <c r="L35" s="227">
        <v>2.802</v>
      </c>
      <c r="M35" s="227">
        <v>2.802</v>
      </c>
      <c r="N35" s="227">
        <v>2.802</v>
      </c>
      <c r="O35" s="511">
        <f>AVERAGE(C35:N35)</f>
        <v>2.802</v>
      </c>
      <c r="P35" s="584">
        <f>O35</f>
        <v>2.802</v>
      </c>
    </row>
    <row r="36" spans="1:16" x14ac:dyDescent="0.15">
      <c r="A36" s="230"/>
    </row>
    <row r="37" spans="1:16" x14ac:dyDescent="0.15">
      <c r="A37" s="230"/>
      <c r="B37" s="228" t="s">
        <v>290</v>
      </c>
    </row>
    <row r="38" spans="1:16" x14ac:dyDescent="0.15">
      <c r="A38" s="230"/>
      <c r="B38" s="227" t="s">
        <v>252</v>
      </c>
      <c r="C38" s="509" t="s">
        <v>813</v>
      </c>
      <c r="D38" s="509" t="s">
        <v>814</v>
      </c>
      <c r="E38" s="509" t="s">
        <v>815</v>
      </c>
      <c r="F38" s="509" t="s">
        <v>816</v>
      </c>
      <c r="G38" s="509" t="s">
        <v>805</v>
      </c>
      <c r="H38" s="509" t="s">
        <v>806</v>
      </c>
      <c r="I38" s="509" t="s">
        <v>807</v>
      </c>
      <c r="J38" s="509" t="s">
        <v>808</v>
      </c>
      <c r="K38" s="509" t="s">
        <v>809</v>
      </c>
      <c r="L38" s="509" t="s">
        <v>810</v>
      </c>
      <c r="M38" s="509" t="s">
        <v>811</v>
      </c>
      <c r="N38" s="509" t="s">
        <v>812</v>
      </c>
    </row>
    <row r="39" spans="1:16" x14ac:dyDescent="0.15">
      <c r="A39" s="230">
        <v>75</v>
      </c>
      <c r="B39" s="227" t="s">
        <v>253</v>
      </c>
      <c r="C39" s="227">
        <v>0.79300000000000004</v>
      </c>
      <c r="D39" s="227">
        <v>0.79300000000000004</v>
      </c>
      <c r="E39" s="227">
        <v>0.79300000000000004</v>
      </c>
      <c r="F39" s="227">
        <v>0.79300000000000004</v>
      </c>
      <c r="G39" s="227">
        <v>0.79300000000000004</v>
      </c>
      <c r="H39" s="227">
        <v>0.79300000000000004</v>
      </c>
      <c r="I39" s="227">
        <v>0.79300000000000004</v>
      </c>
      <c r="J39" s="227">
        <v>0.79300000000000004</v>
      </c>
      <c r="K39" s="227">
        <v>0.79300000000000004</v>
      </c>
      <c r="L39" s="227">
        <v>0.79300000000000004</v>
      </c>
      <c r="M39" s="227">
        <v>0.79300000000000004</v>
      </c>
      <c r="N39" s="227">
        <v>0.79300000000000004</v>
      </c>
      <c r="O39" s="511">
        <f>AVERAGE(C39:N39)</f>
        <v>0.79300000000000004</v>
      </c>
      <c r="P39" s="584">
        <f>O39</f>
        <v>0.79300000000000004</v>
      </c>
    </row>
    <row r="40" spans="1:16" x14ac:dyDescent="0.15">
      <c r="A40" s="230">
        <v>100</v>
      </c>
      <c r="B40" s="227" t="s">
        <v>261</v>
      </c>
      <c r="C40" s="227">
        <v>0.95599999999999996</v>
      </c>
      <c r="D40" s="227">
        <v>0.95599999999999996</v>
      </c>
      <c r="E40" s="227">
        <v>0.95599999999999996</v>
      </c>
      <c r="F40" s="227">
        <v>0.95599999999999996</v>
      </c>
      <c r="G40" s="227">
        <v>0.95599999999999996</v>
      </c>
      <c r="H40" s="227">
        <v>0.95599999999999996</v>
      </c>
      <c r="I40" s="227">
        <v>0.95599999999999996</v>
      </c>
      <c r="J40" s="227">
        <v>0.95599999999999996</v>
      </c>
      <c r="K40" s="227">
        <v>0.95599999999999996</v>
      </c>
      <c r="L40" s="227">
        <v>0.95599999999999996</v>
      </c>
      <c r="M40" s="227">
        <v>0.95599999999999996</v>
      </c>
      <c r="N40" s="227">
        <v>0.95599999999999996</v>
      </c>
      <c r="O40" s="511">
        <f>AVERAGE(C40:N40)</f>
        <v>0.95599999999999963</v>
      </c>
      <c r="P40" s="584">
        <f>O40</f>
        <v>0.95599999999999963</v>
      </c>
    </row>
    <row r="41" spans="1:16" x14ac:dyDescent="0.15">
      <c r="A41" s="230">
        <v>0</v>
      </c>
    </row>
    <row r="42" spans="1:16" x14ac:dyDescent="0.15">
      <c r="A42" s="230"/>
      <c r="B42" s="227" t="s">
        <v>255</v>
      </c>
      <c r="C42" s="227">
        <v>2.802</v>
      </c>
      <c r="D42" s="227">
        <v>2.802</v>
      </c>
      <c r="E42" s="227">
        <v>2.802</v>
      </c>
      <c r="F42" s="227">
        <v>2.802</v>
      </c>
      <c r="G42" s="227">
        <v>2.802</v>
      </c>
      <c r="H42" s="227">
        <v>2.802</v>
      </c>
      <c r="I42" s="227">
        <v>2.802</v>
      </c>
      <c r="J42" s="227">
        <v>2.802</v>
      </c>
      <c r="K42" s="227">
        <v>2.802</v>
      </c>
      <c r="L42" s="227">
        <v>2.802</v>
      </c>
      <c r="M42" s="227">
        <v>2.802</v>
      </c>
      <c r="N42" s="227">
        <v>2.802</v>
      </c>
      <c r="O42" s="511">
        <f>AVERAGE(C42:N42)</f>
        <v>2.802</v>
      </c>
      <c r="P42" s="584">
        <f>O42</f>
        <v>2.802</v>
      </c>
    </row>
    <row r="43" spans="1:16" x14ac:dyDescent="0.15">
      <c r="A43" s="230"/>
    </row>
    <row r="44" spans="1:16" x14ac:dyDescent="0.15">
      <c r="A44" s="230"/>
      <c r="B44" s="228" t="s">
        <v>284</v>
      </c>
    </row>
    <row r="45" spans="1:16" x14ac:dyDescent="0.15">
      <c r="A45" s="230"/>
      <c r="B45" s="227" t="s">
        <v>252</v>
      </c>
      <c r="C45" s="509" t="s">
        <v>813</v>
      </c>
      <c r="D45" s="509" t="s">
        <v>814</v>
      </c>
      <c r="E45" s="509" t="s">
        <v>815</v>
      </c>
      <c r="F45" s="509" t="s">
        <v>816</v>
      </c>
      <c r="G45" s="509" t="s">
        <v>805</v>
      </c>
      <c r="H45" s="509" t="s">
        <v>806</v>
      </c>
      <c r="I45" s="509" t="s">
        <v>807</v>
      </c>
      <c r="J45" s="509" t="s">
        <v>808</v>
      </c>
      <c r="K45" s="509" t="s">
        <v>809</v>
      </c>
      <c r="L45" s="509" t="s">
        <v>810</v>
      </c>
      <c r="M45" s="509" t="s">
        <v>811</v>
      </c>
      <c r="N45" s="509" t="s">
        <v>812</v>
      </c>
    </row>
    <row r="46" spans="1:16" x14ac:dyDescent="0.15">
      <c r="A46" s="230">
        <v>150</v>
      </c>
      <c r="B46" s="227" t="s">
        <v>262</v>
      </c>
      <c r="C46" s="227">
        <v>0.69699999999999995</v>
      </c>
      <c r="D46" s="227">
        <v>0.69699999999999995</v>
      </c>
      <c r="E46" s="227">
        <v>0.69699999999999995</v>
      </c>
      <c r="F46" s="227">
        <v>0.69699999999999995</v>
      </c>
      <c r="G46" s="227">
        <v>0.69699999999999995</v>
      </c>
      <c r="H46" s="227">
        <v>0.69699999999999995</v>
      </c>
      <c r="I46" s="227">
        <v>0.69699999999999995</v>
      </c>
      <c r="J46" s="227">
        <v>0.69699999999999995</v>
      </c>
      <c r="K46" s="227">
        <v>0.69699999999999995</v>
      </c>
      <c r="L46" s="227">
        <v>0.69699999999999995</v>
      </c>
      <c r="M46" s="227">
        <v>0.69699999999999995</v>
      </c>
      <c r="N46" s="227">
        <v>0.69699999999999995</v>
      </c>
      <c r="O46" s="511">
        <f>AVERAGE(C46:N46)</f>
        <v>0.69699999999999995</v>
      </c>
      <c r="P46" s="584">
        <f t="shared" ref="P46:P49" si="0">O46</f>
        <v>0.69699999999999995</v>
      </c>
    </row>
    <row r="47" spans="1:16" x14ac:dyDescent="0.15">
      <c r="A47" s="230">
        <v>150</v>
      </c>
      <c r="B47" s="227" t="s">
        <v>263</v>
      </c>
      <c r="C47" s="227">
        <v>0.82199999999999995</v>
      </c>
      <c r="D47" s="227">
        <v>0.82199999999999995</v>
      </c>
      <c r="E47" s="227">
        <v>0.82199999999999995</v>
      </c>
      <c r="F47" s="227">
        <v>0.82199999999999995</v>
      </c>
      <c r="G47" s="227">
        <v>0.82199999999999995</v>
      </c>
      <c r="H47" s="227">
        <v>0.82199999999999995</v>
      </c>
      <c r="I47" s="227">
        <v>0.82199999999999995</v>
      </c>
      <c r="J47" s="227">
        <v>0.82199999999999995</v>
      </c>
      <c r="K47" s="227">
        <v>0.82199999999999995</v>
      </c>
      <c r="L47" s="227">
        <v>0.82199999999999995</v>
      </c>
      <c r="M47" s="227">
        <v>0.82199999999999995</v>
      </c>
      <c r="N47" s="227">
        <v>0.82199999999999995</v>
      </c>
      <c r="O47" s="511">
        <f>AVERAGE(C47:N47)</f>
        <v>0.82199999999999973</v>
      </c>
      <c r="P47" s="584">
        <f t="shared" si="0"/>
        <v>0.82199999999999973</v>
      </c>
    </row>
    <row r="48" spans="1:16" x14ac:dyDescent="0.15">
      <c r="A48" s="230">
        <v>150</v>
      </c>
      <c r="B48" s="227" t="s">
        <v>264</v>
      </c>
      <c r="C48" s="227">
        <v>1.05</v>
      </c>
      <c r="D48" s="227">
        <v>1.05</v>
      </c>
      <c r="E48" s="227">
        <v>1.05</v>
      </c>
      <c r="F48" s="227">
        <v>1.05</v>
      </c>
      <c r="G48" s="227">
        <v>1.05</v>
      </c>
      <c r="H48" s="227">
        <v>1.05</v>
      </c>
      <c r="I48" s="227">
        <v>1.05</v>
      </c>
      <c r="J48" s="227">
        <v>1.05</v>
      </c>
      <c r="K48" s="227">
        <v>1.05</v>
      </c>
      <c r="L48" s="227">
        <v>1.05</v>
      </c>
      <c r="M48" s="227">
        <v>1.05</v>
      </c>
      <c r="N48" s="227">
        <v>1.05</v>
      </c>
      <c r="O48" s="511">
        <f>AVERAGE(C48:N48)</f>
        <v>1.0500000000000003</v>
      </c>
      <c r="P48" s="584">
        <f t="shared" si="0"/>
        <v>1.0500000000000003</v>
      </c>
    </row>
    <row r="49" spans="1:16" x14ac:dyDescent="0.15">
      <c r="A49" s="230"/>
      <c r="B49" s="227" t="s">
        <v>255</v>
      </c>
      <c r="C49" s="227">
        <v>2.802</v>
      </c>
      <c r="D49" s="227">
        <v>2.802</v>
      </c>
      <c r="E49" s="227">
        <v>2.802</v>
      </c>
      <c r="F49" s="227">
        <v>2.802</v>
      </c>
      <c r="G49" s="227">
        <v>2.802</v>
      </c>
      <c r="H49" s="227">
        <v>2.802</v>
      </c>
      <c r="I49" s="227">
        <v>2.802</v>
      </c>
      <c r="J49" s="227">
        <v>2.802</v>
      </c>
      <c r="K49" s="227">
        <v>2.802</v>
      </c>
      <c r="L49" s="227">
        <v>2.802</v>
      </c>
      <c r="M49" s="227">
        <v>2.802</v>
      </c>
      <c r="N49" s="227">
        <v>2.802</v>
      </c>
      <c r="O49" s="511">
        <f>AVERAGE(C49:N49)</f>
        <v>2.802</v>
      </c>
      <c r="P49" s="584">
        <f t="shared" si="0"/>
        <v>2.802</v>
      </c>
    </row>
    <row r="50" spans="1:16" x14ac:dyDescent="0.15">
      <c r="A50" s="230"/>
    </row>
    <row r="51" spans="1:16" x14ac:dyDescent="0.15">
      <c r="A51" s="230"/>
      <c r="B51" s="228" t="s">
        <v>289</v>
      </c>
    </row>
    <row r="52" spans="1:16" x14ac:dyDescent="0.15">
      <c r="A52" s="230"/>
      <c r="B52" s="227" t="s">
        <v>252</v>
      </c>
      <c r="C52" s="509" t="s">
        <v>813</v>
      </c>
      <c r="D52" s="509" t="s">
        <v>814</v>
      </c>
      <c r="E52" s="509" t="s">
        <v>815</v>
      </c>
      <c r="F52" s="509" t="s">
        <v>816</v>
      </c>
      <c r="G52" s="509" t="s">
        <v>805</v>
      </c>
      <c r="H52" s="509" t="s">
        <v>806</v>
      </c>
      <c r="I52" s="509" t="s">
        <v>807</v>
      </c>
      <c r="J52" s="509" t="s">
        <v>808</v>
      </c>
      <c r="K52" s="509" t="s">
        <v>809</v>
      </c>
      <c r="L52" s="509" t="s">
        <v>810</v>
      </c>
      <c r="M52" s="509" t="s">
        <v>811</v>
      </c>
      <c r="N52" s="509" t="s">
        <v>812</v>
      </c>
    </row>
    <row r="53" spans="1:16" x14ac:dyDescent="0.15">
      <c r="A53" s="230">
        <v>75</v>
      </c>
      <c r="B53" s="227" t="s">
        <v>253</v>
      </c>
      <c r="C53" s="227">
        <v>0.79300000000000004</v>
      </c>
      <c r="D53" s="227">
        <v>0.79300000000000004</v>
      </c>
      <c r="E53" s="227">
        <v>0.79300000000000004</v>
      </c>
      <c r="F53" s="227">
        <v>0.79300000000000004</v>
      </c>
      <c r="G53" s="227">
        <v>0.79300000000000004</v>
      </c>
      <c r="H53" s="227">
        <v>0.79300000000000004</v>
      </c>
      <c r="I53" s="227">
        <v>0.79300000000000004</v>
      </c>
      <c r="J53" s="227">
        <v>0.79300000000000004</v>
      </c>
      <c r="K53" s="227">
        <v>0.79300000000000004</v>
      </c>
      <c r="L53" s="227">
        <v>0.79300000000000004</v>
      </c>
      <c r="M53" s="227">
        <v>0.79300000000000004</v>
      </c>
      <c r="N53" s="227">
        <v>0.79300000000000004</v>
      </c>
      <c r="O53" s="511">
        <f>AVERAGE(C53:N53)</f>
        <v>0.79300000000000004</v>
      </c>
      <c r="P53" s="584">
        <f>O53</f>
        <v>0.79300000000000004</v>
      </c>
    </row>
    <row r="54" spans="1:16" x14ac:dyDescent="0.15">
      <c r="A54" s="230">
        <v>100</v>
      </c>
      <c r="B54" s="227" t="s">
        <v>261</v>
      </c>
      <c r="C54" s="227">
        <v>0.95599999999999996</v>
      </c>
      <c r="D54" s="227">
        <v>0.95599999999999996</v>
      </c>
      <c r="E54" s="227">
        <v>0.95599999999999996</v>
      </c>
      <c r="F54" s="227">
        <v>0.95599999999999996</v>
      </c>
      <c r="G54" s="227">
        <v>0.95599999999999996</v>
      </c>
      <c r="H54" s="227">
        <v>0.95599999999999996</v>
      </c>
      <c r="I54" s="227">
        <v>0.95599999999999996</v>
      </c>
      <c r="J54" s="227">
        <v>0.95599999999999996</v>
      </c>
      <c r="K54" s="227">
        <v>0.95599999999999996</v>
      </c>
      <c r="L54" s="227">
        <v>0.95599999999999996</v>
      </c>
      <c r="M54" s="227">
        <v>0.95599999999999996</v>
      </c>
      <c r="N54" s="227">
        <v>0.95599999999999996</v>
      </c>
      <c r="O54" s="511">
        <f>AVERAGE(C54:N54)</f>
        <v>0.95599999999999963</v>
      </c>
      <c r="P54" s="584">
        <f>O54</f>
        <v>0.95599999999999963</v>
      </c>
    </row>
    <row r="55" spans="1:16" x14ac:dyDescent="0.15">
      <c r="A55" s="230">
        <v>0</v>
      </c>
    </row>
    <row r="56" spans="1:16" x14ac:dyDescent="0.15">
      <c r="A56" s="230"/>
      <c r="B56" s="227" t="s">
        <v>255</v>
      </c>
      <c r="C56" s="227">
        <v>2.802</v>
      </c>
      <c r="D56" s="227">
        <v>2.802</v>
      </c>
      <c r="E56" s="227">
        <v>2.802</v>
      </c>
      <c r="F56" s="227">
        <v>2.802</v>
      </c>
      <c r="G56" s="227">
        <v>2.802</v>
      </c>
      <c r="H56" s="227">
        <v>2.802</v>
      </c>
      <c r="I56" s="227">
        <v>2.802</v>
      </c>
      <c r="J56" s="227">
        <v>2.802</v>
      </c>
      <c r="K56" s="227">
        <v>2.802</v>
      </c>
      <c r="L56" s="227">
        <v>2.802</v>
      </c>
      <c r="M56" s="227">
        <v>2.802</v>
      </c>
      <c r="N56" s="227">
        <v>2.802</v>
      </c>
      <c r="O56" s="511">
        <f>AVERAGE(C56:N56)</f>
        <v>2.802</v>
      </c>
      <c r="P56" s="584">
        <f>O56</f>
        <v>2.802</v>
      </c>
    </row>
    <row r="57" spans="1:16" x14ac:dyDescent="0.15">
      <c r="A57" s="230"/>
    </row>
    <row r="58" spans="1:16" x14ac:dyDescent="0.15">
      <c r="A58" s="230"/>
      <c r="B58" s="228" t="s">
        <v>282</v>
      </c>
    </row>
    <row r="59" spans="1:16" x14ac:dyDescent="0.15">
      <c r="A59" s="230"/>
      <c r="B59" s="227" t="s">
        <v>252</v>
      </c>
      <c r="C59" s="509" t="s">
        <v>813</v>
      </c>
      <c r="D59" s="509" t="s">
        <v>814</v>
      </c>
      <c r="E59" s="509" t="s">
        <v>815</v>
      </c>
      <c r="F59" s="509" t="s">
        <v>816</v>
      </c>
      <c r="G59" s="509" t="s">
        <v>805</v>
      </c>
      <c r="H59" s="509" t="s">
        <v>806</v>
      </c>
      <c r="I59" s="509" t="s">
        <v>807</v>
      </c>
      <c r="J59" s="509" t="s">
        <v>808</v>
      </c>
      <c r="K59" s="509" t="s">
        <v>809</v>
      </c>
      <c r="L59" s="509" t="s">
        <v>810</v>
      </c>
      <c r="M59" s="509" t="s">
        <v>811</v>
      </c>
      <c r="N59" s="509" t="s">
        <v>812</v>
      </c>
    </row>
    <row r="60" spans="1:16" x14ac:dyDescent="0.15">
      <c r="A60" s="230">
        <v>175</v>
      </c>
      <c r="B60" s="227" t="s">
        <v>265</v>
      </c>
      <c r="C60" s="227">
        <v>0.69699999999999995</v>
      </c>
      <c r="D60" s="227">
        <v>0.69699999999999995</v>
      </c>
      <c r="E60" s="227">
        <v>0.69699999999999995</v>
      </c>
      <c r="F60" s="227">
        <v>0.69699999999999995</v>
      </c>
      <c r="G60" s="227">
        <v>0.69699999999999995</v>
      </c>
      <c r="H60" s="227">
        <v>0.69699999999999995</v>
      </c>
      <c r="I60" s="227">
        <v>0.69699999999999995</v>
      </c>
      <c r="J60" s="227">
        <v>0.69699999999999995</v>
      </c>
      <c r="K60" s="227">
        <v>0.69699999999999995</v>
      </c>
      <c r="L60" s="227">
        <v>0.69699999999999995</v>
      </c>
      <c r="M60" s="227">
        <v>0.69699999999999995</v>
      </c>
      <c r="N60" s="227">
        <v>0.69699999999999995</v>
      </c>
      <c r="O60" s="511">
        <f>AVERAGE(C60:N60)</f>
        <v>0.69699999999999995</v>
      </c>
      <c r="P60" s="584">
        <f t="shared" ref="P60:P63" si="1">O60</f>
        <v>0.69699999999999995</v>
      </c>
    </row>
    <row r="61" spans="1:16" x14ac:dyDescent="0.15">
      <c r="A61" s="230">
        <v>225</v>
      </c>
      <c r="B61" s="227" t="s">
        <v>266</v>
      </c>
      <c r="C61" s="227">
        <v>0.82199999999999995</v>
      </c>
      <c r="D61" s="227">
        <v>0.82199999999999995</v>
      </c>
      <c r="E61" s="227">
        <v>0.82199999999999995</v>
      </c>
      <c r="F61" s="227">
        <v>0.82199999999999995</v>
      </c>
      <c r="G61" s="227">
        <v>0.82199999999999995</v>
      </c>
      <c r="H61" s="227">
        <v>0.82199999999999995</v>
      </c>
      <c r="I61" s="227">
        <v>0.82199999999999995</v>
      </c>
      <c r="J61" s="227">
        <v>0.82199999999999995</v>
      </c>
      <c r="K61" s="227">
        <v>0.82199999999999995</v>
      </c>
      <c r="L61" s="227">
        <v>0.82199999999999995</v>
      </c>
      <c r="M61" s="227">
        <v>0.82199999999999995</v>
      </c>
      <c r="N61" s="227">
        <v>0.82199999999999995</v>
      </c>
      <c r="O61" s="511">
        <f>AVERAGE(C61:N61)</f>
        <v>0.82199999999999973</v>
      </c>
      <c r="P61" s="584">
        <f t="shared" si="1"/>
        <v>0.82199999999999973</v>
      </c>
    </row>
    <row r="62" spans="1:16" x14ac:dyDescent="0.15">
      <c r="A62" s="230">
        <v>200</v>
      </c>
      <c r="B62" s="227" t="s">
        <v>267</v>
      </c>
      <c r="C62" s="227">
        <v>1.05</v>
      </c>
      <c r="D62" s="227">
        <v>1.05</v>
      </c>
      <c r="E62" s="227">
        <v>1.05</v>
      </c>
      <c r="F62" s="227">
        <v>1.05</v>
      </c>
      <c r="G62" s="227">
        <v>1.05</v>
      </c>
      <c r="H62" s="227">
        <v>1.05</v>
      </c>
      <c r="I62" s="227">
        <v>1.05</v>
      </c>
      <c r="J62" s="227">
        <v>1.05</v>
      </c>
      <c r="K62" s="227">
        <v>1.05</v>
      </c>
      <c r="L62" s="227">
        <v>1.05</v>
      </c>
      <c r="M62" s="227">
        <v>1.05</v>
      </c>
      <c r="N62" s="227">
        <v>1.05</v>
      </c>
      <c r="O62" s="511">
        <f>AVERAGE(C62:N62)</f>
        <v>1.0500000000000003</v>
      </c>
      <c r="P62" s="584">
        <f t="shared" si="1"/>
        <v>1.0500000000000003</v>
      </c>
    </row>
    <row r="63" spans="1:16" x14ac:dyDescent="0.15">
      <c r="A63" s="230"/>
      <c r="B63" s="227" t="s">
        <v>255</v>
      </c>
      <c r="C63" s="227">
        <v>2.802</v>
      </c>
      <c r="D63" s="227">
        <v>2.802</v>
      </c>
      <c r="E63" s="227">
        <v>2.802</v>
      </c>
      <c r="F63" s="227">
        <v>2.802</v>
      </c>
      <c r="G63" s="227">
        <v>2.802</v>
      </c>
      <c r="H63" s="227">
        <v>2.802</v>
      </c>
      <c r="I63" s="227">
        <v>2.802</v>
      </c>
      <c r="J63" s="227">
        <v>2.802</v>
      </c>
      <c r="K63" s="227">
        <v>2.802</v>
      </c>
      <c r="L63" s="227">
        <v>2.802</v>
      </c>
      <c r="M63" s="227">
        <v>2.802</v>
      </c>
      <c r="N63" s="227">
        <v>2.802</v>
      </c>
      <c r="O63" s="511">
        <f>AVERAGE(C63:N63)</f>
        <v>2.802</v>
      </c>
      <c r="P63" s="584">
        <f t="shared" si="1"/>
        <v>2.802</v>
      </c>
    </row>
    <row r="64" spans="1:16" x14ac:dyDescent="0.15">
      <c r="A64" s="230"/>
    </row>
    <row r="65" spans="1:16" x14ac:dyDescent="0.15">
      <c r="A65" s="230"/>
      <c r="B65" s="228" t="s">
        <v>288</v>
      </c>
    </row>
    <row r="66" spans="1:16" x14ac:dyDescent="0.15">
      <c r="A66" s="230"/>
      <c r="B66" s="227" t="s">
        <v>252</v>
      </c>
      <c r="C66" s="509" t="s">
        <v>813</v>
      </c>
      <c r="D66" s="509" t="s">
        <v>814</v>
      </c>
      <c r="E66" s="509" t="s">
        <v>815</v>
      </c>
      <c r="F66" s="509" t="s">
        <v>816</v>
      </c>
      <c r="G66" s="509" t="s">
        <v>805</v>
      </c>
      <c r="H66" s="509" t="s">
        <v>806</v>
      </c>
      <c r="I66" s="509" t="s">
        <v>807</v>
      </c>
      <c r="J66" s="509" t="s">
        <v>808</v>
      </c>
      <c r="K66" s="509" t="s">
        <v>809</v>
      </c>
      <c r="L66" s="509" t="s">
        <v>810</v>
      </c>
      <c r="M66" s="509" t="s">
        <v>811</v>
      </c>
      <c r="N66" s="509" t="s">
        <v>812</v>
      </c>
    </row>
    <row r="67" spans="1:16" x14ac:dyDescent="0.15">
      <c r="A67" s="230">
        <v>75</v>
      </c>
      <c r="B67" s="227" t="s">
        <v>253</v>
      </c>
      <c r="C67" s="227">
        <v>0.79300000000000004</v>
      </c>
      <c r="D67" s="227">
        <v>0.79300000000000004</v>
      </c>
      <c r="E67" s="227">
        <v>0.79300000000000004</v>
      </c>
      <c r="F67" s="227">
        <v>0.79300000000000004</v>
      </c>
      <c r="G67" s="227">
        <v>0.79300000000000004</v>
      </c>
      <c r="H67" s="227">
        <v>0.79300000000000004</v>
      </c>
      <c r="I67" s="227">
        <v>0.79300000000000004</v>
      </c>
      <c r="J67" s="227">
        <v>0.79300000000000004</v>
      </c>
      <c r="K67" s="227">
        <v>0.79300000000000004</v>
      </c>
      <c r="L67" s="227">
        <v>0.79300000000000004</v>
      </c>
      <c r="M67" s="227">
        <v>0.79300000000000004</v>
      </c>
      <c r="N67" s="227">
        <v>0.79300000000000004</v>
      </c>
      <c r="O67" s="511">
        <f>AVERAGE(C67:N67)</f>
        <v>0.79300000000000004</v>
      </c>
      <c r="P67" s="584">
        <f>O67</f>
        <v>0.79300000000000004</v>
      </c>
    </row>
    <row r="68" spans="1:16" x14ac:dyDescent="0.15">
      <c r="A68" s="230">
        <v>125</v>
      </c>
      <c r="B68" s="227" t="s">
        <v>268</v>
      </c>
      <c r="C68" s="227">
        <v>0.95599999999999996</v>
      </c>
      <c r="D68" s="227">
        <v>0.95599999999999996</v>
      </c>
      <c r="E68" s="227">
        <v>0.95599999999999996</v>
      </c>
      <c r="F68" s="227">
        <v>0.95599999999999996</v>
      </c>
      <c r="G68" s="227">
        <v>0.95599999999999996</v>
      </c>
      <c r="H68" s="227">
        <v>0.95599999999999996</v>
      </c>
      <c r="I68" s="227">
        <v>0.95599999999999996</v>
      </c>
      <c r="J68" s="227">
        <v>0.95599999999999996</v>
      </c>
      <c r="K68" s="227">
        <v>0.95599999999999996</v>
      </c>
      <c r="L68" s="227">
        <v>0.95599999999999996</v>
      </c>
      <c r="M68" s="227">
        <v>0.95599999999999996</v>
      </c>
      <c r="N68" s="227">
        <v>0.95599999999999996</v>
      </c>
      <c r="O68" s="511">
        <f>AVERAGE(C68:N68)</f>
        <v>0.95599999999999963</v>
      </c>
      <c r="P68" s="584">
        <f>O68</f>
        <v>0.95599999999999963</v>
      </c>
    </row>
    <row r="69" spans="1:16" x14ac:dyDescent="0.15">
      <c r="A69" s="230">
        <v>0</v>
      </c>
    </row>
    <row r="70" spans="1:16" x14ac:dyDescent="0.15">
      <c r="A70" s="230"/>
      <c r="B70" s="227" t="s">
        <v>255</v>
      </c>
      <c r="C70" s="227">
        <v>2.802</v>
      </c>
      <c r="D70" s="227">
        <v>2.802</v>
      </c>
      <c r="E70" s="227">
        <v>2.802</v>
      </c>
      <c r="F70" s="227">
        <v>2.802</v>
      </c>
      <c r="G70" s="227">
        <v>2.802</v>
      </c>
      <c r="H70" s="227">
        <v>2.802</v>
      </c>
      <c r="I70" s="227">
        <v>2.802</v>
      </c>
      <c r="J70" s="227">
        <v>2.802</v>
      </c>
      <c r="K70" s="227">
        <v>2.802</v>
      </c>
      <c r="L70" s="227">
        <v>2.802</v>
      </c>
      <c r="M70" s="227">
        <v>2.802</v>
      </c>
      <c r="N70" s="227">
        <v>2.802</v>
      </c>
      <c r="O70" s="511">
        <f>AVERAGE(C70:N70)</f>
        <v>2.802</v>
      </c>
      <c r="P70" s="584">
        <f>O70</f>
        <v>2.802</v>
      </c>
    </row>
    <row r="71" spans="1:16" x14ac:dyDescent="0.15">
      <c r="A71" s="230"/>
    </row>
    <row r="72" spans="1:16" x14ac:dyDescent="0.15">
      <c r="A72" s="230"/>
      <c r="B72" s="228" t="s">
        <v>281</v>
      </c>
    </row>
    <row r="73" spans="1:16" x14ac:dyDescent="0.15">
      <c r="A73" s="230"/>
      <c r="B73" s="227" t="s">
        <v>252</v>
      </c>
      <c r="C73" s="509" t="s">
        <v>813</v>
      </c>
      <c r="D73" s="509" t="s">
        <v>814</v>
      </c>
      <c r="E73" s="509" t="s">
        <v>815</v>
      </c>
      <c r="F73" s="509" t="s">
        <v>816</v>
      </c>
      <c r="G73" s="509" t="s">
        <v>805</v>
      </c>
      <c r="H73" s="509" t="s">
        <v>806</v>
      </c>
      <c r="I73" s="509" t="s">
        <v>807</v>
      </c>
      <c r="J73" s="509" t="s">
        <v>808</v>
      </c>
      <c r="K73" s="509" t="s">
        <v>809</v>
      </c>
      <c r="L73" s="509" t="s">
        <v>810</v>
      </c>
      <c r="M73" s="509" t="s">
        <v>811</v>
      </c>
      <c r="N73" s="509" t="s">
        <v>812</v>
      </c>
    </row>
    <row r="74" spans="1:16" x14ac:dyDescent="0.15">
      <c r="A74" s="230">
        <v>300</v>
      </c>
      <c r="B74" s="227" t="s">
        <v>269</v>
      </c>
      <c r="C74" s="227">
        <v>0.58299999999999996</v>
      </c>
      <c r="D74" s="227">
        <v>0.58299999999999996</v>
      </c>
      <c r="E74" s="227">
        <v>0.58299999999999996</v>
      </c>
      <c r="F74" s="227">
        <v>0.58299999999999996</v>
      </c>
      <c r="G74" s="227">
        <v>0.58299999999999996</v>
      </c>
      <c r="H74" s="227">
        <v>0.58299999999999996</v>
      </c>
      <c r="I74" s="227">
        <v>0.58299999999999996</v>
      </c>
      <c r="J74" s="227">
        <v>0.58299999999999996</v>
      </c>
      <c r="K74" s="227">
        <v>0.58299999999999996</v>
      </c>
      <c r="L74" s="227">
        <v>0.58299999999999996</v>
      </c>
      <c r="M74" s="227">
        <v>0.58299999999999996</v>
      </c>
      <c r="N74" s="227">
        <v>0.58299999999999996</v>
      </c>
      <c r="O74" s="511">
        <f>AVERAGE(C74:N74)</f>
        <v>0.58300000000000007</v>
      </c>
      <c r="P74" s="584">
        <f>O74</f>
        <v>0.58300000000000007</v>
      </c>
    </row>
    <row r="75" spans="1:16" x14ac:dyDescent="0.15">
      <c r="A75" s="230">
        <v>450</v>
      </c>
      <c r="B75" s="227" t="s">
        <v>270</v>
      </c>
      <c r="C75" s="227">
        <v>0.72599999999999998</v>
      </c>
      <c r="D75" s="227">
        <v>0.72599999999999998</v>
      </c>
      <c r="E75" s="227">
        <v>0.72599999999999998</v>
      </c>
      <c r="F75" s="227">
        <v>0.72599999999999998</v>
      </c>
      <c r="G75" s="227">
        <v>0.72599999999999998</v>
      </c>
      <c r="H75" s="227">
        <v>0.72599999999999998</v>
      </c>
      <c r="I75" s="227">
        <v>0.72599999999999998</v>
      </c>
      <c r="J75" s="227">
        <v>0.72599999999999998</v>
      </c>
      <c r="K75" s="227">
        <v>0.72599999999999998</v>
      </c>
      <c r="L75" s="227">
        <v>0.72599999999999998</v>
      </c>
      <c r="M75" s="227">
        <v>0.72599999999999998</v>
      </c>
      <c r="N75" s="227">
        <v>0.72599999999999998</v>
      </c>
      <c r="O75" s="511">
        <f>AVERAGE(C75:N75)</f>
        <v>0.72599999999999998</v>
      </c>
      <c r="P75" s="584">
        <f>O75</f>
        <v>0.72599999999999998</v>
      </c>
    </row>
    <row r="76" spans="1:16" x14ac:dyDescent="0.15">
      <c r="A76" s="230">
        <v>150</v>
      </c>
      <c r="B76" s="227" t="s">
        <v>271</v>
      </c>
      <c r="C76" s="227">
        <v>0.94799999999999995</v>
      </c>
      <c r="D76" s="227">
        <v>0.94799999999999995</v>
      </c>
      <c r="E76" s="227">
        <v>0.94799999999999995</v>
      </c>
      <c r="F76" s="227">
        <v>0.94799999999999995</v>
      </c>
      <c r="G76" s="227">
        <v>0.94799999999999995</v>
      </c>
      <c r="H76" s="227">
        <v>0.94799999999999995</v>
      </c>
      <c r="I76" s="227">
        <v>0.94799999999999995</v>
      </c>
      <c r="J76" s="227">
        <v>0.94799999999999995</v>
      </c>
      <c r="K76" s="227">
        <v>0.94799999999999995</v>
      </c>
      <c r="L76" s="227">
        <v>0.94799999999999995</v>
      </c>
      <c r="M76" s="227">
        <v>0.94799999999999995</v>
      </c>
      <c r="N76" s="227">
        <v>0.94799999999999995</v>
      </c>
      <c r="O76" s="511">
        <f>AVERAGE(C76:N76)</f>
        <v>0.94800000000000029</v>
      </c>
      <c r="P76" s="584">
        <f>O76</f>
        <v>0.94800000000000029</v>
      </c>
    </row>
    <row r="77" spans="1:16" x14ac:dyDescent="0.15">
      <c r="A77" s="230"/>
      <c r="B77" s="227" t="s">
        <v>255</v>
      </c>
      <c r="C77" s="227">
        <v>2.802</v>
      </c>
      <c r="D77" s="227">
        <v>2.802</v>
      </c>
      <c r="E77" s="227">
        <v>2.802</v>
      </c>
      <c r="F77" s="227">
        <v>2.802</v>
      </c>
      <c r="G77" s="227">
        <v>2.802</v>
      </c>
      <c r="H77" s="227">
        <v>2.802</v>
      </c>
      <c r="I77" s="227">
        <v>2.802</v>
      </c>
      <c r="J77" s="227">
        <v>2.802</v>
      </c>
      <c r="K77" s="227">
        <v>2.802</v>
      </c>
      <c r="L77" s="227">
        <v>2.802</v>
      </c>
      <c r="M77" s="227">
        <v>2.802</v>
      </c>
      <c r="N77" s="227">
        <v>2.802</v>
      </c>
      <c r="O77" s="511">
        <f>AVERAGE(C77:N77)</f>
        <v>2.802</v>
      </c>
      <c r="P77" s="584">
        <f>O77</f>
        <v>2.802</v>
      </c>
    </row>
    <row r="78" spans="1:16" x14ac:dyDescent="0.15">
      <c r="A78" s="230"/>
    </row>
    <row r="79" spans="1:16" x14ac:dyDescent="0.15">
      <c r="A79" s="230"/>
      <c r="B79" s="228" t="s">
        <v>287</v>
      </c>
    </row>
    <row r="80" spans="1:16" x14ac:dyDescent="0.15">
      <c r="A80" s="230"/>
      <c r="B80" s="227" t="s">
        <v>252</v>
      </c>
      <c r="C80" s="509" t="s">
        <v>813</v>
      </c>
      <c r="D80" s="509" t="s">
        <v>814</v>
      </c>
      <c r="E80" s="509" t="s">
        <v>815</v>
      </c>
      <c r="F80" s="509" t="s">
        <v>816</v>
      </c>
      <c r="G80" s="509" t="s">
        <v>805</v>
      </c>
      <c r="H80" s="509" t="s">
        <v>806</v>
      </c>
      <c r="I80" s="509" t="s">
        <v>807</v>
      </c>
      <c r="J80" s="509" t="s">
        <v>808</v>
      </c>
      <c r="K80" s="509" t="s">
        <v>809</v>
      </c>
      <c r="L80" s="509" t="s">
        <v>810</v>
      </c>
      <c r="M80" s="509" t="s">
        <v>811</v>
      </c>
      <c r="N80" s="509" t="s">
        <v>812</v>
      </c>
    </row>
    <row r="81" spans="1:16" x14ac:dyDescent="0.15">
      <c r="A81" s="230">
        <v>75</v>
      </c>
      <c r="B81" s="227" t="s">
        <v>253</v>
      </c>
      <c r="C81" s="227">
        <v>0.79300000000000004</v>
      </c>
      <c r="D81" s="227">
        <v>0.79300000000000004</v>
      </c>
      <c r="E81" s="227">
        <v>0.79300000000000004</v>
      </c>
      <c r="F81" s="227">
        <v>0.79300000000000004</v>
      </c>
      <c r="G81" s="227">
        <v>0.79300000000000004</v>
      </c>
      <c r="H81" s="227">
        <v>0.79300000000000004</v>
      </c>
      <c r="I81" s="227">
        <v>0.79300000000000004</v>
      </c>
      <c r="J81" s="227">
        <v>0.79300000000000004</v>
      </c>
      <c r="K81" s="227">
        <v>0.79300000000000004</v>
      </c>
      <c r="L81" s="227">
        <v>0.79300000000000004</v>
      </c>
      <c r="M81" s="227">
        <v>0.79300000000000004</v>
      </c>
      <c r="N81" s="227">
        <v>0.79300000000000004</v>
      </c>
      <c r="O81" s="511">
        <f>AVERAGE(C81:N81)</f>
        <v>0.79300000000000004</v>
      </c>
      <c r="P81" s="584">
        <f>O81</f>
        <v>0.79300000000000004</v>
      </c>
    </row>
    <row r="82" spans="1:16" x14ac:dyDescent="0.15">
      <c r="A82" s="230">
        <v>125</v>
      </c>
      <c r="B82" s="227" t="s">
        <v>268</v>
      </c>
      <c r="C82" s="227">
        <v>0.95599999999999996</v>
      </c>
      <c r="D82" s="227">
        <v>0.95599999999999996</v>
      </c>
      <c r="E82" s="227">
        <v>0.95599999999999996</v>
      </c>
      <c r="F82" s="227">
        <v>0.95599999999999996</v>
      </c>
      <c r="G82" s="227">
        <v>0.95599999999999996</v>
      </c>
      <c r="H82" s="227">
        <v>0.95599999999999996</v>
      </c>
      <c r="I82" s="227">
        <v>0.95599999999999996</v>
      </c>
      <c r="J82" s="227">
        <v>0.95599999999999996</v>
      </c>
      <c r="K82" s="227">
        <v>0.95599999999999996</v>
      </c>
      <c r="L82" s="227">
        <v>0.95599999999999996</v>
      </c>
      <c r="M82" s="227">
        <v>0.95599999999999996</v>
      </c>
      <c r="N82" s="227">
        <v>0.95599999999999996</v>
      </c>
      <c r="O82" s="511">
        <f>AVERAGE(C82:N82)</f>
        <v>0.95599999999999963</v>
      </c>
      <c r="P82" s="584">
        <f>O82</f>
        <v>0.95599999999999963</v>
      </c>
    </row>
    <row r="83" spans="1:16" x14ac:dyDescent="0.15">
      <c r="A83" s="230">
        <v>0</v>
      </c>
    </row>
    <row r="84" spans="1:16" x14ac:dyDescent="0.15">
      <c r="A84" s="230"/>
      <c r="B84" s="227" t="s">
        <v>255</v>
      </c>
      <c r="C84" s="227">
        <v>2.802</v>
      </c>
      <c r="D84" s="227">
        <v>2.802</v>
      </c>
      <c r="E84" s="227">
        <v>2.802</v>
      </c>
      <c r="F84" s="227">
        <v>2.802</v>
      </c>
      <c r="G84" s="227">
        <v>2.802</v>
      </c>
      <c r="H84" s="227">
        <v>2.802</v>
      </c>
      <c r="I84" s="227">
        <v>2.802</v>
      </c>
      <c r="J84" s="227">
        <v>2.802</v>
      </c>
      <c r="K84" s="227">
        <v>2.802</v>
      </c>
      <c r="L84" s="227">
        <v>2.802</v>
      </c>
      <c r="M84" s="227">
        <v>2.802</v>
      </c>
      <c r="N84" s="227">
        <v>2.802</v>
      </c>
      <c r="O84" s="511">
        <f>AVERAGE(C84:N84)</f>
        <v>2.802</v>
      </c>
      <c r="P84" s="584">
        <f>O84</f>
        <v>2.802</v>
      </c>
    </row>
    <row r="85" spans="1:16" x14ac:dyDescent="0.15">
      <c r="A85" s="230"/>
    </row>
    <row r="86" spans="1:16" x14ac:dyDescent="0.15">
      <c r="A86" s="230"/>
      <c r="B86" s="228" t="s">
        <v>283</v>
      </c>
    </row>
    <row r="87" spans="1:16" x14ac:dyDescent="0.15">
      <c r="A87" s="230"/>
      <c r="B87" s="227" t="s">
        <v>252</v>
      </c>
      <c r="C87" s="509" t="s">
        <v>813</v>
      </c>
      <c r="D87" s="509" t="s">
        <v>814</v>
      </c>
      <c r="E87" s="509" t="s">
        <v>815</v>
      </c>
      <c r="F87" s="509" t="s">
        <v>816</v>
      </c>
      <c r="G87" s="509" t="s">
        <v>805</v>
      </c>
      <c r="H87" s="509" t="s">
        <v>806</v>
      </c>
      <c r="I87" s="509" t="s">
        <v>807</v>
      </c>
      <c r="J87" s="509" t="s">
        <v>808</v>
      </c>
      <c r="K87" s="509" t="s">
        <v>809</v>
      </c>
      <c r="L87" s="509" t="s">
        <v>810</v>
      </c>
      <c r="M87" s="509" t="s">
        <v>811</v>
      </c>
      <c r="N87" s="509" t="s">
        <v>812</v>
      </c>
    </row>
    <row r="88" spans="1:16" x14ac:dyDescent="0.15">
      <c r="A88" s="230">
        <v>300</v>
      </c>
      <c r="B88" s="227" t="s">
        <v>269</v>
      </c>
      <c r="C88" s="227">
        <v>0.58299999999999996</v>
      </c>
      <c r="D88" s="227">
        <v>0.58299999999999996</v>
      </c>
      <c r="E88" s="227">
        <v>0.58299999999999996</v>
      </c>
      <c r="F88" s="227">
        <v>0.58299999999999996</v>
      </c>
      <c r="G88" s="227">
        <v>0.58299999999999996</v>
      </c>
      <c r="H88" s="227">
        <v>0.58299999999999996</v>
      </c>
      <c r="I88" s="227">
        <v>0.58299999999999996</v>
      </c>
      <c r="J88" s="227">
        <v>0.58299999999999996</v>
      </c>
      <c r="K88" s="227">
        <v>0.58299999999999996</v>
      </c>
      <c r="L88" s="227">
        <v>0.58299999999999996</v>
      </c>
      <c r="M88" s="227">
        <v>0.58299999999999996</v>
      </c>
      <c r="N88" s="227">
        <v>0.58299999999999996</v>
      </c>
      <c r="O88" s="511">
        <f>AVERAGE(C88:N88)</f>
        <v>0.58300000000000007</v>
      </c>
      <c r="P88" s="584">
        <f>O88</f>
        <v>0.58300000000000007</v>
      </c>
    </row>
    <row r="89" spans="1:16" x14ac:dyDescent="0.15">
      <c r="A89" s="230">
        <v>900</v>
      </c>
      <c r="B89" s="227" t="s">
        <v>272</v>
      </c>
      <c r="C89" s="227">
        <v>0.72599999999999998</v>
      </c>
      <c r="D89" s="227">
        <v>0.72599999999999998</v>
      </c>
      <c r="E89" s="227">
        <v>0.72599999999999998</v>
      </c>
      <c r="F89" s="227">
        <v>0.72599999999999998</v>
      </c>
      <c r="G89" s="227">
        <v>0.72599999999999998</v>
      </c>
      <c r="H89" s="227">
        <v>0.72599999999999998</v>
      </c>
      <c r="I89" s="227">
        <v>0.72599999999999998</v>
      </c>
      <c r="J89" s="227">
        <v>0.72599999999999998</v>
      </c>
      <c r="K89" s="227">
        <v>0.72599999999999998</v>
      </c>
      <c r="L89" s="227">
        <v>0.72599999999999998</v>
      </c>
      <c r="M89" s="227">
        <v>0.72599999999999998</v>
      </c>
      <c r="N89" s="227">
        <v>0.72599999999999998</v>
      </c>
      <c r="O89" s="511">
        <f>AVERAGE(C89:N89)</f>
        <v>0.72599999999999998</v>
      </c>
      <c r="P89" s="584">
        <f>O89</f>
        <v>0.72599999999999998</v>
      </c>
    </row>
    <row r="90" spans="1:16" x14ac:dyDescent="0.15">
      <c r="A90" s="230">
        <v>1300</v>
      </c>
      <c r="B90" s="227" t="s">
        <v>274</v>
      </c>
      <c r="C90" s="227">
        <v>1.768</v>
      </c>
      <c r="D90" s="227">
        <v>1.768</v>
      </c>
      <c r="E90" s="227">
        <v>1.768</v>
      </c>
      <c r="F90" s="227">
        <v>1.768</v>
      </c>
      <c r="G90" s="227">
        <v>1.768</v>
      </c>
      <c r="H90" s="227">
        <v>1.768</v>
      </c>
      <c r="I90" s="227">
        <v>1.768</v>
      </c>
      <c r="J90" s="227">
        <v>1.768</v>
      </c>
      <c r="K90" s="227">
        <v>1.768</v>
      </c>
      <c r="L90" s="227">
        <v>1.768</v>
      </c>
      <c r="M90" s="227">
        <v>1.768</v>
      </c>
      <c r="N90" s="227">
        <v>1.768</v>
      </c>
      <c r="O90" s="511">
        <f>AVERAGE(C90:N90)</f>
        <v>1.7680000000000005</v>
      </c>
      <c r="P90" s="584">
        <f>O90</f>
        <v>1.7680000000000005</v>
      </c>
    </row>
    <row r="91" spans="1:16" x14ac:dyDescent="0.15">
      <c r="A91" s="230"/>
      <c r="B91" s="227" t="s">
        <v>255</v>
      </c>
      <c r="C91" s="227">
        <v>2.802</v>
      </c>
      <c r="D91" s="227">
        <v>2.802</v>
      </c>
      <c r="E91" s="227">
        <v>2.802</v>
      </c>
      <c r="F91" s="227">
        <v>2.802</v>
      </c>
      <c r="G91" s="227">
        <v>2.802</v>
      </c>
      <c r="H91" s="227">
        <v>2.802</v>
      </c>
      <c r="I91" s="227">
        <v>2.802</v>
      </c>
      <c r="J91" s="227">
        <v>2.802</v>
      </c>
      <c r="K91" s="227">
        <v>2.802</v>
      </c>
      <c r="L91" s="227">
        <v>2.802</v>
      </c>
      <c r="M91" s="227">
        <v>2.802</v>
      </c>
      <c r="N91" s="227">
        <v>2.802</v>
      </c>
      <c r="O91" s="511">
        <f>AVERAGE(C91:N91)</f>
        <v>2.802</v>
      </c>
      <c r="P91" s="584">
        <f>O91</f>
        <v>2.802</v>
      </c>
    </row>
    <row r="92" spans="1:16" x14ac:dyDescent="0.15">
      <c r="A92" s="230"/>
    </row>
    <row r="93" spans="1:16" x14ac:dyDescent="0.15">
      <c r="A93" s="230"/>
      <c r="B93" s="228" t="s">
        <v>286</v>
      </c>
    </row>
    <row r="94" spans="1:16" x14ac:dyDescent="0.15">
      <c r="A94" s="230"/>
      <c r="B94" s="227" t="s">
        <v>252</v>
      </c>
      <c r="C94" s="509" t="s">
        <v>813</v>
      </c>
      <c r="D94" s="509" t="s">
        <v>814</v>
      </c>
      <c r="E94" s="509" t="s">
        <v>815</v>
      </c>
      <c r="F94" s="509" t="s">
        <v>816</v>
      </c>
      <c r="G94" s="509" t="s">
        <v>805</v>
      </c>
      <c r="H94" s="509" t="s">
        <v>806</v>
      </c>
      <c r="I94" s="509" t="s">
        <v>807</v>
      </c>
      <c r="J94" s="509" t="s">
        <v>808</v>
      </c>
      <c r="K94" s="509" t="s">
        <v>809</v>
      </c>
      <c r="L94" s="509" t="s">
        <v>810</v>
      </c>
      <c r="M94" s="509" t="s">
        <v>811</v>
      </c>
      <c r="N94" s="509" t="s">
        <v>812</v>
      </c>
    </row>
    <row r="95" spans="1:16" x14ac:dyDescent="0.15">
      <c r="A95" s="230">
        <v>75</v>
      </c>
      <c r="B95" s="227" t="s">
        <v>275</v>
      </c>
      <c r="C95" s="227">
        <v>0.79300000000000004</v>
      </c>
      <c r="D95" s="227">
        <v>0.79300000000000004</v>
      </c>
      <c r="E95" s="227">
        <v>0.79300000000000004</v>
      </c>
      <c r="F95" s="227">
        <v>0.79300000000000004</v>
      </c>
      <c r="G95" s="227">
        <v>0.79300000000000004</v>
      </c>
      <c r="H95" s="227">
        <v>0.79300000000000004</v>
      </c>
      <c r="I95" s="227">
        <v>0.79300000000000004</v>
      </c>
      <c r="J95" s="227">
        <v>0.79300000000000004</v>
      </c>
      <c r="K95" s="227">
        <v>0.79300000000000004</v>
      </c>
      <c r="L95" s="227">
        <v>0.79300000000000004</v>
      </c>
      <c r="M95" s="227">
        <v>0.79300000000000004</v>
      </c>
      <c r="N95" s="227">
        <v>0.79300000000000004</v>
      </c>
      <c r="O95" s="511">
        <f>AVERAGE(C95:N95)</f>
        <v>0.79300000000000004</v>
      </c>
      <c r="P95" s="584">
        <f>O95</f>
        <v>0.79300000000000004</v>
      </c>
    </row>
    <row r="96" spans="1:16" x14ac:dyDescent="0.15">
      <c r="A96" s="230">
        <v>125</v>
      </c>
      <c r="B96" s="227" t="s">
        <v>268</v>
      </c>
      <c r="C96" s="227">
        <v>0.95599999999999996</v>
      </c>
      <c r="D96" s="227">
        <v>0.95599999999999996</v>
      </c>
      <c r="E96" s="227">
        <v>0.95599999999999996</v>
      </c>
      <c r="F96" s="227">
        <v>0.95599999999999996</v>
      </c>
      <c r="G96" s="227">
        <v>0.95599999999999996</v>
      </c>
      <c r="H96" s="227">
        <v>0.95599999999999996</v>
      </c>
      <c r="I96" s="227">
        <v>0.95599999999999996</v>
      </c>
      <c r="J96" s="227">
        <v>0.95599999999999996</v>
      </c>
      <c r="K96" s="227">
        <v>0.95599999999999996</v>
      </c>
      <c r="L96" s="227">
        <v>0.95599999999999996</v>
      </c>
      <c r="M96" s="227">
        <v>0.95599999999999996</v>
      </c>
      <c r="N96" s="227">
        <v>0.95599999999999996</v>
      </c>
      <c r="O96" s="511">
        <f>AVERAGE(C96:N96)</f>
        <v>0.95599999999999963</v>
      </c>
      <c r="P96" s="584">
        <f>O96</f>
        <v>0.95599999999999963</v>
      </c>
    </row>
    <row r="97" spans="1:16" x14ac:dyDescent="0.15">
      <c r="A97" s="230">
        <v>0</v>
      </c>
    </row>
    <row r="98" spans="1:16" x14ac:dyDescent="0.15">
      <c r="A98" s="230"/>
      <c r="B98" s="227" t="s">
        <v>255</v>
      </c>
      <c r="C98" s="227">
        <v>2.802</v>
      </c>
      <c r="D98" s="227">
        <v>2.802</v>
      </c>
      <c r="E98" s="227">
        <v>2.802</v>
      </c>
      <c r="F98" s="227">
        <v>2.802</v>
      </c>
      <c r="G98" s="227">
        <v>2.802</v>
      </c>
      <c r="H98" s="227">
        <v>2.802</v>
      </c>
      <c r="I98" s="227">
        <v>2.802</v>
      </c>
      <c r="J98" s="227">
        <v>2.802</v>
      </c>
      <c r="K98" s="227">
        <v>2.802</v>
      </c>
      <c r="L98" s="227">
        <v>2.802</v>
      </c>
      <c r="M98" s="227">
        <v>2.802</v>
      </c>
      <c r="N98" s="227">
        <v>2.802</v>
      </c>
      <c r="O98" s="511">
        <f>AVERAGE(C98:N98)</f>
        <v>2.802</v>
      </c>
      <c r="P98" s="584">
        <f>O98</f>
        <v>2.802</v>
      </c>
    </row>
  </sheetData>
  <hyperlinks>
    <hyperlink ref="A1" r:id="rId1"/>
  </hyperlinks>
  <pageMargins left="0.7" right="0.7" top="0.75" bottom="0.75" header="0.3" footer="0.3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649"/>
  <sheetViews>
    <sheetView workbookViewId="0">
      <pane ySplit="1" topLeftCell="A2" activePane="bottomLeft" state="frozen"/>
      <selection sqref="A1:H8"/>
      <selection pane="bottomLeft" activeCell="A2" sqref="A2"/>
    </sheetView>
  </sheetViews>
  <sheetFormatPr defaultRowHeight="10.5" x14ac:dyDescent="0.15"/>
  <cols>
    <col min="1" max="1" width="37" style="202" bestFit="1" customWidth="1"/>
    <col min="2" max="2" width="13.42578125" style="202" bestFit="1" customWidth="1"/>
    <col min="3" max="3" width="3.42578125" style="202" bestFit="1" customWidth="1"/>
    <col min="4" max="4" width="7.5703125" style="202" bestFit="1" customWidth="1"/>
    <col min="5" max="16" width="5" style="202" bestFit="1" customWidth="1"/>
    <col min="17" max="17" width="12" style="202" bestFit="1" customWidth="1"/>
    <col min="18" max="18" width="17.5703125" style="202" bestFit="1" customWidth="1"/>
    <col min="19" max="16384" width="9.140625" style="202"/>
  </cols>
  <sheetData>
    <row r="1" spans="1:18" x14ac:dyDescent="0.15">
      <c r="A1" s="202" t="s">
        <v>891</v>
      </c>
      <c r="B1" s="495" t="s">
        <v>23</v>
      </c>
      <c r="C1" s="495" t="s">
        <v>885</v>
      </c>
      <c r="D1" s="495" t="s">
        <v>886</v>
      </c>
      <c r="E1" s="496" t="s">
        <v>805</v>
      </c>
      <c r="F1" s="496" t="s">
        <v>806</v>
      </c>
      <c r="G1" s="496" t="s">
        <v>807</v>
      </c>
      <c r="H1" s="496" t="s">
        <v>808</v>
      </c>
      <c r="I1" s="496" t="s">
        <v>809</v>
      </c>
      <c r="J1" s="496" t="s">
        <v>810</v>
      </c>
      <c r="K1" s="496" t="s">
        <v>811</v>
      </c>
      <c r="L1" s="496" t="s">
        <v>812</v>
      </c>
      <c r="M1" s="496" t="s">
        <v>813</v>
      </c>
      <c r="N1" s="496" t="s">
        <v>814</v>
      </c>
      <c r="O1" s="496" t="s">
        <v>815</v>
      </c>
      <c r="P1" s="496" t="s">
        <v>816</v>
      </c>
      <c r="Q1" s="202" t="s">
        <v>875</v>
      </c>
      <c r="R1" s="202" t="s">
        <v>1038</v>
      </c>
    </row>
    <row r="2" spans="1:18" x14ac:dyDescent="0.15">
      <c r="A2" s="202" t="str">
        <f t="shared" ref="A2:A65" si="0">B2&amp;"_"&amp;R2&amp;"_"&amp;D2</f>
        <v>Cancun_Flat Surface_90</v>
      </c>
      <c r="B2" s="580" t="s">
        <v>1013</v>
      </c>
      <c r="C2" s="495">
        <v>0</v>
      </c>
      <c r="D2" s="495">
        <v>90</v>
      </c>
      <c r="E2" s="497">
        <v>4.12</v>
      </c>
      <c r="F2" s="497">
        <v>5.19</v>
      </c>
      <c r="G2" s="497">
        <v>6.01</v>
      </c>
      <c r="H2" s="497">
        <v>6.7</v>
      </c>
      <c r="I2" s="497">
        <v>6.82</v>
      </c>
      <c r="J2" s="497">
        <v>6.36</v>
      </c>
      <c r="K2" s="497">
        <v>6.75</v>
      </c>
      <c r="L2" s="497">
        <v>6.4</v>
      </c>
      <c r="M2" s="497">
        <v>5.69</v>
      </c>
      <c r="N2" s="497">
        <v>5.08</v>
      </c>
      <c r="O2" s="497">
        <v>4.4400000000000004</v>
      </c>
      <c r="P2" s="497">
        <v>3.85</v>
      </c>
      <c r="Q2" s="202">
        <f t="shared" ref="Q2:Q65" si="1">AVERAGE(E2:P2)</f>
        <v>5.6174999999999997</v>
      </c>
      <c r="R2" s="202" t="s">
        <v>1020</v>
      </c>
    </row>
    <row r="3" spans="1:18" x14ac:dyDescent="0.15">
      <c r="A3" s="202" t="str">
        <f t="shared" si="0"/>
        <v>Cancun_Flat Surface_112.5</v>
      </c>
      <c r="B3" s="580" t="s">
        <v>1013</v>
      </c>
      <c r="C3" s="495">
        <v>0</v>
      </c>
      <c r="D3" s="495">
        <v>112.5</v>
      </c>
      <c r="E3" s="497">
        <v>4.12</v>
      </c>
      <c r="F3" s="497">
        <v>5.19</v>
      </c>
      <c r="G3" s="497">
        <v>6.01</v>
      </c>
      <c r="H3" s="497">
        <v>6.7</v>
      </c>
      <c r="I3" s="497">
        <v>6.82</v>
      </c>
      <c r="J3" s="497">
        <v>6.36</v>
      </c>
      <c r="K3" s="497">
        <v>6.75</v>
      </c>
      <c r="L3" s="497">
        <v>6.4</v>
      </c>
      <c r="M3" s="497">
        <v>5.69</v>
      </c>
      <c r="N3" s="497">
        <v>5.08</v>
      </c>
      <c r="O3" s="497">
        <v>4.4400000000000004</v>
      </c>
      <c r="P3" s="497">
        <v>3.85</v>
      </c>
      <c r="Q3" s="202">
        <f t="shared" si="1"/>
        <v>5.6174999999999997</v>
      </c>
      <c r="R3" s="202" t="s">
        <v>1020</v>
      </c>
    </row>
    <row r="4" spans="1:18" x14ac:dyDescent="0.15">
      <c r="A4" s="202" t="str">
        <f t="shared" si="0"/>
        <v>Cancun_Flat Surface_135</v>
      </c>
      <c r="B4" s="580" t="s">
        <v>1013</v>
      </c>
      <c r="C4" s="495">
        <v>0</v>
      </c>
      <c r="D4" s="495">
        <v>135</v>
      </c>
      <c r="E4" s="497">
        <v>4.12</v>
      </c>
      <c r="F4" s="497">
        <v>5.19</v>
      </c>
      <c r="G4" s="497">
        <v>6.01</v>
      </c>
      <c r="H4" s="497">
        <v>6.7</v>
      </c>
      <c r="I4" s="497">
        <v>6.82</v>
      </c>
      <c r="J4" s="497">
        <v>6.36</v>
      </c>
      <c r="K4" s="497">
        <v>6.75</v>
      </c>
      <c r="L4" s="497">
        <v>6.4</v>
      </c>
      <c r="M4" s="497">
        <v>5.69</v>
      </c>
      <c r="N4" s="497">
        <v>5.08</v>
      </c>
      <c r="O4" s="497">
        <v>4.4400000000000004</v>
      </c>
      <c r="P4" s="497">
        <v>3.85</v>
      </c>
      <c r="Q4" s="202">
        <f t="shared" si="1"/>
        <v>5.6174999999999997</v>
      </c>
      <c r="R4" s="202" t="s">
        <v>1020</v>
      </c>
    </row>
    <row r="5" spans="1:18" x14ac:dyDescent="0.15">
      <c r="A5" s="202" t="str">
        <f t="shared" si="0"/>
        <v>Cancun_Flat Surface_157.5</v>
      </c>
      <c r="B5" s="580" t="s">
        <v>1013</v>
      </c>
      <c r="C5" s="495">
        <v>0</v>
      </c>
      <c r="D5" s="495">
        <v>157.5</v>
      </c>
      <c r="E5" s="497">
        <v>4.12</v>
      </c>
      <c r="F5" s="497">
        <v>5.19</v>
      </c>
      <c r="G5" s="497">
        <v>6.01</v>
      </c>
      <c r="H5" s="497">
        <v>6.7</v>
      </c>
      <c r="I5" s="497">
        <v>6.82</v>
      </c>
      <c r="J5" s="497">
        <v>6.36</v>
      </c>
      <c r="K5" s="497">
        <v>6.75</v>
      </c>
      <c r="L5" s="497">
        <v>6.4</v>
      </c>
      <c r="M5" s="497">
        <v>5.69</v>
      </c>
      <c r="N5" s="497">
        <v>5.08</v>
      </c>
      <c r="O5" s="497">
        <v>4.4400000000000004</v>
      </c>
      <c r="P5" s="497">
        <v>3.85</v>
      </c>
      <c r="Q5" s="202">
        <f t="shared" si="1"/>
        <v>5.6174999999999997</v>
      </c>
      <c r="R5" s="202" t="s">
        <v>1020</v>
      </c>
    </row>
    <row r="6" spans="1:18" x14ac:dyDescent="0.15">
      <c r="A6" s="202" t="str">
        <f t="shared" si="0"/>
        <v>Cancun_Flat Surface_180</v>
      </c>
      <c r="B6" s="580" t="s">
        <v>1013</v>
      </c>
      <c r="C6" s="495">
        <v>0</v>
      </c>
      <c r="D6" s="495">
        <v>180</v>
      </c>
      <c r="E6" s="497">
        <v>4.12</v>
      </c>
      <c r="F6" s="497">
        <v>5.19</v>
      </c>
      <c r="G6" s="497">
        <v>6.01</v>
      </c>
      <c r="H6" s="497">
        <v>6.7</v>
      </c>
      <c r="I6" s="497">
        <v>6.82</v>
      </c>
      <c r="J6" s="497">
        <v>6.36</v>
      </c>
      <c r="K6" s="497">
        <v>6.75</v>
      </c>
      <c r="L6" s="497">
        <v>6.4</v>
      </c>
      <c r="M6" s="497">
        <v>5.69</v>
      </c>
      <c r="N6" s="497">
        <v>5.08</v>
      </c>
      <c r="O6" s="497">
        <v>4.4400000000000004</v>
      </c>
      <c r="P6" s="497">
        <v>3.85</v>
      </c>
      <c r="Q6" s="202">
        <f t="shared" si="1"/>
        <v>5.6174999999999997</v>
      </c>
      <c r="R6" s="202" t="s">
        <v>1020</v>
      </c>
    </row>
    <row r="7" spans="1:18" x14ac:dyDescent="0.15">
      <c r="A7" s="202" t="str">
        <f t="shared" si="0"/>
        <v>Cancun_Flat Surface_202.5</v>
      </c>
      <c r="B7" s="580" t="s">
        <v>1013</v>
      </c>
      <c r="C7" s="495">
        <v>0</v>
      </c>
      <c r="D7" s="495">
        <v>202.5</v>
      </c>
      <c r="E7" s="497">
        <v>4.12</v>
      </c>
      <c r="F7" s="497">
        <v>5.19</v>
      </c>
      <c r="G7" s="497">
        <v>6.01</v>
      </c>
      <c r="H7" s="497">
        <v>6.7</v>
      </c>
      <c r="I7" s="497">
        <v>6.82</v>
      </c>
      <c r="J7" s="497">
        <v>6.36</v>
      </c>
      <c r="K7" s="497">
        <v>6.75</v>
      </c>
      <c r="L7" s="497">
        <v>6.4</v>
      </c>
      <c r="M7" s="497">
        <v>5.69</v>
      </c>
      <c r="N7" s="497">
        <v>5.08</v>
      </c>
      <c r="O7" s="497">
        <v>4.4400000000000004</v>
      </c>
      <c r="P7" s="497">
        <v>3.85</v>
      </c>
      <c r="Q7" s="202">
        <f t="shared" si="1"/>
        <v>5.6174999999999997</v>
      </c>
      <c r="R7" s="202" t="s">
        <v>1020</v>
      </c>
    </row>
    <row r="8" spans="1:18" x14ac:dyDescent="0.15">
      <c r="A8" s="202" t="str">
        <f t="shared" si="0"/>
        <v>Cancun_Flat Surface_225</v>
      </c>
      <c r="B8" s="580" t="s">
        <v>1013</v>
      </c>
      <c r="C8" s="495">
        <v>0</v>
      </c>
      <c r="D8" s="495">
        <v>225</v>
      </c>
      <c r="E8" s="497">
        <v>4.12</v>
      </c>
      <c r="F8" s="497">
        <v>5.19</v>
      </c>
      <c r="G8" s="497">
        <v>6.01</v>
      </c>
      <c r="H8" s="497">
        <v>6.7</v>
      </c>
      <c r="I8" s="497">
        <v>6.82</v>
      </c>
      <c r="J8" s="497">
        <v>6.36</v>
      </c>
      <c r="K8" s="497">
        <v>6.75</v>
      </c>
      <c r="L8" s="497">
        <v>6.4</v>
      </c>
      <c r="M8" s="497">
        <v>5.69</v>
      </c>
      <c r="N8" s="497">
        <v>5.08</v>
      </c>
      <c r="O8" s="497">
        <v>4.4400000000000004</v>
      </c>
      <c r="P8" s="497">
        <v>3.85</v>
      </c>
      <c r="Q8" s="202">
        <f t="shared" si="1"/>
        <v>5.6174999999999997</v>
      </c>
      <c r="R8" s="202" t="s">
        <v>1020</v>
      </c>
    </row>
    <row r="9" spans="1:18" x14ac:dyDescent="0.15">
      <c r="A9" s="202" t="str">
        <f t="shared" si="0"/>
        <v>Cancun_Flat Surface_247.5</v>
      </c>
      <c r="B9" s="580" t="s">
        <v>1013</v>
      </c>
      <c r="C9" s="495">
        <v>0</v>
      </c>
      <c r="D9" s="495">
        <v>247.5</v>
      </c>
      <c r="E9" s="497">
        <v>4.12</v>
      </c>
      <c r="F9" s="497">
        <v>5.19</v>
      </c>
      <c r="G9" s="497">
        <v>6.01</v>
      </c>
      <c r="H9" s="497">
        <v>6.7</v>
      </c>
      <c r="I9" s="497">
        <v>6.82</v>
      </c>
      <c r="J9" s="497">
        <v>6.36</v>
      </c>
      <c r="K9" s="497">
        <v>6.75</v>
      </c>
      <c r="L9" s="497">
        <v>6.4</v>
      </c>
      <c r="M9" s="497">
        <v>5.69</v>
      </c>
      <c r="N9" s="497">
        <v>5.08</v>
      </c>
      <c r="O9" s="497">
        <v>4.4400000000000004</v>
      </c>
      <c r="P9" s="497">
        <v>3.85</v>
      </c>
      <c r="Q9" s="202">
        <f t="shared" si="1"/>
        <v>5.6174999999999997</v>
      </c>
      <c r="R9" s="202" t="s">
        <v>1020</v>
      </c>
    </row>
    <row r="10" spans="1:18" x14ac:dyDescent="0.15">
      <c r="A10" s="202" t="str">
        <f t="shared" si="0"/>
        <v>Cancun_Flat Surface_270</v>
      </c>
      <c r="B10" s="580" t="s">
        <v>1013</v>
      </c>
      <c r="C10" s="495">
        <v>0</v>
      </c>
      <c r="D10" s="495">
        <v>270</v>
      </c>
      <c r="E10" s="497">
        <v>4.12</v>
      </c>
      <c r="F10" s="497">
        <v>5.19</v>
      </c>
      <c r="G10" s="497">
        <v>6.01</v>
      </c>
      <c r="H10" s="497">
        <v>6.7</v>
      </c>
      <c r="I10" s="497">
        <v>6.82</v>
      </c>
      <c r="J10" s="497">
        <v>6.36</v>
      </c>
      <c r="K10" s="497">
        <v>6.75</v>
      </c>
      <c r="L10" s="497">
        <v>6.4</v>
      </c>
      <c r="M10" s="497">
        <v>5.69</v>
      </c>
      <c r="N10" s="497">
        <v>5.08</v>
      </c>
      <c r="O10" s="497">
        <v>4.4400000000000004</v>
      </c>
      <c r="P10" s="497">
        <v>3.85</v>
      </c>
      <c r="Q10" s="202">
        <f t="shared" si="1"/>
        <v>5.6174999999999997</v>
      </c>
      <c r="R10" s="202" t="s">
        <v>1020</v>
      </c>
    </row>
    <row r="11" spans="1:18" x14ac:dyDescent="0.15">
      <c r="A11" s="202" t="str">
        <f t="shared" si="0"/>
        <v>Cancun_Optimal Summer_90</v>
      </c>
      <c r="B11" s="580" t="s">
        <v>1013</v>
      </c>
      <c r="C11" s="495">
        <v>6</v>
      </c>
      <c r="D11" s="495">
        <v>90</v>
      </c>
      <c r="E11" s="497">
        <v>3.54</v>
      </c>
      <c r="F11" s="497">
        <v>4.38</v>
      </c>
      <c r="G11" s="497">
        <v>4.95</v>
      </c>
      <c r="H11" s="497">
        <v>5.39</v>
      </c>
      <c r="I11" s="497">
        <v>5.39</v>
      </c>
      <c r="J11" s="497">
        <v>5.14</v>
      </c>
      <c r="K11" s="497">
        <v>5.31</v>
      </c>
      <c r="L11" s="497">
        <v>5.12</v>
      </c>
      <c r="M11" s="497">
        <v>4.6399999999999997</v>
      </c>
      <c r="N11" s="497">
        <v>4.25</v>
      </c>
      <c r="O11" s="497">
        <v>3.81</v>
      </c>
      <c r="P11" s="497">
        <v>3.32</v>
      </c>
      <c r="Q11" s="202">
        <f t="shared" si="1"/>
        <v>4.6033333333333335</v>
      </c>
      <c r="R11" s="202" t="s">
        <v>984</v>
      </c>
    </row>
    <row r="12" spans="1:18" x14ac:dyDescent="0.15">
      <c r="A12" s="202" t="str">
        <f t="shared" si="0"/>
        <v>Cancun_Optimal Summer_112.5</v>
      </c>
      <c r="B12" s="580" t="s">
        <v>1013</v>
      </c>
      <c r="C12" s="495">
        <v>6</v>
      </c>
      <c r="D12" s="495">
        <v>112.5</v>
      </c>
      <c r="E12" s="497">
        <v>3.88</v>
      </c>
      <c r="F12" s="497">
        <v>4.8</v>
      </c>
      <c r="G12" s="497">
        <v>5.42</v>
      </c>
      <c r="H12" s="497">
        <v>5.9</v>
      </c>
      <c r="I12" s="497">
        <v>5.9</v>
      </c>
      <c r="J12" s="497">
        <v>5.62</v>
      </c>
      <c r="K12" s="497">
        <v>5.81</v>
      </c>
      <c r="L12" s="497">
        <v>5.6</v>
      </c>
      <c r="M12" s="497">
        <v>5.08</v>
      </c>
      <c r="N12" s="497">
        <v>4.6500000000000004</v>
      </c>
      <c r="O12" s="497">
        <v>4.16</v>
      </c>
      <c r="P12" s="497">
        <v>3.63</v>
      </c>
      <c r="Q12" s="202">
        <f t="shared" si="1"/>
        <v>5.0374999999999996</v>
      </c>
      <c r="R12" s="202" t="s">
        <v>984</v>
      </c>
    </row>
    <row r="13" spans="1:18" x14ac:dyDescent="0.15">
      <c r="A13" s="202" t="str">
        <f t="shared" si="0"/>
        <v>Cancun_Optimal Summer_135</v>
      </c>
      <c r="B13" s="580" t="s">
        <v>1013</v>
      </c>
      <c r="C13" s="495">
        <v>6</v>
      </c>
      <c r="D13" s="495">
        <v>135</v>
      </c>
      <c r="E13" s="497">
        <v>4.21</v>
      </c>
      <c r="F13" s="497">
        <v>5.21</v>
      </c>
      <c r="G13" s="497">
        <v>5.88</v>
      </c>
      <c r="H13" s="497">
        <v>6.4</v>
      </c>
      <c r="I13" s="497">
        <v>6.4</v>
      </c>
      <c r="J13" s="497">
        <v>6.1</v>
      </c>
      <c r="K13" s="497">
        <v>6.31</v>
      </c>
      <c r="L13" s="497">
        <v>6.08</v>
      </c>
      <c r="M13" s="497">
        <v>5.51</v>
      </c>
      <c r="N13" s="497">
        <v>5.04</v>
      </c>
      <c r="O13" s="497">
        <v>4.5199999999999996</v>
      </c>
      <c r="P13" s="497">
        <v>3.94</v>
      </c>
      <c r="Q13" s="202">
        <f t="shared" si="1"/>
        <v>5.4666666666666659</v>
      </c>
      <c r="R13" s="202" t="s">
        <v>984</v>
      </c>
    </row>
    <row r="14" spans="1:18" x14ac:dyDescent="0.15">
      <c r="A14" s="202" t="str">
        <f t="shared" si="0"/>
        <v>Cancun_Optimal Summer_157.5</v>
      </c>
      <c r="B14" s="580" t="s">
        <v>1013</v>
      </c>
      <c r="C14" s="495">
        <v>6</v>
      </c>
      <c r="D14" s="495">
        <v>157.5</v>
      </c>
      <c r="E14" s="497">
        <v>4.32</v>
      </c>
      <c r="F14" s="497">
        <v>5.34</v>
      </c>
      <c r="G14" s="497">
        <v>6.04</v>
      </c>
      <c r="H14" s="497">
        <v>6.57</v>
      </c>
      <c r="I14" s="497">
        <v>6.57</v>
      </c>
      <c r="J14" s="497">
        <v>6.26</v>
      </c>
      <c r="K14" s="497">
        <v>6.47</v>
      </c>
      <c r="L14" s="497">
        <v>6.24</v>
      </c>
      <c r="M14" s="497">
        <v>5.66</v>
      </c>
      <c r="N14" s="497">
        <v>5.18</v>
      </c>
      <c r="O14" s="497">
        <v>4.6399999999999997</v>
      </c>
      <c r="P14" s="497">
        <v>4.05</v>
      </c>
      <c r="Q14" s="202">
        <f t="shared" si="1"/>
        <v>5.6116666666666672</v>
      </c>
      <c r="R14" s="202" t="s">
        <v>984</v>
      </c>
    </row>
    <row r="15" spans="1:18" x14ac:dyDescent="0.15">
      <c r="A15" s="202" t="str">
        <f t="shared" si="0"/>
        <v>Cancun_Optimal Summer_180</v>
      </c>
      <c r="B15" s="580" t="s">
        <v>1013</v>
      </c>
      <c r="C15" s="495">
        <v>6</v>
      </c>
      <c r="D15" s="495">
        <v>180</v>
      </c>
      <c r="E15" s="497">
        <v>4.43</v>
      </c>
      <c r="F15" s="497">
        <v>5.48</v>
      </c>
      <c r="G15" s="497">
        <v>6.19</v>
      </c>
      <c r="H15" s="497">
        <v>6.74</v>
      </c>
      <c r="I15" s="497">
        <v>6.74</v>
      </c>
      <c r="J15" s="497">
        <v>6.42</v>
      </c>
      <c r="K15" s="497">
        <v>6.64</v>
      </c>
      <c r="L15" s="497">
        <v>6.4</v>
      </c>
      <c r="M15" s="497">
        <v>5.8</v>
      </c>
      <c r="N15" s="497">
        <v>5.31</v>
      </c>
      <c r="O15" s="497">
        <v>4.76</v>
      </c>
      <c r="P15" s="497">
        <v>4.1500000000000004</v>
      </c>
      <c r="Q15" s="202">
        <f t="shared" si="1"/>
        <v>5.7550000000000017</v>
      </c>
      <c r="R15" s="202" t="s">
        <v>984</v>
      </c>
    </row>
    <row r="16" spans="1:18" x14ac:dyDescent="0.15">
      <c r="A16" s="202" t="str">
        <f t="shared" si="0"/>
        <v>Cancun_Optimal Summer_202.5</v>
      </c>
      <c r="B16" s="580" t="s">
        <v>1013</v>
      </c>
      <c r="C16" s="495">
        <v>6</v>
      </c>
      <c r="D16" s="495">
        <v>202.5</v>
      </c>
      <c r="E16" s="497">
        <v>4.32</v>
      </c>
      <c r="F16" s="497">
        <v>5.34</v>
      </c>
      <c r="G16" s="497">
        <v>6.04</v>
      </c>
      <c r="H16" s="497">
        <v>6.57</v>
      </c>
      <c r="I16" s="497">
        <v>6.57</v>
      </c>
      <c r="J16" s="497">
        <v>6.26</v>
      </c>
      <c r="K16" s="497">
        <v>6.47</v>
      </c>
      <c r="L16" s="497">
        <v>6.24</v>
      </c>
      <c r="M16" s="497">
        <v>5.66</v>
      </c>
      <c r="N16" s="497">
        <v>5.18</v>
      </c>
      <c r="O16" s="497">
        <v>4.6399999999999997</v>
      </c>
      <c r="P16" s="497">
        <v>4.05</v>
      </c>
      <c r="Q16" s="202">
        <f t="shared" si="1"/>
        <v>5.6116666666666672</v>
      </c>
      <c r="R16" s="202" t="s">
        <v>984</v>
      </c>
    </row>
    <row r="17" spans="1:18" x14ac:dyDescent="0.15">
      <c r="A17" s="202" t="str">
        <f t="shared" si="0"/>
        <v>Cancun_Optimal Summer_225</v>
      </c>
      <c r="B17" s="580" t="s">
        <v>1013</v>
      </c>
      <c r="C17" s="495">
        <v>6</v>
      </c>
      <c r="D17" s="495">
        <v>225</v>
      </c>
      <c r="E17" s="495">
        <v>4.21</v>
      </c>
      <c r="F17" s="495">
        <v>5.21</v>
      </c>
      <c r="G17" s="495">
        <v>5.88</v>
      </c>
      <c r="H17" s="495">
        <v>6.4</v>
      </c>
      <c r="I17" s="495">
        <v>6.4</v>
      </c>
      <c r="J17" s="495">
        <v>6.1</v>
      </c>
      <c r="K17" s="495">
        <v>6.31</v>
      </c>
      <c r="L17" s="495">
        <v>6.08</v>
      </c>
      <c r="M17" s="495">
        <v>5.51</v>
      </c>
      <c r="N17" s="495">
        <v>5.04</v>
      </c>
      <c r="O17" s="495">
        <v>4.5199999999999996</v>
      </c>
      <c r="P17" s="495">
        <v>3.94</v>
      </c>
      <c r="Q17" s="202">
        <f t="shared" si="1"/>
        <v>5.4666666666666659</v>
      </c>
      <c r="R17" s="202" t="s">
        <v>984</v>
      </c>
    </row>
    <row r="18" spans="1:18" x14ac:dyDescent="0.15">
      <c r="A18" s="202" t="str">
        <f t="shared" si="0"/>
        <v>Cancun_Optimal Summer_247.5</v>
      </c>
      <c r="B18" s="580" t="s">
        <v>1013</v>
      </c>
      <c r="C18" s="495">
        <v>6</v>
      </c>
      <c r="D18" s="495">
        <v>247.5</v>
      </c>
      <c r="E18" s="495">
        <v>3.88</v>
      </c>
      <c r="F18" s="495">
        <v>4.8</v>
      </c>
      <c r="G18" s="495">
        <v>5.42</v>
      </c>
      <c r="H18" s="495">
        <v>5.9</v>
      </c>
      <c r="I18" s="495">
        <v>5.9</v>
      </c>
      <c r="J18" s="495">
        <v>5.62</v>
      </c>
      <c r="K18" s="495">
        <v>5.81</v>
      </c>
      <c r="L18" s="495">
        <v>5.6</v>
      </c>
      <c r="M18" s="495">
        <v>5.08</v>
      </c>
      <c r="N18" s="495">
        <v>4.6500000000000004</v>
      </c>
      <c r="O18" s="495">
        <v>4.16</v>
      </c>
      <c r="P18" s="495">
        <v>3.63</v>
      </c>
      <c r="Q18" s="202">
        <f t="shared" si="1"/>
        <v>5.0374999999999996</v>
      </c>
      <c r="R18" s="202" t="s">
        <v>984</v>
      </c>
    </row>
    <row r="19" spans="1:18" x14ac:dyDescent="0.15">
      <c r="A19" s="202" t="str">
        <f t="shared" si="0"/>
        <v>Cancun_Optimal Summer_270</v>
      </c>
      <c r="B19" s="580" t="s">
        <v>1013</v>
      </c>
      <c r="C19" s="495">
        <v>6</v>
      </c>
      <c r="D19" s="495">
        <v>270</v>
      </c>
      <c r="E19" s="495">
        <v>3.54</v>
      </c>
      <c r="F19" s="495">
        <v>4.38</v>
      </c>
      <c r="G19" s="495">
        <v>4.95</v>
      </c>
      <c r="H19" s="495">
        <v>5.39</v>
      </c>
      <c r="I19" s="495">
        <v>5.39</v>
      </c>
      <c r="J19" s="495">
        <v>5.14</v>
      </c>
      <c r="K19" s="495">
        <v>5.31</v>
      </c>
      <c r="L19" s="495">
        <v>5.12</v>
      </c>
      <c r="M19" s="495">
        <v>4.6399999999999997</v>
      </c>
      <c r="N19" s="495">
        <v>4.25</v>
      </c>
      <c r="O19" s="495">
        <v>3.81</v>
      </c>
      <c r="P19" s="495">
        <v>3.32</v>
      </c>
      <c r="Q19" s="202">
        <f t="shared" si="1"/>
        <v>4.6033333333333335</v>
      </c>
      <c r="R19" s="202" t="s">
        <v>984</v>
      </c>
    </row>
    <row r="20" spans="1:18" x14ac:dyDescent="0.15">
      <c r="A20" s="202" t="str">
        <f t="shared" si="0"/>
        <v>Cancun_Optimal Year Round_90</v>
      </c>
      <c r="B20" s="580" t="s">
        <v>1013</v>
      </c>
      <c r="C20" s="495">
        <v>21</v>
      </c>
      <c r="D20" s="495">
        <v>90</v>
      </c>
      <c r="E20" s="497">
        <v>4.0199999999999996</v>
      </c>
      <c r="F20" s="497">
        <v>4.8099999999999996</v>
      </c>
      <c r="G20" s="497">
        <v>5.14</v>
      </c>
      <c r="H20" s="497">
        <v>5.29</v>
      </c>
      <c r="I20" s="497">
        <v>5.04</v>
      </c>
      <c r="J20" s="497">
        <v>5.08</v>
      </c>
      <c r="K20" s="497">
        <v>4.91</v>
      </c>
      <c r="L20" s="497">
        <v>4.9400000000000004</v>
      </c>
      <c r="M20" s="497">
        <v>4.6900000000000004</v>
      </c>
      <c r="N20" s="497">
        <v>4.54</v>
      </c>
      <c r="O20" s="497">
        <v>4.3</v>
      </c>
      <c r="P20" s="497">
        <v>3.81</v>
      </c>
      <c r="Q20" s="202">
        <f t="shared" si="1"/>
        <v>4.7141666666666655</v>
      </c>
      <c r="R20" s="202" t="s">
        <v>1019</v>
      </c>
    </row>
    <row r="21" spans="1:18" x14ac:dyDescent="0.15">
      <c r="A21" s="202" t="str">
        <f t="shared" si="0"/>
        <v>Cancun_Optimal Year Round_112.5</v>
      </c>
      <c r="B21" s="580" t="s">
        <v>1013</v>
      </c>
      <c r="C21" s="495">
        <v>21</v>
      </c>
      <c r="D21" s="495">
        <v>112.5</v>
      </c>
      <c r="E21" s="497">
        <v>4.3899999999999997</v>
      </c>
      <c r="F21" s="497">
        <v>5.26</v>
      </c>
      <c r="G21" s="497">
        <v>5.62</v>
      </c>
      <c r="H21" s="497">
        <v>5.78</v>
      </c>
      <c r="I21" s="497">
        <v>5.51</v>
      </c>
      <c r="J21" s="497">
        <v>5.56</v>
      </c>
      <c r="K21" s="497">
        <v>5.37</v>
      </c>
      <c r="L21" s="497">
        <v>5.4</v>
      </c>
      <c r="M21" s="497">
        <v>5.13</v>
      </c>
      <c r="N21" s="497">
        <v>4.97</v>
      </c>
      <c r="O21" s="497">
        <v>4.71</v>
      </c>
      <c r="P21" s="497">
        <v>4.16</v>
      </c>
      <c r="Q21" s="202">
        <f t="shared" si="1"/>
        <v>5.1550000000000002</v>
      </c>
      <c r="R21" s="202" t="s">
        <v>1019</v>
      </c>
    </row>
    <row r="22" spans="1:18" x14ac:dyDescent="0.15">
      <c r="A22" s="202" t="str">
        <f t="shared" si="0"/>
        <v>Cancun_Optimal Year Round_135</v>
      </c>
      <c r="B22" s="580" t="s">
        <v>1013</v>
      </c>
      <c r="C22" s="495">
        <v>21</v>
      </c>
      <c r="D22" s="495">
        <v>135</v>
      </c>
      <c r="E22" s="497">
        <v>4.7699999999999996</v>
      </c>
      <c r="F22" s="497">
        <v>5.71</v>
      </c>
      <c r="G22" s="497">
        <v>6.1</v>
      </c>
      <c r="H22" s="497">
        <v>6.28</v>
      </c>
      <c r="I22" s="497">
        <v>5.98</v>
      </c>
      <c r="J22" s="497">
        <v>6.03</v>
      </c>
      <c r="K22" s="497">
        <v>5.83</v>
      </c>
      <c r="L22" s="497">
        <v>5.86</v>
      </c>
      <c r="M22" s="497">
        <v>5.57</v>
      </c>
      <c r="N22" s="497">
        <v>5.4</v>
      </c>
      <c r="O22" s="497">
        <v>5.1100000000000003</v>
      </c>
      <c r="P22" s="497">
        <v>4.5199999999999996</v>
      </c>
      <c r="Q22" s="202">
        <f t="shared" si="1"/>
        <v>5.5966666666666667</v>
      </c>
      <c r="R22" s="202" t="s">
        <v>1019</v>
      </c>
    </row>
    <row r="23" spans="1:18" x14ac:dyDescent="0.15">
      <c r="A23" s="202" t="str">
        <f t="shared" si="0"/>
        <v>Cancun_Optimal Year Round_157.5</v>
      </c>
      <c r="B23" s="580" t="s">
        <v>1013</v>
      </c>
      <c r="C23" s="495">
        <v>21</v>
      </c>
      <c r="D23" s="495">
        <v>157.5</v>
      </c>
      <c r="E23" s="497">
        <v>4.8899999999999997</v>
      </c>
      <c r="F23" s="497">
        <v>5.86</v>
      </c>
      <c r="G23" s="497">
        <v>6.26</v>
      </c>
      <c r="H23" s="497">
        <v>6.44</v>
      </c>
      <c r="I23" s="497">
        <v>6.14</v>
      </c>
      <c r="J23" s="497">
        <v>6.19</v>
      </c>
      <c r="K23" s="497">
        <v>5.99</v>
      </c>
      <c r="L23" s="497">
        <v>6.02</v>
      </c>
      <c r="M23" s="497">
        <v>5.71</v>
      </c>
      <c r="N23" s="497">
        <v>5.54</v>
      </c>
      <c r="O23" s="497">
        <v>5.25</v>
      </c>
      <c r="P23" s="497">
        <v>4.6399999999999997</v>
      </c>
      <c r="Q23" s="202">
        <f t="shared" si="1"/>
        <v>5.7441666666666675</v>
      </c>
      <c r="R23" s="202" t="s">
        <v>1019</v>
      </c>
    </row>
    <row r="24" spans="1:18" x14ac:dyDescent="0.15">
      <c r="A24" s="202" t="str">
        <f t="shared" si="0"/>
        <v>Cancun_Optimal Year Round_180</v>
      </c>
      <c r="B24" s="580" t="s">
        <v>1013</v>
      </c>
      <c r="C24" s="495">
        <v>21</v>
      </c>
      <c r="D24" s="495">
        <v>180</v>
      </c>
      <c r="E24" s="497">
        <v>5.0199999999999996</v>
      </c>
      <c r="F24" s="497">
        <v>6.01</v>
      </c>
      <c r="G24" s="497">
        <v>6.42</v>
      </c>
      <c r="H24" s="497">
        <v>6.61</v>
      </c>
      <c r="I24" s="497">
        <v>6.3</v>
      </c>
      <c r="J24" s="497">
        <v>6.35</v>
      </c>
      <c r="K24" s="497">
        <v>6.14</v>
      </c>
      <c r="L24" s="497">
        <v>6.17</v>
      </c>
      <c r="M24" s="497">
        <v>5.86</v>
      </c>
      <c r="N24" s="497">
        <v>5.68</v>
      </c>
      <c r="O24" s="497">
        <v>5.38</v>
      </c>
      <c r="P24" s="497">
        <v>4.76</v>
      </c>
      <c r="Q24" s="202">
        <f t="shared" si="1"/>
        <v>5.8916666666666666</v>
      </c>
      <c r="R24" s="202" t="s">
        <v>1019</v>
      </c>
    </row>
    <row r="25" spans="1:18" x14ac:dyDescent="0.15">
      <c r="A25" s="202" t="str">
        <f t="shared" si="0"/>
        <v>Cancun_Optimal Year Round_202.5</v>
      </c>
      <c r="B25" s="580" t="s">
        <v>1013</v>
      </c>
      <c r="C25" s="495">
        <v>21</v>
      </c>
      <c r="D25" s="495">
        <v>202.5</v>
      </c>
      <c r="E25" s="497">
        <v>4.8899999999999997</v>
      </c>
      <c r="F25" s="497">
        <v>5.86</v>
      </c>
      <c r="G25" s="497">
        <v>6.26</v>
      </c>
      <c r="H25" s="497">
        <v>6.44</v>
      </c>
      <c r="I25" s="497">
        <v>6.14</v>
      </c>
      <c r="J25" s="497">
        <v>6.19</v>
      </c>
      <c r="K25" s="497">
        <v>5.99</v>
      </c>
      <c r="L25" s="497">
        <v>6.02</v>
      </c>
      <c r="M25" s="497">
        <v>5.71</v>
      </c>
      <c r="N25" s="497">
        <v>5.54</v>
      </c>
      <c r="O25" s="497">
        <v>5.25</v>
      </c>
      <c r="P25" s="497">
        <v>4.6399999999999997</v>
      </c>
      <c r="Q25" s="202">
        <f t="shared" si="1"/>
        <v>5.7441666666666675</v>
      </c>
      <c r="R25" s="202" t="s">
        <v>1019</v>
      </c>
    </row>
    <row r="26" spans="1:18" x14ac:dyDescent="0.15">
      <c r="A26" s="202" t="str">
        <f t="shared" si="0"/>
        <v>Cancun_Optimal Year Round_225</v>
      </c>
      <c r="B26" s="580" t="s">
        <v>1013</v>
      </c>
      <c r="C26" s="495">
        <v>21</v>
      </c>
      <c r="D26" s="495">
        <v>225</v>
      </c>
      <c r="E26" s="495">
        <v>4.7699999999999996</v>
      </c>
      <c r="F26" s="495">
        <v>5.71</v>
      </c>
      <c r="G26" s="495">
        <v>6.1</v>
      </c>
      <c r="H26" s="495">
        <v>6.28</v>
      </c>
      <c r="I26" s="495">
        <v>5.98</v>
      </c>
      <c r="J26" s="495">
        <v>6.03</v>
      </c>
      <c r="K26" s="495">
        <v>5.83</v>
      </c>
      <c r="L26" s="495">
        <v>5.86</v>
      </c>
      <c r="M26" s="495">
        <v>5.57</v>
      </c>
      <c r="N26" s="495">
        <v>5.4</v>
      </c>
      <c r="O26" s="495">
        <v>5.1100000000000003</v>
      </c>
      <c r="P26" s="495">
        <v>4.5199999999999996</v>
      </c>
      <c r="Q26" s="202">
        <f t="shared" si="1"/>
        <v>5.5966666666666667</v>
      </c>
      <c r="R26" s="202" t="s">
        <v>1019</v>
      </c>
    </row>
    <row r="27" spans="1:18" x14ac:dyDescent="0.15">
      <c r="A27" s="202" t="str">
        <f t="shared" si="0"/>
        <v>Cancun_Optimal Year Round_247.5</v>
      </c>
      <c r="B27" s="580" t="s">
        <v>1013</v>
      </c>
      <c r="C27" s="495">
        <v>21</v>
      </c>
      <c r="D27" s="495">
        <v>247.5</v>
      </c>
      <c r="E27" s="495">
        <v>4.3899999999999997</v>
      </c>
      <c r="F27" s="495">
        <v>5.26</v>
      </c>
      <c r="G27" s="495">
        <v>5.62</v>
      </c>
      <c r="H27" s="495">
        <v>5.78</v>
      </c>
      <c r="I27" s="495">
        <v>5.51</v>
      </c>
      <c r="J27" s="495">
        <v>5.56</v>
      </c>
      <c r="K27" s="495">
        <v>5.37</v>
      </c>
      <c r="L27" s="495">
        <v>5.4</v>
      </c>
      <c r="M27" s="495">
        <v>5.13</v>
      </c>
      <c r="N27" s="495">
        <v>4.97</v>
      </c>
      <c r="O27" s="495">
        <v>4.71</v>
      </c>
      <c r="P27" s="495">
        <v>4.16</v>
      </c>
      <c r="Q27" s="202">
        <f t="shared" si="1"/>
        <v>5.1550000000000002</v>
      </c>
      <c r="R27" s="202" t="s">
        <v>1019</v>
      </c>
    </row>
    <row r="28" spans="1:18" x14ac:dyDescent="0.15">
      <c r="A28" s="202" t="str">
        <f t="shared" si="0"/>
        <v>Cancun_Optimal Year Round_270</v>
      </c>
      <c r="B28" s="580" t="s">
        <v>1013</v>
      </c>
      <c r="C28" s="495">
        <v>21</v>
      </c>
      <c r="D28" s="495">
        <v>270</v>
      </c>
      <c r="E28" s="495">
        <v>4.0199999999999996</v>
      </c>
      <c r="F28" s="495">
        <v>4.8099999999999996</v>
      </c>
      <c r="G28" s="495">
        <v>5.14</v>
      </c>
      <c r="H28" s="495">
        <v>5.29</v>
      </c>
      <c r="I28" s="495">
        <v>5.04</v>
      </c>
      <c r="J28" s="495">
        <v>5.08</v>
      </c>
      <c r="K28" s="495">
        <v>4.91</v>
      </c>
      <c r="L28" s="495">
        <v>4.9400000000000004</v>
      </c>
      <c r="M28" s="495">
        <v>4.6900000000000004</v>
      </c>
      <c r="N28" s="495">
        <v>4.54</v>
      </c>
      <c r="O28" s="495">
        <v>4.3</v>
      </c>
      <c r="P28" s="495">
        <v>3.81</v>
      </c>
      <c r="Q28" s="202">
        <f t="shared" si="1"/>
        <v>4.7141666666666655</v>
      </c>
      <c r="R28" s="202" t="s">
        <v>1019</v>
      </c>
    </row>
    <row r="29" spans="1:18" x14ac:dyDescent="0.15">
      <c r="A29" s="202" t="str">
        <f t="shared" si="0"/>
        <v>CDMX_Flat Surface_90</v>
      </c>
      <c r="B29" s="495" t="s">
        <v>652</v>
      </c>
      <c r="C29" s="495">
        <v>0</v>
      </c>
      <c r="D29" s="495">
        <v>90</v>
      </c>
      <c r="E29" s="497">
        <v>4.74</v>
      </c>
      <c r="F29" s="497">
        <v>5.68</v>
      </c>
      <c r="G29" s="497">
        <v>6.47</v>
      </c>
      <c r="H29" s="497">
        <v>6.38</v>
      </c>
      <c r="I29" s="497">
        <v>6.21</v>
      </c>
      <c r="J29" s="497">
        <v>5.57</v>
      </c>
      <c r="K29" s="497">
        <v>5.48</v>
      </c>
      <c r="L29" s="497">
        <v>5.31</v>
      </c>
      <c r="M29" s="497">
        <v>4.88</v>
      </c>
      <c r="N29" s="497">
        <v>4.87</v>
      </c>
      <c r="O29" s="497">
        <v>4.7699999999999996</v>
      </c>
      <c r="P29" s="497">
        <v>4.34</v>
      </c>
      <c r="Q29" s="202">
        <f t="shared" si="1"/>
        <v>5.3916666666666666</v>
      </c>
      <c r="R29" s="202" t="s">
        <v>1020</v>
      </c>
    </row>
    <row r="30" spans="1:18" x14ac:dyDescent="0.15">
      <c r="A30" s="202" t="str">
        <f t="shared" si="0"/>
        <v>CDMX_Flat Surface_112.5</v>
      </c>
      <c r="B30" s="495" t="s">
        <v>652</v>
      </c>
      <c r="C30" s="495">
        <v>0</v>
      </c>
      <c r="D30" s="495">
        <v>112.5</v>
      </c>
      <c r="E30" s="497">
        <v>4.74</v>
      </c>
      <c r="F30" s="497">
        <v>5.68</v>
      </c>
      <c r="G30" s="497">
        <v>6.47</v>
      </c>
      <c r="H30" s="497">
        <v>6.38</v>
      </c>
      <c r="I30" s="497">
        <v>6.21</v>
      </c>
      <c r="J30" s="497">
        <v>5.57</v>
      </c>
      <c r="K30" s="497">
        <v>5.48</v>
      </c>
      <c r="L30" s="497">
        <v>5.31</v>
      </c>
      <c r="M30" s="497">
        <v>4.88</v>
      </c>
      <c r="N30" s="497">
        <v>4.87</v>
      </c>
      <c r="O30" s="497">
        <v>4.7699999999999996</v>
      </c>
      <c r="P30" s="497">
        <v>4.34</v>
      </c>
      <c r="Q30" s="202">
        <f t="shared" si="1"/>
        <v>5.3916666666666666</v>
      </c>
      <c r="R30" s="202" t="s">
        <v>1020</v>
      </c>
    </row>
    <row r="31" spans="1:18" x14ac:dyDescent="0.15">
      <c r="A31" s="202" t="str">
        <f t="shared" si="0"/>
        <v>CDMX_Flat Surface_135</v>
      </c>
      <c r="B31" s="495" t="s">
        <v>652</v>
      </c>
      <c r="C31" s="495">
        <v>0</v>
      </c>
      <c r="D31" s="495">
        <v>135</v>
      </c>
      <c r="E31" s="497">
        <v>4.74</v>
      </c>
      <c r="F31" s="497">
        <v>5.68</v>
      </c>
      <c r="G31" s="497">
        <v>6.47</v>
      </c>
      <c r="H31" s="497">
        <v>6.38</v>
      </c>
      <c r="I31" s="497">
        <v>6.21</v>
      </c>
      <c r="J31" s="497">
        <v>5.57</v>
      </c>
      <c r="K31" s="497">
        <v>5.48</v>
      </c>
      <c r="L31" s="497">
        <v>5.31</v>
      </c>
      <c r="M31" s="497">
        <v>4.88</v>
      </c>
      <c r="N31" s="497">
        <v>4.87</v>
      </c>
      <c r="O31" s="497">
        <v>4.7699999999999996</v>
      </c>
      <c r="P31" s="497">
        <v>4.34</v>
      </c>
      <c r="Q31" s="202">
        <f t="shared" si="1"/>
        <v>5.3916666666666666</v>
      </c>
      <c r="R31" s="202" t="s">
        <v>1020</v>
      </c>
    </row>
    <row r="32" spans="1:18" x14ac:dyDescent="0.15">
      <c r="A32" s="202" t="str">
        <f t="shared" si="0"/>
        <v>CDMX_Flat Surface_157.5</v>
      </c>
      <c r="B32" s="495" t="s">
        <v>652</v>
      </c>
      <c r="C32" s="495">
        <v>0</v>
      </c>
      <c r="D32" s="495">
        <v>157.5</v>
      </c>
      <c r="E32" s="497">
        <v>4.74</v>
      </c>
      <c r="F32" s="497">
        <v>5.68</v>
      </c>
      <c r="G32" s="497">
        <v>6.47</v>
      </c>
      <c r="H32" s="497">
        <v>6.38</v>
      </c>
      <c r="I32" s="497">
        <v>6.21</v>
      </c>
      <c r="J32" s="497">
        <v>5.57</v>
      </c>
      <c r="K32" s="497">
        <v>5.48</v>
      </c>
      <c r="L32" s="497">
        <v>5.31</v>
      </c>
      <c r="M32" s="497">
        <v>4.88</v>
      </c>
      <c r="N32" s="497">
        <v>4.87</v>
      </c>
      <c r="O32" s="497">
        <v>4.7699999999999996</v>
      </c>
      <c r="P32" s="497">
        <v>4.34</v>
      </c>
      <c r="Q32" s="202">
        <f t="shared" si="1"/>
        <v>5.3916666666666666</v>
      </c>
      <c r="R32" s="202" t="s">
        <v>1020</v>
      </c>
    </row>
    <row r="33" spans="1:18" x14ac:dyDescent="0.15">
      <c r="A33" s="202" t="str">
        <f t="shared" si="0"/>
        <v>CDMX_Flat Surface_180</v>
      </c>
      <c r="B33" s="495" t="s">
        <v>652</v>
      </c>
      <c r="C33" s="495">
        <v>0</v>
      </c>
      <c r="D33" s="495">
        <v>180</v>
      </c>
      <c r="E33" s="497">
        <v>4.74</v>
      </c>
      <c r="F33" s="497">
        <v>5.68</v>
      </c>
      <c r="G33" s="497">
        <v>6.47</v>
      </c>
      <c r="H33" s="497">
        <v>6.38</v>
      </c>
      <c r="I33" s="497">
        <v>6.21</v>
      </c>
      <c r="J33" s="497">
        <v>5.57</v>
      </c>
      <c r="K33" s="497">
        <v>5.48</v>
      </c>
      <c r="L33" s="497">
        <v>5.31</v>
      </c>
      <c r="M33" s="497">
        <v>4.88</v>
      </c>
      <c r="N33" s="497">
        <v>4.87</v>
      </c>
      <c r="O33" s="497">
        <v>4.7699999999999996</v>
      </c>
      <c r="P33" s="497">
        <v>4.34</v>
      </c>
      <c r="Q33" s="202">
        <f t="shared" si="1"/>
        <v>5.3916666666666666</v>
      </c>
      <c r="R33" s="202" t="s">
        <v>1020</v>
      </c>
    </row>
    <row r="34" spans="1:18" x14ac:dyDescent="0.15">
      <c r="A34" s="202" t="str">
        <f t="shared" si="0"/>
        <v>CDMX_Flat Surface_202.5</v>
      </c>
      <c r="B34" s="495" t="s">
        <v>652</v>
      </c>
      <c r="C34" s="495">
        <v>0</v>
      </c>
      <c r="D34" s="495">
        <v>202.5</v>
      </c>
      <c r="E34" s="497">
        <v>4.74</v>
      </c>
      <c r="F34" s="497">
        <v>5.68</v>
      </c>
      <c r="G34" s="497">
        <v>6.47</v>
      </c>
      <c r="H34" s="497">
        <v>6.38</v>
      </c>
      <c r="I34" s="497">
        <v>6.21</v>
      </c>
      <c r="J34" s="497">
        <v>5.57</v>
      </c>
      <c r="K34" s="497">
        <v>5.48</v>
      </c>
      <c r="L34" s="497">
        <v>5.31</v>
      </c>
      <c r="M34" s="497">
        <v>4.88</v>
      </c>
      <c r="N34" s="497">
        <v>4.87</v>
      </c>
      <c r="O34" s="497">
        <v>4.7699999999999996</v>
      </c>
      <c r="P34" s="497">
        <v>4.34</v>
      </c>
      <c r="Q34" s="202">
        <f t="shared" si="1"/>
        <v>5.3916666666666666</v>
      </c>
      <c r="R34" s="202" t="s">
        <v>1020</v>
      </c>
    </row>
    <row r="35" spans="1:18" x14ac:dyDescent="0.15">
      <c r="A35" s="202" t="str">
        <f t="shared" si="0"/>
        <v>CDMX_Flat Surface_225</v>
      </c>
      <c r="B35" s="495" t="s">
        <v>652</v>
      </c>
      <c r="C35" s="495">
        <v>0</v>
      </c>
      <c r="D35" s="495">
        <v>225</v>
      </c>
      <c r="E35" s="497">
        <v>4.74</v>
      </c>
      <c r="F35" s="497">
        <v>5.68</v>
      </c>
      <c r="G35" s="497">
        <v>6.47</v>
      </c>
      <c r="H35" s="497">
        <v>6.38</v>
      </c>
      <c r="I35" s="497">
        <v>6.21</v>
      </c>
      <c r="J35" s="497">
        <v>5.57</v>
      </c>
      <c r="K35" s="497">
        <v>5.48</v>
      </c>
      <c r="L35" s="497">
        <v>5.31</v>
      </c>
      <c r="M35" s="497">
        <v>4.88</v>
      </c>
      <c r="N35" s="497">
        <v>4.87</v>
      </c>
      <c r="O35" s="497">
        <v>4.7699999999999996</v>
      </c>
      <c r="P35" s="497">
        <v>4.34</v>
      </c>
      <c r="Q35" s="202">
        <f t="shared" si="1"/>
        <v>5.3916666666666666</v>
      </c>
      <c r="R35" s="202" t="s">
        <v>1020</v>
      </c>
    </row>
    <row r="36" spans="1:18" x14ac:dyDescent="0.15">
      <c r="A36" s="202" t="str">
        <f t="shared" si="0"/>
        <v>CDMX_Flat Surface_247.5</v>
      </c>
      <c r="B36" s="495" t="s">
        <v>652</v>
      </c>
      <c r="C36" s="495">
        <v>0</v>
      </c>
      <c r="D36" s="495">
        <v>247.5</v>
      </c>
      <c r="E36" s="497">
        <v>4.74</v>
      </c>
      <c r="F36" s="497">
        <v>5.68</v>
      </c>
      <c r="G36" s="497">
        <v>6.47</v>
      </c>
      <c r="H36" s="497">
        <v>6.38</v>
      </c>
      <c r="I36" s="497">
        <v>6.21</v>
      </c>
      <c r="J36" s="497">
        <v>5.57</v>
      </c>
      <c r="K36" s="497">
        <v>5.48</v>
      </c>
      <c r="L36" s="497">
        <v>5.31</v>
      </c>
      <c r="M36" s="497">
        <v>4.88</v>
      </c>
      <c r="N36" s="497">
        <v>4.87</v>
      </c>
      <c r="O36" s="497">
        <v>4.7699999999999996</v>
      </c>
      <c r="P36" s="497">
        <v>4.34</v>
      </c>
      <c r="Q36" s="202">
        <f t="shared" si="1"/>
        <v>5.3916666666666666</v>
      </c>
      <c r="R36" s="202" t="s">
        <v>1020</v>
      </c>
    </row>
    <row r="37" spans="1:18" x14ac:dyDescent="0.15">
      <c r="A37" s="202" t="str">
        <f t="shared" si="0"/>
        <v>CDMX_Flat Surface_270</v>
      </c>
      <c r="B37" s="495" t="s">
        <v>652</v>
      </c>
      <c r="C37" s="495">
        <v>0</v>
      </c>
      <c r="D37" s="495">
        <v>270</v>
      </c>
      <c r="E37" s="497">
        <v>4.74</v>
      </c>
      <c r="F37" s="497">
        <v>5.68</v>
      </c>
      <c r="G37" s="497">
        <v>6.47</v>
      </c>
      <c r="H37" s="497">
        <v>6.38</v>
      </c>
      <c r="I37" s="497">
        <v>6.21</v>
      </c>
      <c r="J37" s="497">
        <v>5.57</v>
      </c>
      <c r="K37" s="497">
        <v>5.48</v>
      </c>
      <c r="L37" s="497">
        <v>5.31</v>
      </c>
      <c r="M37" s="497">
        <v>4.88</v>
      </c>
      <c r="N37" s="497">
        <v>4.87</v>
      </c>
      <c r="O37" s="497">
        <v>4.7699999999999996</v>
      </c>
      <c r="P37" s="497">
        <v>4.34</v>
      </c>
      <c r="Q37" s="202">
        <f t="shared" si="1"/>
        <v>5.3916666666666666</v>
      </c>
      <c r="R37" s="202" t="s">
        <v>1020</v>
      </c>
    </row>
    <row r="38" spans="1:18" x14ac:dyDescent="0.15">
      <c r="A38" s="202" t="str">
        <f t="shared" si="0"/>
        <v>CDMX_Optimal Summer_90</v>
      </c>
      <c r="B38" s="495" t="s">
        <v>652</v>
      </c>
      <c r="C38" s="495">
        <v>4</v>
      </c>
      <c r="D38" s="495">
        <v>90</v>
      </c>
      <c r="E38" s="497">
        <v>4</v>
      </c>
      <c r="F38" s="497">
        <v>4.72</v>
      </c>
      <c r="G38" s="497">
        <v>5.29</v>
      </c>
      <c r="H38" s="497">
        <v>5.13</v>
      </c>
      <c r="I38" s="497">
        <v>4.93</v>
      </c>
      <c r="J38" s="497">
        <v>4.49</v>
      </c>
      <c r="K38" s="497">
        <v>4.41</v>
      </c>
      <c r="L38" s="497">
        <v>4.25</v>
      </c>
      <c r="M38" s="497">
        <v>3.94</v>
      </c>
      <c r="N38" s="497">
        <v>4</v>
      </c>
      <c r="O38" s="497">
        <v>4</v>
      </c>
      <c r="P38" s="497">
        <v>3.66</v>
      </c>
      <c r="Q38" s="202">
        <f t="shared" si="1"/>
        <v>4.4016666666666664</v>
      </c>
      <c r="R38" s="202" t="s">
        <v>984</v>
      </c>
    </row>
    <row r="39" spans="1:18" x14ac:dyDescent="0.15">
      <c r="A39" s="202" t="str">
        <f t="shared" si="0"/>
        <v>CDMX_Optimal Summer_112.5</v>
      </c>
      <c r="B39" s="495" t="s">
        <v>652</v>
      </c>
      <c r="C39" s="495">
        <v>4</v>
      </c>
      <c r="D39" s="495">
        <v>112.5</v>
      </c>
      <c r="E39" s="497">
        <v>4.38</v>
      </c>
      <c r="F39" s="497">
        <v>5.16</v>
      </c>
      <c r="G39" s="497">
        <v>5.78</v>
      </c>
      <c r="H39" s="497">
        <v>5.61</v>
      </c>
      <c r="I39" s="497">
        <v>5.39</v>
      </c>
      <c r="J39" s="497">
        <v>4.91</v>
      </c>
      <c r="K39" s="497">
        <v>4.82</v>
      </c>
      <c r="L39" s="497">
        <v>4.6500000000000004</v>
      </c>
      <c r="M39" s="497">
        <v>4.3099999999999996</v>
      </c>
      <c r="N39" s="497">
        <v>4.38</v>
      </c>
      <c r="O39" s="497">
        <v>4.38</v>
      </c>
      <c r="P39" s="497">
        <v>4</v>
      </c>
      <c r="Q39" s="202">
        <f t="shared" si="1"/>
        <v>4.8141666666666669</v>
      </c>
      <c r="R39" s="202" t="s">
        <v>984</v>
      </c>
    </row>
    <row r="40" spans="1:18" x14ac:dyDescent="0.15">
      <c r="A40" s="202" t="str">
        <f t="shared" si="0"/>
        <v>CDMX_Optimal Summer_135</v>
      </c>
      <c r="B40" s="495" t="s">
        <v>652</v>
      </c>
      <c r="C40" s="495">
        <v>4</v>
      </c>
      <c r="D40" s="495">
        <v>135</v>
      </c>
      <c r="E40" s="497">
        <v>4.75</v>
      </c>
      <c r="F40" s="497">
        <v>5.6</v>
      </c>
      <c r="G40" s="497">
        <v>6.28</v>
      </c>
      <c r="H40" s="497">
        <v>6.09</v>
      </c>
      <c r="I40" s="497">
        <v>5.85</v>
      </c>
      <c r="J40" s="497">
        <v>5.33</v>
      </c>
      <c r="K40" s="497">
        <v>5.23</v>
      </c>
      <c r="L40" s="497">
        <v>5.04</v>
      </c>
      <c r="M40" s="497">
        <v>4.68</v>
      </c>
      <c r="N40" s="497">
        <v>4.75</v>
      </c>
      <c r="O40" s="497">
        <v>4.75</v>
      </c>
      <c r="P40" s="497">
        <v>4.34</v>
      </c>
      <c r="Q40" s="202">
        <f t="shared" si="1"/>
        <v>5.2241666666666662</v>
      </c>
      <c r="R40" s="202" t="s">
        <v>984</v>
      </c>
    </row>
    <row r="41" spans="1:18" x14ac:dyDescent="0.15">
      <c r="A41" s="202" t="str">
        <f t="shared" si="0"/>
        <v>CDMX_Optimal Summer_157.5</v>
      </c>
      <c r="B41" s="495" t="s">
        <v>652</v>
      </c>
      <c r="C41" s="495">
        <v>4</v>
      </c>
      <c r="D41" s="495">
        <v>157.5</v>
      </c>
      <c r="E41" s="497">
        <v>4.88</v>
      </c>
      <c r="F41" s="497">
        <v>5.75</v>
      </c>
      <c r="G41" s="497">
        <v>6.44</v>
      </c>
      <c r="H41" s="497">
        <v>6.25</v>
      </c>
      <c r="I41" s="497">
        <v>6.01</v>
      </c>
      <c r="J41" s="497">
        <v>5.47</v>
      </c>
      <c r="K41" s="497">
        <v>5.37</v>
      </c>
      <c r="L41" s="497">
        <v>5.18</v>
      </c>
      <c r="M41" s="497">
        <v>4.8099999999999996</v>
      </c>
      <c r="N41" s="497">
        <v>4.88</v>
      </c>
      <c r="O41" s="497">
        <v>4.88</v>
      </c>
      <c r="P41" s="497">
        <v>4.46</v>
      </c>
      <c r="Q41" s="202">
        <f t="shared" si="1"/>
        <v>5.3649999999999993</v>
      </c>
      <c r="R41" s="202" t="s">
        <v>984</v>
      </c>
    </row>
    <row r="42" spans="1:18" x14ac:dyDescent="0.15">
      <c r="A42" s="202" t="str">
        <f t="shared" si="0"/>
        <v>CDMX_Optimal Summer_180</v>
      </c>
      <c r="B42" s="495" t="s">
        <v>652</v>
      </c>
      <c r="C42" s="495">
        <v>4</v>
      </c>
      <c r="D42" s="495">
        <v>180</v>
      </c>
      <c r="E42" s="497">
        <v>5</v>
      </c>
      <c r="F42" s="497">
        <v>5.9</v>
      </c>
      <c r="G42" s="497">
        <v>6.61</v>
      </c>
      <c r="H42" s="497">
        <v>6.41</v>
      </c>
      <c r="I42" s="497">
        <v>6.16</v>
      </c>
      <c r="J42" s="497">
        <v>5.61</v>
      </c>
      <c r="K42" s="497">
        <v>5.51</v>
      </c>
      <c r="L42" s="497">
        <v>5.31</v>
      </c>
      <c r="M42" s="497">
        <v>4.93</v>
      </c>
      <c r="N42" s="497">
        <v>5</v>
      </c>
      <c r="O42" s="497">
        <v>5</v>
      </c>
      <c r="P42" s="497">
        <v>4.57</v>
      </c>
      <c r="Q42" s="202">
        <f t="shared" si="1"/>
        <v>5.5008333333333335</v>
      </c>
      <c r="R42" s="202" t="s">
        <v>984</v>
      </c>
    </row>
    <row r="43" spans="1:18" x14ac:dyDescent="0.15">
      <c r="A43" s="202" t="str">
        <f t="shared" si="0"/>
        <v>CDMX_Optimal Summer_202.5</v>
      </c>
      <c r="B43" s="495" t="s">
        <v>652</v>
      </c>
      <c r="C43" s="495">
        <v>4</v>
      </c>
      <c r="D43" s="495">
        <v>202.5</v>
      </c>
      <c r="E43" s="497">
        <v>4.88</v>
      </c>
      <c r="F43" s="497">
        <v>5.75</v>
      </c>
      <c r="G43" s="497">
        <v>6.44</v>
      </c>
      <c r="H43" s="497">
        <v>6.25</v>
      </c>
      <c r="I43" s="497">
        <v>6.01</v>
      </c>
      <c r="J43" s="497">
        <v>5.47</v>
      </c>
      <c r="K43" s="497">
        <v>5.37</v>
      </c>
      <c r="L43" s="497">
        <v>5.18</v>
      </c>
      <c r="M43" s="497">
        <v>4.8099999999999996</v>
      </c>
      <c r="N43" s="497">
        <v>4.88</v>
      </c>
      <c r="O43" s="497">
        <v>4.88</v>
      </c>
      <c r="P43" s="497">
        <v>4.46</v>
      </c>
      <c r="Q43" s="202">
        <f t="shared" si="1"/>
        <v>5.3649999999999993</v>
      </c>
      <c r="R43" s="202" t="s">
        <v>984</v>
      </c>
    </row>
    <row r="44" spans="1:18" x14ac:dyDescent="0.15">
      <c r="A44" s="202" t="str">
        <f t="shared" si="0"/>
        <v>CDMX_Optimal Summer_225</v>
      </c>
      <c r="B44" s="495" t="s">
        <v>652</v>
      </c>
      <c r="C44" s="495">
        <v>4</v>
      </c>
      <c r="D44" s="495">
        <v>225</v>
      </c>
      <c r="E44" s="497">
        <v>4.75</v>
      </c>
      <c r="F44" s="497">
        <v>5.6</v>
      </c>
      <c r="G44" s="497">
        <v>6.28</v>
      </c>
      <c r="H44" s="497">
        <v>6.09</v>
      </c>
      <c r="I44" s="497">
        <v>5.85</v>
      </c>
      <c r="J44" s="497">
        <v>5.33</v>
      </c>
      <c r="K44" s="497">
        <v>5.23</v>
      </c>
      <c r="L44" s="497">
        <v>5.04</v>
      </c>
      <c r="M44" s="497">
        <v>4.68</v>
      </c>
      <c r="N44" s="497">
        <v>4.75</v>
      </c>
      <c r="O44" s="497">
        <v>4.75</v>
      </c>
      <c r="P44" s="497">
        <v>4.34</v>
      </c>
      <c r="Q44" s="202">
        <f t="shared" si="1"/>
        <v>5.2241666666666662</v>
      </c>
      <c r="R44" s="202" t="s">
        <v>984</v>
      </c>
    </row>
    <row r="45" spans="1:18" x14ac:dyDescent="0.15">
      <c r="A45" s="202" t="str">
        <f t="shared" si="0"/>
        <v>CDMX_Optimal Summer_247.5</v>
      </c>
      <c r="B45" s="495" t="s">
        <v>652</v>
      </c>
      <c r="C45" s="495">
        <v>4</v>
      </c>
      <c r="D45" s="495">
        <v>247.5</v>
      </c>
      <c r="E45" s="497">
        <v>4.38</v>
      </c>
      <c r="F45" s="497">
        <v>5.16</v>
      </c>
      <c r="G45" s="497">
        <v>5.78</v>
      </c>
      <c r="H45" s="497">
        <v>5.61</v>
      </c>
      <c r="I45" s="497">
        <v>5.39</v>
      </c>
      <c r="J45" s="497">
        <v>4.91</v>
      </c>
      <c r="K45" s="497">
        <v>4.82</v>
      </c>
      <c r="L45" s="497">
        <v>4.6500000000000004</v>
      </c>
      <c r="M45" s="497">
        <v>4.3099999999999996</v>
      </c>
      <c r="N45" s="497">
        <v>4.38</v>
      </c>
      <c r="O45" s="497">
        <v>4.38</v>
      </c>
      <c r="P45" s="497">
        <v>4</v>
      </c>
      <c r="Q45" s="202">
        <f t="shared" si="1"/>
        <v>4.8141666666666669</v>
      </c>
      <c r="R45" s="202" t="s">
        <v>984</v>
      </c>
    </row>
    <row r="46" spans="1:18" x14ac:dyDescent="0.15">
      <c r="A46" s="202" t="str">
        <f t="shared" si="0"/>
        <v>CDMX_Optimal Summer_270</v>
      </c>
      <c r="B46" s="495" t="s">
        <v>652</v>
      </c>
      <c r="C46" s="495">
        <v>4</v>
      </c>
      <c r="D46" s="495">
        <v>270</v>
      </c>
      <c r="E46" s="495">
        <v>4</v>
      </c>
      <c r="F46" s="495">
        <v>4.72</v>
      </c>
      <c r="G46" s="495">
        <v>5.29</v>
      </c>
      <c r="H46" s="495">
        <v>5.13</v>
      </c>
      <c r="I46" s="495">
        <v>4.93</v>
      </c>
      <c r="J46" s="495">
        <v>4.49</v>
      </c>
      <c r="K46" s="495">
        <v>4.41</v>
      </c>
      <c r="L46" s="495">
        <v>4.25</v>
      </c>
      <c r="M46" s="495">
        <v>3.94</v>
      </c>
      <c r="N46" s="495">
        <v>4</v>
      </c>
      <c r="O46" s="495">
        <v>4</v>
      </c>
      <c r="P46" s="495">
        <v>3.66</v>
      </c>
      <c r="Q46" s="202">
        <f t="shared" si="1"/>
        <v>4.4016666666666664</v>
      </c>
      <c r="R46" s="202" t="s">
        <v>984</v>
      </c>
    </row>
    <row r="47" spans="1:18" x14ac:dyDescent="0.15">
      <c r="A47" s="202" t="str">
        <f t="shared" si="0"/>
        <v>CDMX_Optimal Year Round_90</v>
      </c>
      <c r="B47" s="495" t="s">
        <v>652</v>
      </c>
      <c r="C47" s="495">
        <v>19</v>
      </c>
      <c r="D47" s="495">
        <v>90</v>
      </c>
      <c r="E47" s="497">
        <v>4.62</v>
      </c>
      <c r="F47" s="497">
        <v>5.21</v>
      </c>
      <c r="G47" s="497">
        <v>5.5</v>
      </c>
      <c r="H47" s="497">
        <v>5.03</v>
      </c>
      <c r="I47" s="497">
        <v>4.63</v>
      </c>
      <c r="J47" s="497">
        <v>4.47</v>
      </c>
      <c r="K47" s="497">
        <v>4.37</v>
      </c>
      <c r="L47" s="497">
        <v>4.1100000000000003</v>
      </c>
      <c r="M47" s="497">
        <v>3.98</v>
      </c>
      <c r="N47" s="497">
        <v>4.26</v>
      </c>
      <c r="O47" s="497">
        <v>4.54</v>
      </c>
      <c r="P47" s="497">
        <v>4.2300000000000004</v>
      </c>
      <c r="Q47" s="202">
        <f t="shared" si="1"/>
        <v>4.5791666666666657</v>
      </c>
      <c r="R47" s="202" t="s">
        <v>1019</v>
      </c>
    </row>
    <row r="48" spans="1:18" x14ac:dyDescent="0.15">
      <c r="A48" s="202" t="str">
        <f t="shared" si="0"/>
        <v>CDMX_Optimal Year Round_112.5</v>
      </c>
      <c r="B48" s="495" t="s">
        <v>652</v>
      </c>
      <c r="C48" s="495">
        <v>19</v>
      </c>
      <c r="D48" s="495">
        <v>112.5</v>
      </c>
      <c r="E48" s="497">
        <v>5.0599999999999996</v>
      </c>
      <c r="F48" s="497">
        <v>5.7</v>
      </c>
      <c r="G48" s="497">
        <v>6.02</v>
      </c>
      <c r="H48" s="497">
        <v>5.5</v>
      </c>
      <c r="I48" s="497">
        <v>5.07</v>
      </c>
      <c r="J48" s="497">
        <v>4.8899999999999997</v>
      </c>
      <c r="K48" s="497">
        <v>4.78</v>
      </c>
      <c r="L48" s="497">
        <v>4.5</v>
      </c>
      <c r="M48" s="497">
        <v>4.3499999999999996</v>
      </c>
      <c r="N48" s="497">
        <v>4.66</v>
      </c>
      <c r="O48" s="497">
        <v>4.97</v>
      </c>
      <c r="P48" s="497">
        <v>4.63</v>
      </c>
      <c r="Q48" s="202">
        <f t="shared" si="1"/>
        <v>5.0108333333333333</v>
      </c>
      <c r="R48" s="202" t="s">
        <v>1019</v>
      </c>
    </row>
    <row r="49" spans="1:18" x14ac:dyDescent="0.15">
      <c r="A49" s="202" t="str">
        <f t="shared" si="0"/>
        <v>CDMX_Optimal Year Round_135</v>
      </c>
      <c r="B49" s="495" t="s">
        <v>652</v>
      </c>
      <c r="C49" s="495">
        <v>19</v>
      </c>
      <c r="D49" s="495">
        <v>135</v>
      </c>
      <c r="E49" s="497">
        <v>5.49</v>
      </c>
      <c r="F49" s="497">
        <v>6.18</v>
      </c>
      <c r="G49" s="497">
        <v>6.54</v>
      </c>
      <c r="H49" s="497">
        <v>5.98</v>
      </c>
      <c r="I49" s="497">
        <v>5.5</v>
      </c>
      <c r="J49" s="497">
        <v>5.31</v>
      </c>
      <c r="K49" s="497">
        <v>5.19</v>
      </c>
      <c r="L49" s="497">
        <v>4.88</v>
      </c>
      <c r="M49" s="497">
        <v>4.72</v>
      </c>
      <c r="N49" s="497">
        <v>5.0599999999999996</v>
      </c>
      <c r="O49" s="497">
        <v>5.4</v>
      </c>
      <c r="P49" s="497">
        <v>5.03</v>
      </c>
      <c r="Q49" s="202">
        <f t="shared" si="1"/>
        <v>5.44</v>
      </c>
      <c r="R49" s="202" t="s">
        <v>1019</v>
      </c>
    </row>
    <row r="50" spans="1:18" x14ac:dyDescent="0.15">
      <c r="A50" s="202" t="str">
        <f t="shared" si="0"/>
        <v>CDMX_Optimal Year Round_157.5</v>
      </c>
      <c r="B50" s="495" t="s">
        <v>652</v>
      </c>
      <c r="C50" s="495">
        <v>19</v>
      </c>
      <c r="D50" s="495">
        <v>157.5</v>
      </c>
      <c r="E50" s="497">
        <v>5.64</v>
      </c>
      <c r="F50" s="497">
        <v>6.35</v>
      </c>
      <c r="G50" s="497">
        <v>6.71</v>
      </c>
      <c r="H50" s="497">
        <v>6.13</v>
      </c>
      <c r="I50" s="497">
        <v>5.65</v>
      </c>
      <c r="J50" s="497">
        <v>5.45</v>
      </c>
      <c r="K50" s="497">
        <v>5.32</v>
      </c>
      <c r="L50" s="497">
        <v>5.01</v>
      </c>
      <c r="M50" s="497">
        <v>4.8499999999999996</v>
      </c>
      <c r="N50" s="497">
        <v>5.2</v>
      </c>
      <c r="O50" s="497">
        <v>5.54</v>
      </c>
      <c r="P50" s="497">
        <v>5.16</v>
      </c>
      <c r="Q50" s="202">
        <f t="shared" si="1"/>
        <v>5.5841666666666674</v>
      </c>
      <c r="R50" s="202" t="s">
        <v>1019</v>
      </c>
    </row>
    <row r="51" spans="1:18" x14ac:dyDescent="0.15">
      <c r="A51" s="202" t="str">
        <f t="shared" si="0"/>
        <v>CDMX_Optimal Year Round_180</v>
      </c>
      <c r="B51" s="495" t="s">
        <v>652</v>
      </c>
      <c r="C51" s="495">
        <v>19</v>
      </c>
      <c r="D51" s="495">
        <v>180</v>
      </c>
      <c r="E51" s="497">
        <v>5.78</v>
      </c>
      <c r="F51" s="497">
        <v>6.51</v>
      </c>
      <c r="G51" s="497">
        <v>6.88</v>
      </c>
      <c r="H51" s="497">
        <v>6.29</v>
      </c>
      <c r="I51" s="497">
        <v>5.79</v>
      </c>
      <c r="J51" s="497">
        <v>5.59</v>
      </c>
      <c r="K51" s="497">
        <v>5.46</v>
      </c>
      <c r="L51" s="497">
        <v>5.14</v>
      </c>
      <c r="M51" s="497">
        <v>4.97</v>
      </c>
      <c r="N51" s="497">
        <v>5.33</v>
      </c>
      <c r="O51" s="497">
        <v>5.68</v>
      </c>
      <c r="P51" s="497">
        <v>5.29</v>
      </c>
      <c r="Q51" s="202">
        <f t="shared" si="1"/>
        <v>5.7258333333333331</v>
      </c>
      <c r="R51" s="202" t="s">
        <v>1019</v>
      </c>
    </row>
    <row r="52" spans="1:18" x14ac:dyDescent="0.15">
      <c r="A52" s="202" t="str">
        <f t="shared" si="0"/>
        <v>CDMX_Optimal Year Round_202.5</v>
      </c>
      <c r="B52" s="495" t="s">
        <v>652</v>
      </c>
      <c r="C52" s="495">
        <v>19</v>
      </c>
      <c r="D52" s="495">
        <v>202.5</v>
      </c>
      <c r="E52" s="497">
        <v>5.64</v>
      </c>
      <c r="F52" s="497">
        <v>6.35</v>
      </c>
      <c r="G52" s="497">
        <v>6.71</v>
      </c>
      <c r="H52" s="497">
        <v>6.13</v>
      </c>
      <c r="I52" s="497">
        <v>5.65</v>
      </c>
      <c r="J52" s="497">
        <v>5.45</v>
      </c>
      <c r="K52" s="497">
        <v>5.32</v>
      </c>
      <c r="L52" s="497">
        <v>5.01</v>
      </c>
      <c r="M52" s="497">
        <v>4.8499999999999996</v>
      </c>
      <c r="N52" s="497">
        <v>5.2</v>
      </c>
      <c r="O52" s="497">
        <v>5.54</v>
      </c>
      <c r="P52" s="497">
        <v>5.16</v>
      </c>
      <c r="Q52" s="202">
        <f t="shared" si="1"/>
        <v>5.5841666666666674</v>
      </c>
      <c r="R52" s="202" t="s">
        <v>1019</v>
      </c>
    </row>
    <row r="53" spans="1:18" x14ac:dyDescent="0.15">
      <c r="A53" s="202" t="str">
        <f t="shared" si="0"/>
        <v>CDMX_Optimal Year Round_225</v>
      </c>
      <c r="B53" s="495" t="s">
        <v>652</v>
      </c>
      <c r="C53" s="495">
        <v>19</v>
      </c>
      <c r="D53" s="495">
        <v>225</v>
      </c>
      <c r="E53" s="497">
        <v>5.49</v>
      </c>
      <c r="F53" s="497">
        <v>6.18</v>
      </c>
      <c r="G53" s="497">
        <v>6.54</v>
      </c>
      <c r="H53" s="497">
        <v>5.98</v>
      </c>
      <c r="I53" s="497">
        <v>5.5</v>
      </c>
      <c r="J53" s="497">
        <v>5.31</v>
      </c>
      <c r="K53" s="497">
        <v>5.19</v>
      </c>
      <c r="L53" s="497">
        <v>4.88</v>
      </c>
      <c r="M53" s="497">
        <v>4.72</v>
      </c>
      <c r="N53" s="497">
        <v>5.0599999999999996</v>
      </c>
      <c r="O53" s="497">
        <v>5.4</v>
      </c>
      <c r="P53" s="497">
        <v>5.03</v>
      </c>
      <c r="Q53" s="202">
        <f t="shared" si="1"/>
        <v>5.44</v>
      </c>
      <c r="R53" s="202" t="s">
        <v>1019</v>
      </c>
    </row>
    <row r="54" spans="1:18" x14ac:dyDescent="0.15">
      <c r="A54" s="202" t="str">
        <f t="shared" si="0"/>
        <v>CDMX_Optimal Year Round_247.5</v>
      </c>
      <c r="B54" s="495" t="s">
        <v>652</v>
      </c>
      <c r="C54" s="495">
        <v>19</v>
      </c>
      <c r="D54" s="495">
        <v>247.5</v>
      </c>
      <c r="E54" s="497">
        <v>5.0599999999999996</v>
      </c>
      <c r="F54" s="497">
        <v>5.7</v>
      </c>
      <c r="G54" s="497">
        <v>6.02</v>
      </c>
      <c r="H54" s="497">
        <v>5.5</v>
      </c>
      <c r="I54" s="497">
        <v>5.07</v>
      </c>
      <c r="J54" s="497">
        <v>4.8899999999999997</v>
      </c>
      <c r="K54" s="497">
        <v>4.78</v>
      </c>
      <c r="L54" s="497">
        <v>4.5</v>
      </c>
      <c r="M54" s="497">
        <v>4.3499999999999996</v>
      </c>
      <c r="N54" s="497">
        <v>4.66</v>
      </c>
      <c r="O54" s="497">
        <v>4.97</v>
      </c>
      <c r="P54" s="497">
        <v>4.63</v>
      </c>
      <c r="Q54" s="202">
        <f t="shared" si="1"/>
        <v>5.0108333333333333</v>
      </c>
      <c r="R54" s="202" t="s">
        <v>1019</v>
      </c>
    </row>
    <row r="55" spans="1:18" x14ac:dyDescent="0.15">
      <c r="A55" s="202" t="str">
        <f t="shared" si="0"/>
        <v>CDMX_Optimal Year Round_270</v>
      </c>
      <c r="B55" s="495" t="s">
        <v>652</v>
      </c>
      <c r="C55" s="495">
        <v>19</v>
      </c>
      <c r="D55" s="495">
        <v>270</v>
      </c>
      <c r="E55" s="497">
        <v>4.62</v>
      </c>
      <c r="F55" s="497">
        <v>5.21</v>
      </c>
      <c r="G55" s="497">
        <v>5.5</v>
      </c>
      <c r="H55" s="497">
        <v>5.03</v>
      </c>
      <c r="I55" s="497">
        <v>4.63</v>
      </c>
      <c r="J55" s="497">
        <v>4.47</v>
      </c>
      <c r="K55" s="497">
        <v>4.37</v>
      </c>
      <c r="L55" s="497">
        <v>4.1100000000000003</v>
      </c>
      <c r="M55" s="497">
        <v>3.98</v>
      </c>
      <c r="N55" s="497">
        <v>4.26</v>
      </c>
      <c r="O55" s="497">
        <v>4.54</v>
      </c>
      <c r="P55" s="497">
        <v>4.2300000000000004</v>
      </c>
      <c r="Q55" s="202">
        <f t="shared" si="1"/>
        <v>4.5791666666666657</v>
      </c>
      <c r="R55" s="202" t="s">
        <v>1019</v>
      </c>
    </row>
    <row r="56" spans="1:18" x14ac:dyDescent="0.15">
      <c r="A56" s="202" t="str">
        <f t="shared" si="0"/>
        <v>Guadalajara_Flat Surface_90</v>
      </c>
      <c r="B56" s="580" t="s">
        <v>890</v>
      </c>
      <c r="C56" s="495">
        <v>0</v>
      </c>
      <c r="D56" s="495">
        <v>90</v>
      </c>
      <c r="E56" s="497">
        <v>4.7699999999999996</v>
      </c>
      <c r="F56" s="497">
        <v>5.72</v>
      </c>
      <c r="G56" s="497">
        <v>6.78</v>
      </c>
      <c r="H56" s="497">
        <v>7.11</v>
      </c>
      <c r="I56" s="497">
        <v>7.11</v>
      </c>
      <c r="J56" s="497">
        <v>6.17</v>
      </c>
      <c r="K56" s="497">
        <v>5.63</v>
      </c>
      <c r="L56" s="497">
        <v>5.51</v>
      </c>
      <c r="M56" s="497">
        <v>5.14</v>
      </c>
      <c r="N56" s="497">
        <v>5.31</v>
      </c>
      <c r="O56" s="497">
        <v>5.13</v>
      </c>
      <c r="P56" s="497">
        <v>4.45</v>
      </c>
      <c r="Q56" s="202">
        <f t="shared" si="1"/>
        <v>5.7358333333333329</v>
      </c>
      <c r="R56" s="202" t="s">
        <v>1020</v>
      </c>
    </row>
    <row r="57" spans="1:18" x14ac:dyDescent="0.15">
      <c r="A57" s="202" t="str">
        <f t="shared" si="0"/>
        <v>Guadalajara_Flat Surface_112.5</v>
      </c>
      <c r="B57" s="580" t="s">
        <v>890</v>
      </c>
      <c r="C57" s="495">
        <v>0</v>
      </c>
      <c r="D57" s="495">
        <v>112.5</v>
      </c>
      <c r="E57" s="497">
        <v>4.7699999999999996</v>
      </c>
      <c r="F57" s="497">
        <v>5.72</v>
      </c>
      <c r="G57" s="497">
        <v>6.78</v>
      </c>
      <c r="H57" s="497">
        <v>7.11</v>
      </c>
      <c r="I57" s="497">
        <v>7.11</v>
      </c>
      <c r="J57" s="497">
        <v>6.17</v>
      </c>
      <c r="K57" s="497">
        <v>5.63</v>
      </c>
      <c r="L57" s="497">
        <v>5.51</v>
      </c>
      <c r="M57" s="497">
        <v>5.14</v>
      </c>
      <c r="N57" s="497">
        <v>5.31</v>
      </c>
      <c r="O57" s="497">
        <v>5.13</v>
      </c>
      <c r="P57" s="497">
        <v>4.45</v>
      </c>
      <c r="Q57" s="202">
        <f t="shared" si="1"/>
        <v>5.7358333333333329</v>
      </c>
      <c r="R57" s="202" t="s">
        <v>1020</v>
      </c>
    </row>
    <row r="58" spans="1:18" x14ac:dyDescent="0.15">
      <c r="A58" s="202" t="str">
        <f t="shared" si="0"/>
        <v>Guadalajara_Flat Surface_135</v>
      </c>
      <c r="B58" s="580" t="s">
        <v>890</v>
      </c>
      <c r="C58" s="495">
        <v>0</v>
      </c>
      <c r="D58" s="495">
        <v>135</v>
      </c>
      <c r="E58" s="497">
        <v>4.7699999999999996</v>
      </c>
      <c r="F58" s="497">
        <v>5.72</v>
      </c>
      <c r="G58" s="497">
        <v>6.78</v>
      </c>
      <c r="H58" s="497">
        <v>7.11</v>
      </c>
      <c r="I58" s="497">
        <v>7.11</v>
      </c>
      <c r="J58" s="497">
        <v>6.17</v>
      </c>
      <c r="K58" s="497">
        <v>5.63</v>
      </c>
      <c r="L58" s="497">
        <v>5.51</v>
      </c>
      <c r="M58" s="497">
        <v>5.14</v>
      </c>
      <c r="N58" s="497">
        <v>5.31</v>
      </c>
      <c r="O58" s="497">
        <v>5.13</v>
      </c>
      <c r="P58" s="497">
        <v>4.45</v>
      </c>
      <c r="Q58" s="202">
        <f t="shared" si="1"/>
        <v>5.7358333333333329</v>
      </c>
      <c r="R58" s="202" t="s">
        <v>1020</v>
      </c>
    </row>
    <row r="59" spans="1:18" x14ac:dyDescent="0.15">
      <c r="A59" s="202" t="str">
        <f t="shared" si="0"/>
        <v>Guadalajara_Flat Surface_157.5</v>
      </c>
      <c r="B59" s="580" t="s">
        <v>890</v>
      </c>
      <c r="C59" s="495">
        <v>0</v>
      </c>
      <c r="D59" s="495">
        <v>157.5</v>
      </c>
      <c r="E59" s="497">
        <v>4.7699999999999996</v>
      </c>
      <c r="F59" s="497">
        <v>5.72</v>
      </c>
      <c r="G59" s="497">
        <v>6.78</v>
      </c>
      <c r="H59" s="497">
        <v>7.11</v>
      </c>
      <c r="I59" s="497">
        <v>7.11</v>
      </c>
      <c r="J59" s="497">
        <v>6.17</v>
      </c>
      <c r="K59" s="497">
        <v>5.63</v>
      </c>
      <c r="L59" s="497">
        <v>5.51</v>
      </c>
      <c r="M59" s="497">
        <v>5.14</v>
      </c>
      <c r="N59" s="497">
        <v>5.31</v>
      </c>
      <c r="O59" s="497">
        <v>5.13</v>
      </c>
      <c r="P59" s="497">
        <v>4.45</v>
      </c>
      <c r="Q59" s="202">
        <f t="shared" si="1"/>
        <v>5.7358333333333329</v>
      </c>
      <c r="R59" s="202" t="s">
        <v>1020</v>
      </c>
    </row>
    <row r="60" spans="1:18" x14ac:dyDescent="0.15">
      <c r="A60" s="202" t="str">
        <f t="shared" si="0"/>
        <v>Guadalajara_Flat Surface_180</v>
      </c>
      <c r="B60" s="580" t="s">
        <v>890</v>
      </c>
      <c r="C60" s="495">
        <v>0</v>
      </c>
      <c r="D60" s="495">
        <v>180</v>
      </c>
      <c r="E60" s="497">
        <v>4.7699999999999996</v>
      </c>
      <c r="F60" s="497">
        <v>5.72</v>
      </c>
      <c r="G60" s="497">
        <v>6.78</v>
      </c>
      <c r="H60" s="497">
        <v>7.11</v>
      </c>
      <c r="I60" s="497">
        <v>7.11</v>
      </c>
      <c r="J60" s="497">
        <v>6.17</v>
      </c>
      <c r="K60" s="497">
        <v>5.63</v>
      </c>
      <c r="L60" s="497">
        <v>5.51</v>
      </c>
      <c r="M60" s="497">
        <v>5.14</v>
      </c>
      <c r="N60" s="497">
        <v>5.31</v>
      </c>
      <c r="O60" s="497">
        <v>5.13</v>
      </c>
      <c r="P60" s="497">
        <v>4.45</v>
      </c>
      <c r="Q60" s="202">
        <f t="shared" si="1"/>
        <v>5.7358333333333329</v>
      </c>
      <c r="R60" s="202" t="s">
        <v>1020</v>
      </c>
    </row>
    <row r="61" spans="1:18" x14ac:dyDescent="0.15">
      <c r="A61" s="202" t="str">
        <f t="shared" si="0"/>
        <v>Guadalajara_Flat Surface_202.5</v>
      </c>
      <c r="B61" s="580" t="s">
        <v>890</v>
      </c>
      <c r="C61" s="495">
        <v>0</v>
      </c>
      <c r="D61" s="495">
        <v>202.5</v>
      </c>
      <c r="E61" s="497">
        <v>4.7699999999999996</v>
      </c>
      <c r="F61" s="497">
        <v>5.72</v>
      </c>
      <c r="G61" s="497">
        <v>6.78</v>
      </c>
      <c r="H61" s="497">
        <v>7.11</v>
      </c>
      <c r="I61" s="497">
        <v>7.11</v>
      </c>
      <c r="J61" s="497">
        <v>6.17</v>
      </c>
      <c r="K61" s="497">
        <v>5.63</v>
      </c>
      <c r="L61" s="497">
        <v>5.51</v>
      </c>
      <c r="M61" s="497">
        <v>5.14</v>
      </c>
      <c r="N61" s="497">
        <v>5.31</v>
      </c>
      <c r="O61" s="497">
        <v>5.13</v>
      </c>
      <c r="P61" s="497">
        <v>4.45</v>
      </c>
      <c r="Q61" s="202">
        <f t="shared" si="1"/>
        <v>5.7358333333333329</v>
      </c>
      <c r="R61" s="202" t="s">
        <v>1020</v>
      </c>
    </row>
    <row r="62" spans="1:18" x14ac:dyDescent="0.15">
      <c r="A62" s="202" t="str">
        <f t="shared" si="0"/>
        <v>Guadalajara_Flat Surface_225</v>
      </c>
      <c r="B62" s="580" t="s">
        <v>890</v>
      </c>
      <c r="C62" s="495">
        <v>0</v>
      </c>
      <c r="D62" s="495">
        <v>225</v>
      </c>
      <c r="E62" s="497">
        <v>4.7699999999999996</v>
      </c>
      <c r="F62" s="497">
        <v>5.72</v>
      </c>
      <c r="G62" s="497">
        <v>6.78</v>
      </c>
      <c r="H62" s="497">
        <v>7.11</v>
      </c>
      <c r="I62" s="497">
        <v>7.11</v>
      </c>
      <c r="J62" s="497">
        <v>6.17</v>
      </c>
      <c r="K62" s="497">
        <v>5.63</v>
      </c>
      <c r="L62" s="497">
        <v>5.51</v>
      </c>
      <c r="M62" s="497">
        <v>5.14</v>
      </c>
      <c r="N62" s="497">
        <v>5.31</v>
      </c>
      <c r="O62" s="497">
        <v>5.13</v>
      </c>
      <c r="P62" s="497">
        <v>4.45</v>
      </c>
      <c r="Q62" s="202">
        <f t="shared" si="1"/>
        <v>5.7358333333333329</v>
      </c>
      <c r="R62" s="202" t="s">
        <v>1020</v>
      </c>
    </row>
    <row r="63" spans="1:18" x14ac:dyDescent="0.15">
      <c r="A63" s="202" t="str">
        <f t="shared" si="0"/>
        <v>Guadalajara_Flat Surface_247.5</v>
      </c>
      <c r="B63" s="580" t="s">
        <v>890</v>
      </c>
      <c r="C63" s="495">
        <v>0</v>
      </c>
      <c r="D63" s="495">
        <v>247.5</v>
      </c>
      <c r="E63" s="497">
        <v>4.7699999999999996</v>
      </c>
      <c r="F63" s="497">
        <v>5.72</v>
      </c>
      <c r="G63" s="497">
        <v>6.78</v>
      </c>
      <c r="H63" s="497">
        <v>7.11</v>
      </c>
      <c r="I63" s="497">
        <v>7.11</v>
      </c>
      <c r="J63" s="497">
        <v>6.17</v>
      </c>
      <c r="K63" s="497">
        <v>5.63</v>
      </c>
      <c r="L63" s="497">
        <v>5.51</v>
      </c>
      <c r="M63" s="497">
        <v>5.14</v>
      </c>
      <c r="N63" s="497">
        <v>5.31</v>
      </c>
      <c r="O63" s="497">
        <v>5.13</v>
      </c>
      <c r="P63" s="497">
        <v>4.45</v>
      </c>
      <c r="Q63" s="202">
        <f t="shared" si="1"/>
        <v>5.7358333333333329</v>
      </c>
      <c r="R63" s="202" t="s">
        <v>1020</v>
      </c>
    </row>
    <row r="64" spans="1:18" x14ac:dyDescent="0.15">
      <c r="A64" s="202" t="str">
        <f t="shared" si="0"/>
        <v>Guadalajara_Flat Surface_270</v>
      </c>
      <c r="B64" s="580" t="s">
        <v>890</v>
      </c>
      <c r="C64" s="495">
        <v>0</v>
      </c>
      <c r="D64" s="495">
        <v>270</v>
      </c>
      <c r="E64" s="497">
        <v>4.7699999999999996</v>
      </c>
      <c r="F64" s="497">
        <v>5.72</v>
      </c>
      <c r="G64" s="497">
        <v>6.78</v>
      </c>
      <c r="H64" s="497">
        <v>7.11</v>
      </c>
      <c r="I64" s="497">
        <v>7.11</v>
      </c>
      <c r="J64" s="497">
        <v>6.17</v>
      </c>
      <c r="K64" s="497">
        <v>5.63</v>
      </c>
      <c r="L64" s="497">
        <v>5.51</v>
      </c>
      <c r="M64" s="497">
        <v>5.14</v>
      </c>
      <c r="N64" s="497">
        <v>5.31</v>
      </c>
      <c r="O64" s="497">
        <v>5.13</v>
      </c>
      <c r="P64" s="497">
        <v>4.45</v>
      </c>
      <c r="Q64" s="202">
        <f t="shared" si="1"/>
        <v>5.7358333333333329</v>
      </c>
      <c r="R64" s="202" t="s">
        <v>1020</v>
      </c>
    </row>
    <row r="65" spans="1:18" x14ac:dyDescent="0.15">
      <c r="A65" s="202" t="str">
        <f t="shared" si="0"/>
        <v>Guadalajara_Optimal Summer_90</v>
      </c>
      <c r="B65" s="580" t="s">
        <v>890</v>
      </c>
      <c r="C65" s="495">
        <v>6</v>
      </c>
      <c r="D65" s="495">
        <v>90</v>
      </c>
      <c r="E65" s="497">
        <v>4.0999999999999996</v>
      </c>
      <c r="F65" s="497">
        <v>4.82</v>
      </c>
      <c r="G65" s="497">
        <v>5.58</v>
      </c>
      <c r="H65" s="497">
        <v>5.72</v>
      </c>
      <c r="I65" s="497">
        <v>5.63</v>
      </c>
      <c r="J65" s="497">
        <v>4.9800000000000004</v>
      </c>
      <c r="K65" s="497">
        <v>4.53</v>
      </c>
      <c r="L65" s="497">
        <v>4.41</v>
      </c>
      <c r="M65" s="497">
        <v>4.17</v>
      </c>
      <c r="N65" s="497">
        <v>4.41</v>
      </c>
      <c r="O65" s="497">
        <v>4.38</v>
      </c>
      <c r="P65" s="497">
        <v>3.82</v>
      </c>
      <c r="Q65" s="202">
        <f t="shared" si="1"/>
        <v>4.7124999999999995</v>
      </c>
      <c r="R65" s="202" t="s">
        <v>984</v>
      </c>
    </row>
    <row r="66" spans="1:18" x14ac:dyDescent="0.15">
      <c r="A66" s="202" t="str">
        <f t="shared" ref="A66:A129" si="2">B66&amp;"_"&amp;R66&amp;"_"&amp;D66</f>
        <v>Guadalajara_Optimal Summer_112.5</v>
      </c>
      <c r="B66" s="580" t="s">
        <v>890</v>
      </c>
      <c r="C66" s="495">
        <v>6</v>
      </c>
      <c r="D66" s="495">
        <v>112.5</v>
      </c>
      <c r="E66" s="497">
        <v>4.4800000000000004</v>
      </c>
      <c r="F66" s="497">
        <v>5.27</v>
      </c>
      <c r="G66" s="497">
        <v>6.1</v>
      </c>
      <c r="H66" s="497">
        <v>6.26</v>
      </c>
      <c r="I66" s="497">
        <v>6.16</v>
      </c>
      <c r="J66" s="497">
        <v>5.44</v>
      </c>
      <c r="K66" s="497">
        <v>4.95</v>
      </c>
      <c r="L66" s="497">
        <v>4.82</v>
      </c>
      <c r="M66" s="497">
        <v>4.5599999999999996</v>
      </c>
      <c r="N66" s="497">
        <v>4.82</v>
      </c>
      <c r="O66" s="497">
        <v>4.8</v>
      </c>
      <c r="P66" s="497">
        <v>4.18</v>
      </c>
      <c r="Q66" s="202">
        <f t="shared" ref="Q66:Q129" si="3">AVERAGE(E66:P66)</f>
        <v>5.1533333333333333</v>
      </c>
      <c r="R66" s="202" t="s">
        <v>984</v>
      </c>
    </row>
    <row r="67" spans="1:18" x14ac:dyDescent="0.15">
      <c r="A67" s="202" t="str">
        <f t="shared" si="2"/>
        <v>Guadalajara_Optimal Summer_135</v>
      </c>
      <c r="B67" s="580" t="s">
        <v>890</v>
      </c>
      <c r="C67" s="495">
        <v>6</v>
      </c>
      <c r="D67" s="495">
        <v>135</v>
      </c>
      <c r="E67" s="497">
        <v>4.8600000000000003</v>
      </c>
      <c r="F67" s="497">
        <v>5.72</v>
      </c>
      <c r="G67" s="497">
        <v>6.62</v>
      </c>
      <c r="H67" s="497">
        <v>6.79</v>
      </c>
      <c r="I67" s="497">
        <v>6.69</v>
      </c>
      <c r="J67" s="497">
        <v>5.91</v>
      </c>
      <c r="K67" s="497">
        <v>5.38</v>
      </c>
      <c r="L67" s="497">
        <v>5.23</v>
      </c>
      <c r="M67" s="497">
        <v>4.95</v>
      </c>
      <c r="N67" s="497">
        <v>5.23</v>
      </c>
      <c r="O67" s="497">
        <v>5.21</v>
      </c>
      <c r="P67" s="497">
        <v>4.54</v>
      </c>
      <c r="Q67" s="202">
        <f t="shared" si="3"/>
        <v>5.5941666666666672</v>
      </c>
      <c r="R67" s="202" t="s">
        <v>984</v>
      </c>
    </row>
    <row r="68" spans="1:18" x14ac:dyDescent="0.15">
      <c r="A68" s="202" t="str">
        <f t="shared" si="2"/>
        <v>Guadalajara_Optimal Summer_157.5</v>
      </c>
      <c r="B68" s="580" t="s">
        <v>890</v>
      </c>
      <c r="C68" s="495">
        <v>6</v>
      </c>
      <c r="D68" s="495">
        <v>157.5</v>
      </c>
      <c r="E68" s="497">
        <v>4.99</v>
      </c>
      <c r="F68" s="497">
        <v>5.87</v>
      </c>
      <c r="G68" s="497">
        <v>6.8</v>
      </c>
      <c r="H68" s="497">
        <v>6.97</v>
      </c>
      <c r="I68" s="497">
        <v>6.86</v>
      </c>
      <c r="J68" s="497">
        <v>6.06</v>
      </c>
      <c r="K68" s="497">
        <v>5.52</v>
      </c>
      <c r="L68" s="497">
        <v>5.37</v>
      </c>
      <c r="M68" s="497">
        <v>5.08</v>
      </c>
      <c r="N68" s="497">
        <v>5.37</v>
      </c>
      <c r="O68" s="497">
        <v>5.34</v>
      </c>
      <c r="P68" s="497">
        <v>4.66</v>
      </c>
      <c r="Q68" s="202">
        <f t="shared" si="3"/>
        <v>5.7408333333333319</v>
      </c>
      <c r="R68" s="202" t="s">
        <v>984</v>
      </c>
    </row>
    <row r="69" spans="1:18" x14ac:dyDescent="0.15">
      <c r="A69" s="202" t="str">
        <f t="shared" si="2"/>
        <v>Guadalajara_Optimal Summer_180</v>
      </c>
      <c r="B69" s="580" t="s">
        <v>890</v>
      </c>
      <c r="C69" s="495">
        <v>6</v>
      </c>
      <c r="D69" s="495">
        <v>180</v>
      </c>
      <c r="E69" s="497">
        <v>5.12</v>
      </c>
      <c r="F69" s="497">
        <v>6.02</v>
      </c>
      <c r="G69" s="497">
        <v>6.97</v>
      </c>
      <c r="H69" s="497">
        <v>7.15</v>
      </c>
      <c r="I69" s="497">
        <v>7.04</v>
      </c>
      <c r="J69" s="497">
        <v>6.22</v>
      </c>
      <c r="K69" s="497">
        <v>5.66</v>
      </c>
      <c r="L69" s="497">
        <v>5.51</v>
      </c>
      <c r="M69" s="497">
        <v>5.21</v>
      </c>
      <c r="N69" s="497">
        <v>5.51</v>
      </c>
      <c r="O69" s="497">
        <v>5.48</v>
      </c>
      <c r="P69" s="497">
        <v>4.78</v>
      </c>
      <c r="Q69" s="202">
        <f t="shared" si="3"/>
        <v>5.8891666666666653</v>
      </c>
      <c r="R69" s="202" t="s">
        <v>984</v>
      </c>
    </row>
    <row r="70" spans="1:18" x14ac:dyDescent="0.15">
      <c r="A70" s="202" t="str">
        <f t="shared" si="2"/>
        <v>Guadalajara_Optimal Summer_202.5</v>
      </c>
      <c r="B70" s="580" t="s">
        <v>890</v>
      </c>
      <c r="C70" s="495">
        <v>6</v>
      </c>
      <c r="D70" s="495">
        <v>202.5</v>
      </c>
      <c r="E70" s="497">
        <v>4.99</v>
      </c>
      <c r="F70" s="497">
        <v>5.87</v>
      </c>
      <c r="G70" s="497">
        <v>6.8</v>
      </c>
      <c r="H70" s="497">
        <v>6.97</v>
      </c>
      <c r="I70" s="497">
        <v>6.86</v>
      </c>
      <c r="J70" s="497">
        <v>6.06</v>
      </c>
      <c r="K70" s="497">
        <v>5.52</v>
      </c>
      <c r="L70" s="497">
        <v>5.37</v>
      </c>
      <c r="M70" s="497">
        <v>5.08</v>
      </c>
      <c r="N70" s="497">
        <v>5.37</v>
      </c>
      <c r="O70" s="497">
        <v>5.34</v>
      </c>
      <c r="P70" s="497">
        <v>4.66</v>
      </c>
      <c r="Q70" s="202">
        <f t="shared" si="3"/>
        <v>5.7408333333333319</v>
      </c>
      <c r="R70" s="202" t="s">
        <v>984</v>
      </c>
    </row>
    <row r="71" spans="1:18" x14ac:dyDescent="0.15">
      <c r="A71" s="202" t="str">
        <f t="shared" si="2"/>
        <v>Guadalajara_Optimal Summer_225</v>
      </c>
      <c r="B71" s="580" t="s">
        <v>890</v>
      </c>
      <c r="C71" s="495">
        <v>6</v>
      </c>
      <c r="D71" s="495">
        <v>225</v>
      </c>
      <c r="E71" s="495">
        <v>4.8600000000000003</v>
      </c>
      <c r="F71" s="495">
        <v>5.72</v>
      </c>
      <c r="G71" s="495">
        <v>6.62</v>
      </c>
      <c r="H71" s="495">
        <v>6.79</v>
      </c>
      <c r="I71" s="495">
        <v>6.69</v>
      </c>
      <c r="J71" s="495">
        <v>5.91</v>
      </c>
      <c r="K71" s="495">
        <v>5.38</v>
      </c>
      <c r="L71" s="495">
        <v>5.23</v>
      </c>
      <c r="M71" s="495">
        <v>4.95</v>
      </c>
      <c r="N71" s="495">
        <v>5.23</v>
      </c>
      <c r="O71" s="495">
        <v>5.21</v>
      </c>
      <c r="P71" s="495">
        <v>4.54</v>
      </c>
      <c r="Q71" s="202">
        <f t="shared" si="3"/>
        <v>5.5941666666666672</v>
      </c>
      <c r="R71" s="202" t="s">
        <v>984</v>
      </c>
    </row>
    <row r="72" spans="1:18" x14ac:dyDescent="0.15">
      <c r="A72" s="202" t="str">
        <f t="shared" si="2"/>
        <v>Guadalajara_Optimal Summer_247.5</v>
      </c>
      <c r="B72" s="580" t="s">
        <v>890</v>
      </c>
      <c r="C72" s="495">
        <v>6</v>
      </c>
      <c r="D72" s="495">
        <v>247.5</v>
      </c>
      <c r="E72" s="495">
        <v>4.4800000000000004</v>
      </c>
      <c r="F72" s="495">
        <v>5.27</v>
      </c>
      <c r="G72" s="495">
        <v>6.1</v>
      </c>
      <c r="H72" s="495">
        <v>6.26</v>
      </c>
      <c r="I72" s="495">
        <v>6.16</v>
      </c>
      <c r="J72" s="495">
        <v>5.44</v>
      </c>
      <c r="K72" s="495">
        <v>4.95</v>
      </c>
      <c r="L72" s="495">
        <v>4.82</v>
      </c>
      <c r="M72" s="495">
        <v>4.5599999999999996</v>
      </c>
      <c r="N72" s="495">
        <v>4.82</v>
      </c>
      <c r="O72" s="495">
        <v>4.8</v>
      </c>
      <c r="P72" s="495">
        <v>4.18</v>
      </c>
      <c r="Q72" s="202">
        <f t="shared" si="3"/>
        <v>5.1533333333333333</v>
      </c>
      <c r="R72" s="202" t="s">
        <v>984</v>
      </c>
    </row>
    <row r="73" spans="1:18" x14ac:dyDescent="0.15">
      <c r="A73" s="202" t="str">
        <f t="shared" si="2"/>
        <v>Guadalajara_Optimal Summer_270</v>
      </c>
      <c r="B73" s="580" t="s">
        <v>890</v>
      </c>
      <c r="C73" s="495">
        <v>6</v>
      </c>
      <c r="D73" s="495">
        <v>270</v>
      </c>
      <c r="E73" s="495">
        <v>4.0999999999999996</v>
      </c>
      <c r="F73" s="495">
        <v>4.82</v>
      </c>
      <c r="G73" s="495">
        <v>5.58</v>
      </c>
      <c r="H73" s="495">
        <v>5.72</v>
      </c>
      <c r="I73" s="495">
        <v>5.63</v>
      </c>
      <c r="J73" s="495">
        <v>4.9800000000000004</v>
      </c>
      <c r="K73" s="495">
        <v>4.53</v>
      </c>
      <c r="L73" s="495">
        <v>4.41</v>
      </c>
      <c r="M73" s="495">
        <v>4.17</v>
      </c>
      <c r="N73" s="495">
        <v>4.41</v>
      </c>
      <c r="O73" s="495">
        <v>4.38</v>
      </c>
      <c r="P73" s="495">
        <v>3.82</v>
      </c>
      <c r="Q73" s="202">
        <f t="shared" si="3"/>
        <v>4.7124999999999995</v>
      </c>
      <c r="R73" s="202" t="s">
        <v>984</v>
      </c>
    </row>
    <row r="74" spans="1:18" x14ac:dyDescent="0.15">
      <c r="A74" s="202" t="str">
        <f t="shared" si="2"/>
        <v>Guadalajara_Optimal Year Round_90</v>
      </c>
      <c r="B74" s="580" t="s">
        <v>890</v>
      </c>
      <c r="C74" s="495">
        <v>21</v>
      </c>
      <c r="D74" s="495">
        <v>90</v>
      </c>
      <c r="E74" s="497">
        <v>4.76</v>
      </c>
      <c r="F74" s="497">
        <v>5.33</v>
      </c>
      <c r="G74" s="497">
        <v>5.83</v>
      </c>
      <c r="H74" s="497">
        <v>5.62</v>
      </c>
      <c r="I74" s="497">
        <v>5.26</v>
      </c>
      <c r="J74" s="497">
        <v>4.9400000000000004</v>
      </c>
      <c r="K74" s="497">
        <v>4.46</v>
      </c>
      <c r="L74" s="497">
        <v>4.26</v>
      </c>
      <c r="M74" s="497">
        <v>4.21</v>
      </c>
      <c r="N74" s="497">
        <v>4.74</v>
      </c>
      <c r="O74" s="497">
        <v>5.05</v>
      </c>
      <c r="P74" s="497">
        <v>4.46</v>
      </c>
      <c r="Q74" s="202">
        <f t="shared" si="3"/>
        <v>4.9099999999999993</v>
      </c>
      <c r="R74" s="202" t="s">
        <v>1019</v>
      </c>
    </row>
    <row r="75" spans="1:18" x14ac:dyDescent="0.15">
      <c r="A75" s="202" t="str">
        <f t="shared" si="2"/>
        <v>Guadalajara_Optimal Year Round_112.5</v>
      </c>
      <c r="B75" s="580" t="s">
        <v>890</v>
      </c>
      <c r="C75" s="495">
        <v>21</v>
      </c>
      <c r="D75" s="495">
        <v>112.5</v>
      </c>
      <c r="E75" s="497">
        <v>5.21</v>
      </c>
      <c r="F75" s="497">
        <v>5.83</v>
      </c>
      <c r="G75" s="497">
        <v>6.38</v>
      </c>
      <c r="H75" s="497">
        <v>6.15</v>
      </c>
      <c r="I75" s="497">
        <v>5.75</v>
      </c>
      <c r="J75" s="497">
        <v>5.41</v>
      </c>
      <c r="K75" s="497">
        <v>4.88</v>
      </c>
      <c r="L75" s="497">
        <v>4.66</v>
      </c>
      <c r="M75" s="497">
        <v>4.5999999999999996</v>
      </c>
      <c r="N75" s="497">
        <v>5.19</v>
      </c>
      <c r="O75" s="497">
        <v>5.52</v>
      </c>
      <c r="P75" s="497">
        <v>4.88</v>
      </c>
      <c r="Q75" s="202">
        <f t="shared" si="3"/>
        <v>5.371666666666667</v>
      </c>
      <c r="R75" s="202" t="s">
        <v>1019</v>
      </c>
    </row>
    <row r="76" spans="1:18" x14ac:dyDescent="0.15">
      <c r="A76" s="202" t="str">
        <f t="shared" si="2"/>
        <v>Guadalajara_Optimal Year Round_135</v>
      </c>
      <c r="B76" s="580" t="s">
        <v>890</v>
      </c>
      <c r="C76" s="495">
        <v>21</v>
      </c>
      <c r="D76" s="495">
        <v>135</v>
      </c>
      <c r="E76" s="497">
        <v>5.65</v>
      </c>
      <c r="F76" s="497">
        <v>6.33</v>
      </c>
      <c r="G76" s="497">
        <v>6.93</v>
      </c>
      <c r="H76" s="497">
        <v>6.68</v>
      </c>
      <c r="I76" s="497">
        <v>6.24</v>
      </c>
      <c r="J76" s="497">
        <v>5.87</v>
      </c>
      <c r="K76" s="497">
        <v>5.3</v>
      </c>
      <c r="L76" s="497">
        <v>5.0599999999999996</v>
      </c>
      <c r="M76" s="497">
        <v>5</v>
      </c>
      <c r="N76" s="497">
        <v>5.63</v>
      </c>
      <c r="O76" s="497">
        <v>5.99</v>
      </c>
      <c r="P76" s="497">
        <v>5.3</v>
      </c>
      <c r="Q76" s="202">
        <f t="shared" si="3"/>
        <v>5.8316666666666661</v>
      </c>
      <c r="R76" s="202" t="s">
        <v>1019</v>
      </c>
    </row>
    <row r="77" spans="1:18" x14ac:dyDescent="0.15">
      <c r="A77" s="202" t="str">
        <f t="shared" si="2"/>
        <v>Guadalajara_Optimal Year Round_157.5</v>
      </c>
      <c r="B77" s="580" t="s">
        <v>890</v>
      </c>
      <c r="C77" s="495">
        <v>21</v>
      </c>
      <c r="D77" s="495">
        <v>157.5</v>
      </c>
      <c r="E77" s="497">
        <v>5.8</v>
      </c>
      <c r="F77" s="497">
        <v>6.49</v>
      </c>
      <c r="G77" s="497">
        <v>7.11</v>
      </c>
      <c r="H77" s="497">
        <v>6.85</v>
      </c>
      <c r="I77" s="497">
        <v>6.41</v>
      </c>
      <c r="J77" s="497">
        <v>6.03</v>
      </c>
      <c r="K77" s="497">
        <v>5.44</v>
      </c>
      <c r="L77" s="497">
        <v>5.2</v>
      </c>
      <c r="M77" s="497">
        <v>5.13</v>
      </c>
      <c r="N77" s="497">
        <v>5.78</v>
      </c>
      <c r="O77" s="497">
        <v>6.15</v>
      </c>
      <c r="P77" s="497">
        <v>5.44</v>
      </c>
      <c r="Q77" s="202">
        <f t="shared" si="3"/>
        <v>5.9858333333333329</v>
      </c>
      <c r="R77" s="202" t="s">
        <v>1019</v>
      </c>
    </row>
    <row r="78" spans="1:18" x14ac:dyDescent="0.15">
      <c r="A78" s="202" t="str">
        <f t="shared" si="2"/>
        <v>Guadalajara_Optimal Year Round_180</v>
      </c>
      <c r="B78" s="580" t="s">
        <v>890</v>
      </c>
      <c r="C78" s="495">
        <v>21</v>
      </c>
      <c r="D78" s="495">
        <v>180</v>
      </c>
      <c r="E78" s="497">
        <v>5.95</v>
      </c>
      <c r="F78" s="497">
        <v>6.66</v>
      </c>
      <c r="G78" s="497">
        <v>7.29</v>
      </c>
      <c r="H78" s="497">
        <v>7.03</v>
      </c>
      <c r="I78" s="497">
        <v>6.57</v>
      </c>
      <c r="J78" s="497">
        <v>6.18</v>
      </c>
      <c r="K78" s="497">
        <v>5.58</v>
      </c>
      <c r="L78" s="497">
        <v>5.33</v>
      </c>
      <c r="M78" s="497">
        <v>5.26</v>
      </c>
      <c r="N78" s="497">
        <v>5.93</v>
      </c>
      <c r="O78" s="497">
        <v>6.31</v>
      </c>
      <c r="P78" s="497">
        <v>5.58</v>
      </c>
      <c r="Q78" s="202">
        <f t="shared" si="3"/>
        <v>6.1391666666666653</v>
      </c>
      <c r="R78" s="202" t="s">
        <v>1019</v>
      </c>
    </row>
    <row r="79" spans="1:18" x14ac:dyDescent="0.15">
      <c r="A79" s="202" t="str">
        <f t="shared" si="2"/>
        <v>Guadalajara_Optimal Year Round_202.5</v>
      </c>
      <c r="B79" s="580" t="s">
        <v>890</v>
      </c>
      <c r="C79" s="495">
        <v>21</v>
      </c>
      <c r="D79" s="495">
        <v>202.5</v>
      </c>
      <c r="E79" s="497">
        <v>5.8</v>
      </c>
      <c r="F79" s="497">
        <v>6.49</v>
      </c>
      <c r="G79" s="497">
        <v>7.11</v>
      </c>
      <c r="H79" s="497">
        <v>6.85</v>
      </c>
      <c r="I79" s="497">
        <v>6.41</v>
      </c>
      <c r="J79" s="497">
        <v>6.03</v>
      </c>
      <c r="K79" s="497">
        <v>5.44</v>
      </c>
      <c r="L79" s="497">
        <v>5.2</v>
      </c>
      <c r="M79" s="497">
        <v>5.13</v>
      </c>
      <c r="N79" s="497">
        <v>5.78</v>
      </c>
      <c r="O79" s="497">
        <v>6.15</v>
      </c>
      <c r="P79" s="497">
        <v>5.44</v>
      </c>
      <c r="Q79" s="202">
        <f t="shared" si="3"/>
        <v>5.9858333333333329</v>
      </c>
      <c r="R79" s="202" t="s">
        <v>1019</v>
      </c>
    </row>
    <row r="80" spans="1:18" x14ac:dyDescent="0.15">
      <c r="A80" s="202" t="str">
        <f t="shared" si="2"/>
        <v>Guadalajara_Optimal Year Round_225</v>
      </c>
      <c r="B80" s="580" t="s">
        <v>890</v>
      </c>
      <c r="C80" s="495">
        <v>21</v>
      </c>
      <c r="D80" s="495">
        <v>225</v>
      </c>
      <c r="E80" s="495">
        <v>5.65</v>
      </c>
      <c r="F80" s="495">
        <v>6.33</v>
      </c>
      <c r="G80" s="495">
        <v>6.93</v>
      </c>
      <c r="H80" s="495">
        <v>6.68</v>
      </c>
      <c r="I80" s="495">
        <v>6.24</v>
      </c>
      <c r="J80" s="495">
        <v>5.87</v>
      </c>
      <c r="K80" s="495">
        <v>5.3</v>
      </c>
      <c r="L80" s="495">
        <v>5.0599999999999996</v>
      </c>
      <c r="M80" s="495">
        <v>5</v>
      </c>
      <c r="N80" s="495">
        <v>5.63</v>
      </c>
      <c r="O80" s="495">
        <v>5.99</v>
      </c>
      <c r="P80" s="495">
        <v>5.3</v>
      </c>
      <c r="Q80" s="202">
        <f t="shared" si="3"/>
        <v>5.8316666666666661</v>
      </c>
      <c r="R80" s="202" t="s">
        <v>1019</v>
      </c>
    </row>
    <row r="81" spans="1:18" x14ac:dyDescent="0.15">
      <c r="A81" s="202" t="str">
        <f t="shared" si="2"/>
        <v>Guadalajara_Optimal Year Round_247.5</v>
      </c>
      <c r="B81" s="580" t="s">
        <v>890</v>
      </c>
      <c r="C81" s="495">
        <v>21</v>
      </c>
      <c r="D81" s="495">
        <v>247.5</v>
      </c>
      <c r="E81" s="495">
        <v>5.21</v>
      </c>
      <c r="F81" s="495">
        <v>5.83</v>
      </c>
      <c r="G81" s="495">
        <v>6.38</v>
      </c>
      <c r="H81" s="495">
        <v>6.15</v>
      </c>
      <c r="I81" s="495">
        <v>5.75</v>
      </c>
      <c r="J81" s="495">
        <v>5.41</v>
      </c>
      <c r="K81" s="495">
        <v>4.88</v>
      </c>
      <c r="L81" s="495">
        <v>4.66</v>
      </c>
      <c r="M81" s="495">
        <v>4.5999999999999996</v>
      </c>
      <c r="N81" s="495">
        <v>5.19</v>
      </c>
      <c r="O81" s="495">
        <v>5.52</v>
      </c>
      <c r="P81" s="495">
        <v>4.88</v>
      </c>
      <c r="Q81" s="202">
        <f t="shared" si="3"/>
        <v>5.371666666666667</v>
      </c>
      <c r="R81" s="202" t="s">
        <v>1019</v>
      </c>
    </row>
    <row r="82" spans="1:18" x14ac:dyDescent="0.15">
      <c r="A82" s="202" t="str">
        <f t="shared" si="2"/>
        <v>Guadalajara_Optimal Year Round_270</v>
      </c>
      <c r="B82" s="580" t="s">
        <v>890</v>
      </c>
      <c r="C82" s="495">
        <v>21</v>
      </c>
      <c r="D82" s="495">
        <v>270</v>
      </c>
      <c r="E82" s="495">
        <v>4.76</v>
      </c>
      <c r="F82" s="495">
        <v>5.33</v>
      </c>
      <c r="G82" s="495">
        <v>5.83</v>
      </c>
      <c r="H82" s="495">
        <v>5.62</v>
      </c>
      <c r="I82" s="495">
        <v>5.26</v>
      </c>
      <c r="J82" s="495">
        <v>4.9400000000000004</v>
      </c>
      <c r="K82" s="495">
        <v>4.46</v>
      </c>
      <c r="L82" s="495">
        <v>4.26</v>
      </c>
      <c r="M82" s="495">
        <v>4.21</v>
      </c>
      <c r="N82" s="495">
        <v>4.74</v>
      </c>
      <c r="O82" s="495">
        <v>5.05</v>
      </c>
      <c r="P82" s="495">
        <v>4.46</v>
      </c>
      <c r="Q82" s="202">
        <f t="shared" si="3"/>
        <v>4.9099999999999993</v>
      </c>
      <c r="R82" s="202" t="s">
        <v>1019</v>
      </c>
    </row>
    <row r="83" spans="1:18" x14ac:dyDescent="0.15">
      <c r="A83" s="202" t="str">
        <f t="shared" si="2"/>
        <v>Leon_Flat Surface_90</v>
      </c>
      <c r="B83" s="580" t="s">
        <v>1014</v>
      </c>
      <c r="C83" s="495">
        <v>0</v>
      </c>
      <c r="D83" s="495">
        <v>90</v>
      </c>
      <c r="E83" s="497">
        <v>4.51</v>
      </c>
      <c r="F83" s="497">
        <v>5.59</v>
      </c>
      <c r="G83" s="497">
        <v>6.56</v>
      </c>
      <c r="H83" s="497">
        <v>6.76</v>
      </c>
      <c r="I83" s="497">
        <v>6.81</v>
      </c>
      <c r="J83" s="497">
        <v>6.33</v>
      </c>
      <c r="K83" s="497">
        <v>6.03</v>
      </c>
      <c r="L83" s="497">
        <v>5.88</v>
      </c>
      <c r="M83" s="497">
        <v>5.34</v>
      </c>
      <c r="N83" s="497">
        <v>5.26</v>
      </c>
      <c r="O83" s="497">
        <v>5.01</v>
      </c>
      <c r="P83" s="497">
        <v>4.43</v>
      </c>
      <c r="Q83" s="202">
        <f t="shared" si="3"/>
        <v>5.7091666666666656</v>
      </c>
      <c r="R83" s="202" t="s">
        <v>1020</v>
      </c>
    </row>
    <row r="84" spans="1:18" x14ac:dyDescent="0.15">
      <c r="A84" s="202" t="str">
        <f t="shared" si="2"/>
        <v>Leon_Flat Surface_112.5</v>
      </c>
      <c r="B84" s="580" t="s">
        <v>1014</v>
      </c>
      <c r="C84" s="495">
        <v>0</v>
      </c>
      <c r="D84" s="495">
        <v>112.5</v>
      </c>
      <c r="E84" s="497">
        <v>4.51</v>
      </c>
      <c r="F84" s="497">
        <v>5.59</v>
      </c>
      <c r="G84" s="497">
        <v>6.56</v>
      </c>
      <c r="H84" s="497">
        <v>6.76</v>
      </c>
      <c r="I84" s="497">
        <v>6.81</v>
      </c>
      <c r="J84" s="497">
        <v>6.33</v>
      </c>
      <c r="K84" s="497">
        <v>6.03</v>
      </c>
      <c r="L84" s="497">
        <v>5.88</v>
      </c>
      <c r="M84" s="497">
        <v>5.34</v>
      </c>
      <c r="N84" s="497">
        <v>5.26</v>
      </c>
      <c r="O84" s="497">
        <v>5.01</v>
      </c>
      <c r="P84" s="497">
        <v>4.43</v>
      </c>
      <c r="Q84" s="202">
        <f t="shared" si="3"/>
        <v>5.7091666666666656</v>
      </c>
      <c r="R84" s="202" t="s">
        <v>1020</v>
      </c>
    </row>
    <row r="85" spans="1:18" x14ac:dyDescent="0.15">
      <c r="A85" s="202" t="str">
        <f t="shared" si="2"/>
        <v>Leon_Flat Surface_135</v>
      </c>
      <c r="B85" s="580" t="s">
        <v>1014</v>
      </c>
      <c r="C85" s="495">
        <v>0</v>
      </c>
      <c r="D85" s="495">
        <v>135</v>
      </c>
      <c r="E85" s="497">
        <v>4.51</v>
      </c>
      <c r="F85" s="497">
        <v>5.59</v>
      </c>
      <c r="G85" s="497">
        <v>6.56</v>
      </c>
      <c r="H85" s="497">
        <v>6.76</v>
      </c>
      <c r="I85" s="497">
        <v>6.81</v>
      </c>
      <c r="J85" s="497">
        <v>6.33</v>
      </c>
      <c r="K85" s="497">
        <v>6.03</v>
      </c>
      <c r="L85" s="497">
        <v>5.88</v>
      </c>
      <c r="M85" s="497">
        <v>5.34</v>
      </c>
      <c r="N85" s="497">
        <v>5.26</v>
      </c>
      <c r="O85" s="497">
        <v>5.01</v>
      </c>
      <c r="P85" s="497">
        <v>4.43</v>
      </c>
      <c r="Q85" s="202">
        <f t="shared" si="3"/>
        <v>5.7091666666666656</v>
      </c>
      <c r="R85" s="202" t="s">
        <v>1020</v>
      </c>
    </row>
    <row r="86" spans="1:18" x14ac:dyDescent="0.15">
      <c r="A86" s="202" t="str">
        <f t="shared" si="2"/>
        <v>Leon_Flat Surface_157.5</v>
      </c>
      <c r="B86" s="580" t="s">
        <v>1014</v>
      </c>
      <c r="C86" s="495">
        <v>0</v>
      </c>
      <c r="D86" s="495">
        <v>157.5</v>
      </c>
      <c r="E86" s="497">
        <v>4.51</v>
      </c>
      <c r="F86" s="497">
        <v>5.59</v>
      </c>
      <c r="G86" s="497">
        <v>6.56</v>
      </c>
      <c r="H86" s="497">
        <v>6.76</v>
      </c>
      <c r="I86" s="497">
        <v>6.81</v>
      </c>
      <c r="J86" s="497">
        <v>6.33</v>
      </c>
      <c r="K86" s="497">
        <v>6.03</v>
      </c>
      <c r="L86" s="497">
        <v>5.88</v>
      </c>
      <c r="M86" s="497">
        <v>5.34</v>
      </c>
      <c r="N86" s="497">
        <v>5.26</v>
      </c>
      <c r="O86" s="497">
        <v>5.01</v>
      </c>
      <c r="P86" s="497">
        <v>4.43</v>
      </c>
      <c r="Q86" s="202">
        <f t="shared" si="3"/>
        <v>5.7091666666666656</v>
      </c>
      <c r="R86" s="202" t="s">
        <v>1020</v>
      </c>
    </row>
    <row r="87" spans="1:18" x14ac:dyDescent="0.15">
      <c r="A87" s="202" t="str">
        <f t="shared" si="2"/>
        <v>Leon_Flat Surface_180</v>
      </c>
      <c r="B87" s="580" t="s">
        <v>1014</v>
      </c>
      <c r="C87" s="495">
        <v>0</v>
      </c>
      <c r="D87" s="495">
        <v>180</v>
      </c>
      <c r="E87" s="497">
        <v>4.51</v>
      </c>
      <c r="F87" s="497">
        <v>5.59</v>
      </c>
      <c r="G87" s="497">
        <v>6.56</v>
      </c>
      <c r="H87" s="497">
        <v>6.76</v>
      </c>
      <c r="I87" s="497">
        <v>6.81</v>
      </c>
      <c r="J87" s="497">
        <v>6.33</v>
      </c>
      <c r="K87" s="497">
        <v>6.03</v>
      </c>
      <c r="L87" s="497">
        <v>5.88</v>
      </c>
      <c r="M87" s="497">
        <v>5.34</v>
      </c>
      <c r="N87" s="497">
        <v>5.26</v>
      </c>
      <c r="O87" s="497">
        <v>5.01</v>
      </c>
      <c r="P87" s="497">
        <v>4.43</v>
      </c>
      <c r="Q87" s="202">
        <f t="shared" si="3"/>
        <v>5.7091666666666656</v>
      </c>
      <c r="R87" s="202" t="s">
        <v>1020</v>
      </c>
    </row>
    <row r="88" spans="1:18" x14ac:dyDescent="0.15">
      <c r="A88" s="202" t="str">
        <f t="shared" si="2"/>
        <v>Leon_Flat Surface_202.5</v>
      </c>
      <c r="B88" s="580" t="s">
        <v>1014</v>
      </c>
      <c r="C88" s="495">
        <v>0</v>
      </c>
      <c r="D88" s="495">
        <v>202.5</v>
      </c>
      <c r="E88" s="497">
        <v>4.51</v>
      </c>
      <c r="F88" s="497">
        <v>5.59</v>
      </c>
      <c r="G88" s="497">
        <v>6.56</v>
      </c>
      <c r="H88" s="497">
        <v>6.76</v>
      </c>
      <c r="I88" s="497">
        <v>6.81</v>
      </c>
      <c r="J88" s="497">
        <v>6.33</v>
      </c>
      <c r="K88" s="497">
        <v>6.03</v>
      </c>
      <c r="L88" s="497">
        <v>5.88</v>
      </c>
      <c r="M88" s="497">
        <v>5.34</v>
      </c>
      <c r="N88" s="497">
        <v>5.26</v>
      </c>
      <c r="O88" s="497">
        <v>5.01</v>
      </c>
      <c r="P88" s="497">
        <v>4.43</v>
      </c>
      <c r="Q88" s="202">
        <f t="shared" si="3"/>
        <v>5.7091666666666656</v>
      </c>
      <c r="R88" s="202" t="s">
        <v>1020</v>
      </c>
    </row>
    <row r="89" spans="1:18" x14ac:dyDescent="0.15">
      <c r="A89" s="202" t="str">
        <f t="shared" si="2"/>
        <v>Leon_Flat Surface_225</v>
      </c>
      <c r="B89" s="580" t="s">
        <v>1014</v>
      </c>
      <c r="C89" s="495">
        <v>0</v>
      </c>
      <c r="D89" s="495">
        <v>225</v>
      </c>
      <c r="E89" s="497">
        <v>4.51</v>
      </c>
      <c r="F89" s="497">
        <v>5.59</v>
      </c>
      <c r="G89" s="497">
        <v>6.56</v>
      </c>
      <c r="H89" s="497">
        <v>6.76</v>
      </c>
      <c r="I89" s="497">
        <v>6.81</v>
      </c>
      <c r="J89" s="497">
        <v>6.33</v>
      </c>
      <c r="K89" s="497">
        <v>6.03</v>
      </c>
      <c r="L89" s="497">
        <v>5.88</v>
      </c>
      <c r="M89" s="497">
        <v>5.34</v>
      </c>
      <c r="N89" s="497">
        <v>5.26</v>
      </c>
      <c r="O89" s="497">
        <v>5.01</v>
      </c>
      <c r="P89" s="497">
        <v>4.43</v>
      </c>
      <c r="Q89" s="202">
        <f t="shared" si="3"/>
        <v>5.7091666666666656</v>
      </c>
      <c r="R89" s="202" t="s">
        <v>1020</v>
      </c>
    </row>
    <row r="90" spans="1:18" x14ac:dyDescent="0.15">
      <c r="A90" s="202" t="str">
        <f t="shared" si="2"/>
        <v>Leon_Flat Surface_247.5</v>
      </c>
      <c r="B90" s="580" t="s">
        <v>1014</v>
      </c>
      <c r="C90" s="495">
        <v>0</v>
      </c>
      <c r="D90" s="495">
        <v>247.5</v>
      </c>
      <c r="E90" s="497">
        <v>4.51</v>
      </c>
      <c r="F90" s="497">
        <v>5.59</v>
      </c>
      <c r="G90" s="497">
        <v>6.56</v>
      </c>
      <c r="H90" s="497">
        <v>6.76</v>
      </c>
      <c r="I90" s="497">
        <v>6.81</v>
      </c>
      <c r="J90" s="497">
        <v>6.33</v>
      </c>
      <c r="K90" s="497">
        <v>6.03</v>
      </c>
      <c r="L90" s="497">
        <v>5.88</v>
      </c>
      <c r="M90" s="497">
        <v>5.34</v>
      </c>
      <c r="N90" s="497">
        <v>5.26</v>
      </c>
      <c r="O90" s="497">
        <v>5.01</v>
      </c>
      <c r="P90" s="497">
        <v>4.43</v>
      </c>
      <c r="Q90" s="202">
        <f t="shared" si="3"/>
        <v>5.7091666666666656</v>
      </c>
      <c r="R90" s="202" t="s">
        <v>1020</v>
      </c>
    </row>
    <row r="91" spans="1:18" x14ac:dyDescent="0.15">
      <c r="A91" s="202" t="str">
        <f t="shared" si="2"/>
        <v>Leon_Flat Surface_270</v>
      </c>
      <c r="B91" s="580" t="s">
        <v>1014</v>
      </c>
      <c r="C91" s="495">
        <v>0</v>
      </c>
      <c r="D91" s="495">
        <v>270</v>
      </c>
      <c r="E91" s="497">
        <v>4.51</v>
      </c>
      <c r="F91" s="497">
        <v>5.59</v>
      </c>
      <c r="G91" s="497">
        <v>6.56</v>
      </c>
      <c r="H91" s="497">
        <v>6.76</v>
      </c>
      <c r="I91" s="497">
        <v>6.81</v>
      </c>
      <c r="J91" s="497">
        <v>6.33</v>
      </c>
      <c r="K91" s="497">
        <v>6.03</v>
      </c>
      <c r="L91" s="497">
        <v>5.88</v>
      </c>
      <c r="M91" s="497">
        <v>5.34</v>
      </c>
      <c r="N91" s="497">
        <v>5.26</v>
      </c>
      <c r="O91" s="497">
        <v>5.01</v>
      </c>
      <c r="P91" s="497">
        <v>4.43</v>
      </c>
      <c r="Q91" s="202">
        <f t="shared" si="3"/>
        <v>5.7091666666666656</v>
      </c>
      <c r="R91" s="202" t="s">
        <v>1020</v>
      </c>
    </row>
    <row r="92" spans="1:18" x14ac:dyDescent="0.15">
      <c r="A92" s="202" t="str">
        <f t="shared" si="2"/>
        <v>Leon_Optimal Summer_90</v>
      </c>
      <c r="B92" s="580" t="s">
        <v>1014</v>
      </c>
      <c r="C92" s="495">
        <v>6</v>
      </c>
      <c r="D92" s="495">
        <v>90</v>
      </c>
      <c r="E92" s="497">
        <v>3.9</v>
      </c>
      <c r="F92" s="497">
        <v>4.75</v>
      </c>
      <c r="G92" s="497">
        <v>5.42</v>
      </c>
      <c r="H92" s="497">
        <v>5.45</v>
      </c>
      <c r="I92" s="497">
        <v>5.38</v>
      </c>
      <c r="J92" s="497">
        <v>5.1100000000000003</v>
      </c>
      <c r="K92" s="497">
        <v>4.8600000000000003</v>
      </c>
      <c r="L92" s="497">
        <v>4.7</v>
      </c>
      <c r="M92" s="497">
        <v>4.3499999999999996</v>
      </c>
      <c r="N92" s="497">
        <v>4.4000000000000004</v>
      </c>
      <c r="O92" s="497">
        <v>4.34</v>
      </c>
      <c r="P92" s="497">
        <v>3.86</v>
      </c>
      <c r="Q92" s="202">
        <f t="shared" si="3"/>
        <v>4.71</v>
      </c>
      <c r="R92" s="202" t="s">
        <v>984</v>
      </c>
    </row>
    <row r="93" spans="1:18" x14ac:dyDescent="0.15">
      <c r="A93" s="202" t="str">
        <f t="shared" si="2"/>
        <v>Leon_Optimal Summer_112.5</v>
      </c>
      <c r="B93" s="580" t="s">
        <v>1014</v>
      </c>
      <c r="C93" s="495">
        <v>6</v>
      </c>
      <c r="D93" s="495">
        <v>112.5</v>
      </c>
      <c r="E93" s="497">
        <v>4.26</v>
      </c>
      <c r="F93" s="497">
        <v>5.2</v>
      </c>
      <c r="G93" s="497">
        <v>5.93</v>
      </c>
      <c r="H93" s="497">
        <v>5.96</v>
      </c>
      <c r="I93" s="497">
        <v>5.89</v>
      </c>
      <c r="J93" s="497">
        <v>5.59</v>
      </c>
      <c r="K93" s="497">
        <v>5.31</v>
      </c>
      <c r="L93" s="497">
        <v>5.14</v>
      </c>
      <c r="M93" s="497">
        <v>4.76</v>
      </c>
      <c r="N93" s="497">
        <v>4.8099999999999996</v>
      </c>
      <c r="O93" s="497">
        <v>4.74</v>
      </c>
      <c r="P93" s="497">
        <v>4.2300000000000004</v>
      </c>
      <c r="Q93" s="202">
        <f t="shared" si="3"/>
        <v>5.1516666666666673</v>
      </c>
      <c r="R93" s="202" t="s">
        <v>984</v>
      </c>
    </row>
    <row r="94" spans="1:18" x14ac:dyDescent="0.15">
      <c r="A94" s="202" t="str">
        <f t="shared" si="2"/>
        <v>Leon_Optimal Summer_135</v>
      </c>
      <c r="B94" s="580" t="s">
        <v>1014</v>
      </c>
      <c r="C94" s="495">
        <v>6</v>
      </c>
      <c r="D94" s="495">
        <v>135</v>
      </c>
      <c r="E94" s="497">
        <v>4.63</v>
      </c>
      <c r="F94" s="497">
        <v>5.64</v>
      </c>
      <c r="G94" s="497">
        <v>6.44</v>
      </c>
      <c r="H94" s="497">
        <v>6.47</v>
      </c>
      <c r="I94" s="497">
        <v>6.39</v>
      </c>
      <c r="J94" s="497">
        <v>6.07</v>
      </c>
      <c r="K94" s="497">
        <v>5.77</v>
      </c>
      <c r="L94" s="497">
        <v>5.59</v>
      </c>
      <c r="M94" s="497">
        <v>5.17</v>
      </c>
      <c r="N94" s="497">
        <v>5.22</v>
      </c>
      <c r="O94" s="497">
        <v>5.15</v>
      </c>
      <c r="P94" s="497">
        <v>4.59</v>
      </c>
      <c r="Q94" s="202">
        <f t="shared" si="3"/>
        <v>5.5941666666666663</v>
      </c>
      <c r="R94" s="202" t="s">
        <v>984</v>
      </c>
    </row>
    <row r="95" spans="1:18" x14ac:dyDescent="0.15">
      <c r="A95" s="202" t="str">
        <f t="shared" si="2"/>
        <v>Leon_Optimal Summer_157.5</v>
      </c>
      <c r="B95" s="580" t="s">
        <v>1014</v>
      </c>
      <c r="C95" s="495">
        <v>6</v>
      </c>
      <c r="D95" s="495">
        <v>157.5</v>
      </c>
      <c r="E95" s="497">
        <v>4.75</v>
      </c>
      <c r="F95" s="497">
        <v>5.79</v>
      </c>
      <c r="G95" s="497">
        <v>6.61</v>
      </c>
      <c r="H95" s="497">
        <v>6.64</v>
      </c>
      <c r="I95" s="497">
        <v>6.56</v>
      </c>
      <c r="J95" s="497">
        <v>6.23</v>
      </c>
      <c r="K95" s="497">
        <v>5.92</v>
      </c>
      <c r="L95" s="497">
        <v>5.73</v>
      </c>
      <c r="M95" s="497">
        <v>5.3</v>
      </c>
      <c r="N95" s="497">
        <v>5.36</v>
      </c>
      <c r="O95" s="497">
        <v>5.28</v>
      </c>
      <c r="P95" s="497">
        <v>4.71</v>
      </c>
      <c r="Q95" s="202">
        <f t="shared" si="3"/>
        <v>5.7399999999999993</v>
      </c>
      <c r="R95" s="202" t="s">
        <v>984</v>
      </c>
    </row>
    <row r="96" spans="1:18" x14ac:dyDescent="0.15">
      <c r="A96" s="202" t="str">
        <f t="shared" si="2"/>
        <v>Leon_Optimal Summer_180</v>
      </c>
      <c r="B96" s="580" t="s">
        <v>1014</v>
      </c>
      <c r="C96" s="495">
        <v>6</v>
      </c>
      <c r="D96" s="495">
        <v>180</v>
      </c>
      <c r="E96" s="497">
        <v>4.87</v>
      </c>
      <c r="F96" s="497">
        <v>5.94</v>
      </c>
      <c r="G96" s="497">
        <v>6.78</v>
      </c>
      <c r="H96" s="497">
        <v>6.81</v>
      </c>
      <c r="I96" s="497">
        <v>6.73</v>
      </c>
      <c r="J96" s="497">
        <v>6.39</v>
      </c>
      <c r="K96" s="497">
        <v>6.07</v>
      </c>
      <c r="L96" s="497">
        <v>5.88</v>
      </c>
      <c r="M96" s="497">
        <v>5.44</v>
      </c>
      <c r="N96" s="497">
        <v>5.5</v>
      </c>
      <c r="O96" s="497">
        <v>5.42</v>
      </c>
      <c r="P96" s="497">
        <v>4.83</v>
      </c>
      <c r="Q96" s="202">
        <f t="shared" si="3"/>
        <v>5.8883333333333328</v>
      </c>
      <c r="R96" s="202" t="s">
        <v>984</v>
      </c>
    </row>
    <row r="97" spans="1:18" x14ac:dyDescent="0.15">
      <c r="A97" s="202" t="str">
        <f t="shared" si="2"/>
        <v>Leon_Optimal Summer_202.5</v>
      </c>
      <c r="B97" s="580" t="s">
        <v>1014</v>
      </c>
      <c r="C97" s="495">
        <v>6</v>
      </c>
      <c r="D97" s="495">
        <v>202.5</v>
      </c>
      <c r="E97" s="497">
        <v>4.75</v>
      </c>
      <c r="F97" s="497">
        <v>5.79</v>
      </c>
      <c r="G97" s="497">
        <v>6.61</v>
      </c>
      <c r="H97" s="497">
        <v>6.64</v>
      </c>
      <c r="I97" s="497">
        <v>6.56</v>
      </c>
      <c r="J97" s="497">
        <v>6.23</v>
      </c>
      <c r="K97" s="497">
        <v>5.92</v>
      </c>
      <c r="L97" s="497">
        <v>5.73</v>
      </c>
      <c r="M97" s="497">
        <v>5.3</v>
      </c>
      <c r="N97" s="497">
        <v>5.36</v>
      </c>
      <c r="O97" s="497">
        <v>5.28</v>
      </c>
      <c r="P97" s="497">
        <v>4.71</v>
      </c>
      <c r="Q97" s="202">
        <f t="shared" si="3"/>
        <v>5.7399999999999993</v>
      </c>
      <c r="R97" s="202" t="s">
        <v>984</v>
      </c>
    </row>
    <row r="98" spans="1:18" x14ac:dyDescent="0.15">
      <c r="A98" s="202" t="str">
        <f t="shared" si="2"/>
        <v>Leon_Optimal Summer_225</v>
      </c>
      <c r="B98" s="580" t="s">
        <v>1014</v>
      </c>
      <c r="C98" s="495">
        <v>6</v>
      </c>
      <c r="D98" s="495">
        <v>225</v>
      </c>
      <c r="E98" s="495">
        <v>4.63</v>
      </c>
      <c r="F98" s="495">
        <v>5.64</v>
      </c>
      <c r="G98" s="495">
        <v>6.44</v>
      </c>
      <c r="H98" s="495">
        <v>6.47</v>
      </c>
      <c r="I98" s="495">
        <v>6.39</v>
      </c>
      <c r="J98" s="495">
        <v>6.07</v>
      </c>
      <c r="K98" s="495">
        <v>5.77</v>
      </c>
      <c r="L98" s="495">
        <v>5.59</v>
      </c>
      <c r="M98" s="495">
        <v>5.17</v>
      </c>
      <c r="N98" s="495">
        <v>5.22</v>
      </c>
      <c r="O98" s="495">
        <v>5.15</v>
      </c>
      <c r="P98" s="495">
        <v>4.59</v>
      </c>
      <c r="Q98" s="202">
        <f t="shared" si="3"/>
        <v>5.5941666666666663</v>
      </c>
      <c r="R98" s="202" t="s">
        <v>984</v>
      </c>
    </row>
    <row r="99" spans="1:18" x14ac:dyDescent="0.15">
      <c r="A99" s="202" t="str">
        <f t="shared" si="2"/>
        <v>Leon_Optimal Summer_247.5</v>
      </c>
      <c r="B99" s="580" t="s">
        <v>1014</v>
      </c>
      <c r="C99" s="495">
        <v>6</v>
      </c>
      <c r="D99" s="495">
        <v>247.5</v>
      </c>
      <c r="E99" s="495">
        <v>4.26</v>
      </c>
      <c r="F99" s="495">
        <v>5.2</v>
      </c>
      <c r="G99" s="495">
        <v>5.93</v>
      </c>
      <c r="H99" s="495">
        <v>5.96</v>
      </c>
      <c r="I99" s="495">
        <v>5.89</v>
      </c>
      <c r="J99" s="495">
        <v>5.59</v>
      </c>
      <c r="K99" s="495">
        <v>5.31</v>
      </c>
      <c r="L99" s="495">
        <v>5.14</v>
      </c>
      <c r="M99" s="495">
        <v>4.76</v>
      </c>
      <c r="N99" s="495">
        <v>4.8099999999999996</v>
      </c>
      <c r="O99" s="495">
        <v>4.74</v>
      </c>
      <c r="P99" s="495">
        <v>4.2300000000000004</v>
      </c>
      <c r="Q99" s="202">
        <f t="shared" si="3"/>
        <v>5.1516666666666673</v>
      </c>
      <c r="R99" s="202" t="s">
        <v>984</v>
      </c>
    </row>
    <row r="100" spans="1:18" x14ac:dyDescent="0.15">
      <c r="A100" s="202" t="str">
        <f t="shared" si="2"/>
        <v>Leon_Optimal Summer_270</v>
      </c>
      <c r="B100" s="580" t="s">
        <v>1014</v>
      </c>
      <c r="C100" s="495">
        <v>6</v>
      </c>
      <c r="D100" s="495">
        <v>270</v>
      </c>
      <c r="E100" s="495">
        <v>3.9</v>
      </c>
      <c r="F100" s="495">
        <v>4.75</v>
      </c>
      <c r="G100" s="495">
        <v>5.42</v>
      </c>
      <c r="H100" s="495">
        <v>5.45</v>
      </c>
      <c r="I100" s="495">
        <v>5.38</v>
      </c>
      <c r="J100" s="495">
        <v>5.1100000000000003</v>
      </c>
      <c r="K100" s="495">
        <v>4.8600000000000003</v>
      </c>
      <c r="L100" s="495">
        <v>4.7</v>
      </c>
      <c r="M100" s="495">
        <v>4.3499999999999996</v>
      </c>
      <c r="N100" s="495">
        <v>4.4000000000000004</v>
      </c>
      <c r="O100" s="495">
        <v>4.34</v>
      </c>
      <c r="P100" s="495">
        <v>3.86</v>
      </c>
      <c r="Q100" s="202">
        <f t="shared" si="3"/>
        <v>4.71</v>
      </c>
      <c r="R100" s="202" t="s">
        <v>984</v>
      </c>
    </row>
    <row r="101" spans="1:18" x14ac:dyDescent="0.15">
      <c r="A101" s="202" t="str">
        <f t="shared" si="2"/>
        <v>Leon_Optimal Year Round_90</v>
      </c>
      <c r="B101" s="580" t="s">
        <v>1014</v>
      </c>
      <c r="C101" s="495">
        <v>21</v>
      </c>
      <c r="D101" s="495">
        <v>90</v>
      </c>
      <c r="E101" s="497">
        <v>4.46</v>
      </c>
      <c r="F101" s="497">
        <v>5.24</v>
      </c>
      <c r="G101" s="497">
        <v>5.65</v>
      </c>
      <c r="H101" s="497">
        <v>5.34</v>
      </c>
      <c r="I101" s="497">
        <v>5.03</v>
      </c>
      <c r="J101" s="497">
        <v>5.0599999999999996</v>
      </c>
      <c r="K101" s="497">
        <v>4.7699999999999996</v>
      </c>
      <c r="L101" s="497">
        <v>4.54</v>
      </c>
      <c r="M101" s="497">
        <v>4.3899999999999997</v>
      </c>
      <c r="N101" s="497">
        <v>4.7300000000000004</v>
      </c>
      <c r="O101" s="497">
        <v>4.9800000000000004</v>
      </c>
      <c r="P101" s="497">
        <v>4.5</v>
      </c>
      <c r="Q101" s="202">
        <f t="shared" si="3"/>
        <v>4.8908333333333331</v>
      </c>
      <c r="R101" s="202" t="s">
        <v>1019</v>
      </c>
    </row>
    <row r="102" spans="1:18" x14ac:dyDescent="0.15">
      <c r="A102" s="202" t="str">
        <f t="shared" si="2"/>
        <v>Leon_Optimal Year Round_112.5</v>
      </c>
      <c r="B102" s="580" t="s">
        <v>1014</v>
      </c>
      <c r="C102" s="495">
        <v>21</v>
      </c>
      <c r="D102" s="495">
        <v>112.5</v>
      </c>
      <c r="E102" s="497">
        <v>4.88</v>
      </c>
      <c r="F102" s="497">
        <v>5.73</v>
      </c>
      <c r="G102" s="497">
        <v>6.18</v>
      </c>
      <c r="H102" s="497">
        <v>5.84</v>
      </c>
      <c r="I102" s="497">
        <v>5.5</v>
      </c>
      <c r="J102" s="497">
        <v>5.53</v>
      </c>
      <c r="K102" s="497">
        <v>5.22</v>
      </c>
      <c r="L102" s="497">
        <v>4.96</v>
      </c>
      <c r="M102" s="497">
        <v>4.8</v>
      </c>
      <c r="N102" s="497">
        <v>5.17</v>
      </c>
      <c r="O102" s="497">
        <v>5.44</v>
      </c>
      <c r="P102" s="497">
        <v>4.93</v>
      </c>
      <c r="Q102" s="202">
        <f t="shared" si="3"/>
        <v>5.3483333333333327</v>
      </c>
      <c r="R102" s="202" t="s">
        <v>1019</v>
      </c>
    </row>
    <row r="103" spans="1:18" x14ac:dyDescent="0.15">
      <c r="A103" s="202" t="str">
        <f t="shared" si="2"/>
        <v>Leon_Optimal Year Round_135</v>
      </c>
      <c r="B103" s="580" t="s">
        <v>1014</v>
      </c>
      <c r="C103" s="495">
        <v>21</v>
      </c>
      <c r="D103" s="495">
        <v>135</v>
      </c>
      <c r="E103" s="497">
        <v>5.3</v>
      </c>
      <c r="F103" s="497">
        <v>6.22</v>
      </c>
      <c r="G103" s="497">
        <v>6.71</v>
      </c>
      <c r="H103" s="497">
        <v>6.35</v>
      </c>
      <c r="I103" s="497">
        <v>5.98</v>
      </c>
      <c r="J103" s="497">
        <v>6</v>
      </c>
      <c r="K103" s="497">
        <v>5.66</v>
      </c>
      <c r="L103" s="497">
        <v>5.39</v>
      </c>
      <c r="M103" s="497">
        <v>5.22</v>
      </c>
      <c r="N103" s="497">
        <v>5.61</v>
      </c>
      <c r="O103" s="497">
        <v>5.91</v>
      </c>
      <c r="P103" s="497">
        <v>5.35</v>
      </c>
      <c r="Q103" s="202">
        <f t="shared" si="3"/>
        <v>5.8083333333333327</v>
      </c>
      <c r="R103" s="202" t="s">
        <v>1019</v>
      </c>
    </row>
    <row r="104" spans="1:18" x14ac:dyDescent="0.15">
      <c r="A104" s="202" t="str">
        <f t="shared" si="2"/>
        <v>Leon_Optimal Year Round_157.5</v>
      </c>
      <c r="B104" s="580" t="s">
        <v>1014</v>
      </c>
      <c r="C104" s="495">
        <v>21</v>
      </c>
      <c r="D104" s="495">
        <v>157.5</v>
      </c>
      <c r="E104" s="497">
        <v>5.44</v>
      </c>
      <c r="F104" s="497">
        <v>6.39</v>
      </c>
      <c r="G104" s="497">
        <v>6.88</v>
      </c>
      <c r="H104" s="497">
        <v>6.51</v>
      </c>
      <c r="I104" s="497">
        <v>6.13</v>
      </c>
      <c r="J104" s="497">
        <v>6.16</v>
      </c>
      <c r="K104" s="497">
        <v>5.81</v>
      </c>
      <c r="L104" s="497">
        <v>5.53</v>
      </c>
      <c r="M104" s="497">
        <v>5.35</v>
      </c>
      <c r="N104" s="497">
        <v>5.76</v>
      </c>
      <c r="O104" s="497">
        <v>6.06</v>
      </c>
      <c r="P104" s="497">
        <v>5.49</v>
      </c>
      <c r="Q104" s="202">
        <f t="shared" si="3"/>
        <v>5.9591666666666656</v>
      </c>
      <c r="R104" s="202" t="s">
        <v>1019</v>
      </c>
    </row>
    <row r="105" spans="1:18" x14ac:dyDescent="0.15">
      <c r="A105" s="202" t="str">
        <f t="shared" si="2"/>
        <v>Leon_Optimal Year Round_180</v>
      </c>
      <c r="B105" s="580" t="s">
        <v>1014</v>
      </c>
      <c r="C105" s="495">
        <v>21</v>
      </c>
      <c r="D105" s="495">
        <v>180</v>
      </c>
      <c r="E105" s="497">
        <v>5.58</v>
      </c>
      <c r="F105" s="497">
        <v>6.55</v>
      </c>
      <c r="G105" s="497">
        <v>7.06</v>
      </c>
      <c r="H105" s="497">
        <v>6.68</v>
      </c>
      <c r="I105" s="497">
        <v>6.29</v>
      </c>
      <c r="J105" s="497">
        <v>6.32</v>
      </c>
      <c r="K105" s="497">
        <v>5.96</v>
      </c>
      <c r="L105" s="497">
        <v>5.67</v>
      </c>
      <c r="M105" s="497">
        <v>5.49</v>
      </c>
      <c r="N105" s="497">
        <v>5.91</v>
      </c>
      <c r="O105" s="497">
        <v>6.22</v>
      </c>
      <c r="P105" s="497">
        <v>5.63</v>
      </c>
      <c r="Q105" s="202">
        <f t="shared" si="3"/>
        <v>6.1133333333333333</v>
      </c>
      <c r="R105" s="202" t="s">
        <v>1019</v>
      </c>
    </row>
    <row r="106" spans="1:18" x14ac:dyDescent="0.15">
      <c r="A106" s="202" t="str">
        <f t="shared" si="2"/>
        <v>Leon_Optimal Year Round_202.5</v>
      </c>
      <c r="B106" s="580" t="s">
        <v>1014</v>
      </c>
      <c r="C106" s="495">
        <v>21</v>
      </c>
      <c r="D106" s="495">
        <v>202.5</v>
      </c>
      <c r="E106" s="497">
        <v>5.44</v>
      </c>
      <c r="F106" s="497">
        <v>6.39</v>
      </c>
      <c r="G106" s="497">
        <v>6.88</v>
      </c>
      <c r="H106" s="497">
        <v>6.51</v>
      </c>
      <c r="I106" s="497">
        <v>6.13</v>
      </c>
      <c r="J106" s="497">
        <v>6.16</v>
      </c>
      <c r="K106" s="497">
        <v>5.81</v>
      </c>
      <c r="L106" s="497">
        <v>5.53</v>
      </c>
      <c r="M106" s="497">
        <v>5.35</v>
      </c>
      <c r="N106" s="497">
        <v>5.76</v>
      </c>
      <c r="O106" s="497">
        <v>6.06</v>
      </c>
      <c r="P106" s="497">
        <v>5.49</v>
      </c>
      <c r="Q106" s="202">
        <f t="shared" si="3"/>
        <v>5.9591666666666656</v>
      </c>
      <c r="R106" s="202" t="s">
        <v>1019</v>
      </c>
    </row>
    <row r="107" spans="1:18" x14ac:dyDescent="0.15">
      <c r="A107" s="202" t="str">
        <f t="shared" si="2"/>
        <v>Leon_Optimal Year Round_225</v>
      </c>
      <c r="B107" s="580" t="s">
        <v>1014</v>
      </c>
      <c r="C107" s="495">
        <v>21</v>
      </c>
      <c r="D107" s="495">
        <v>225</v>
      </c>
      <c r="E107" s="495">
        <v>5.3</v>
      </c>
      <c r="F107" s="495">
        <v>6.22</v>
      </c>
      <c r="G107" s="495">
        <v>6.71</v>
      </c>
      <c r="H107" s="495">
        <v>6.35</v>
      </c>
      <c r="I107" s="495">
        <v>5.98</v>
      </c>
      <c r="J107" s="495">
        <v>6</v>
      </c>
      <c r="K107" s="495">
        <v>5.66</v>
      </c>
      <c r="L107" s="495">
        <v>5.39</v>
      </c>
      <c r="M107" s="495">
        <v>5.22</v>
      </c>
      <c r="N107" s="495">
        <v>5.61</v>
      </c>
      <c r="O107" s="495">
        <v>5.91</v>
      </c>
      <c r="P107" s="495">
        <v>5.35</v>
      </c>
      <c r="Q107" s="202">
        <f t="shared" si="3"/>
        <v>5.8083333333333327</v>
      </c>
      <c r="R107" s="202" t="s">
        <v>1019</v>
      </c>
    </row>
    <row r="108" spans="1:18" x14ac:dyDescent="0.15">
      <c r="A108" s="202" t="str">
        <f t="shared" si="2"/>
        <v>Leon_Optimal Year Round_247.5</v>
      </c>
      <c r="B108" s="580" t="s">
        <v>1014</v>
      </c>
      <c r="C108" s="495">
        <v>21</v>
      </c>
      <c r="D108" s="495">
        <v>247.5</v>
      </c>
      <c r="E108" s="495">
        <v>4.88</v>
      </c>
      <c r="F108" s="495">
        <v>5.73</v>
      </c>
      <c r="G108" s="495">
        <v>6.18</v>
      </c>
      <c r="H108" s="495">
        <v>5.84</v>
      </c>
      <c r="I108" s="495">
        <v>5.5</v>
      </c>
      <c r="J108" s="495">
        <v>5.53</v>
      </c>
      <c r="K108" s="495">
        <v>5.22</v>
      </c>
      <c r="L108" s="495">
        <v>4.96</v>
      </c>
      <c r="M108" s="495">
        <v>4.8</v>
      </c>
      <c r="N108" s="495">
        <v>5.17</v>
      </c>
      <c r="O108" s="495">
        <v>5.44</v>
      </c>
      <c r="P108" s="495">
        <v>4.93</v>
      </c>
      <c r="Q108" s="202">
        <f t="shared" si="3"/>
        <v>5.3483333333333327</v>
      </c>
      <c r="R108" s="202" t="s">
        <v>1019</v>
      </c>
    </row>
    <row r="109" spans="1:18" x14ac:dyDescent="0.15">
      <c r="A109" s="202" t="str">
        <f t="shared" si="2"/>
        <v>Leon_Optimal Year Round_270</v>
      </c>
      <c r="B109" s="580" t="s">
        <v>1014</v>
      </c>
      <c r="C109" s="495">
        <v>21</v>
      </c>
      <c r="D109" s="495">
        <v>270</v>
      </c>
      <c r="E109" s="495">
        <v>4.46</v>
      </c>
      <c r="F109" s="495">
        <v>5.24</v>
      </c>
      <c r="G109" s="495">
        <v>5.65</v>
      </c>
      <c r="H109" s="495">
        <v>5.34</v>
      </c>
      <c r="I109" s="495">
        <v>5.03</v>
      </c>
      <c r="J109" s="495">
        <v>5.0599999999999996</v>
      </c>
      <c r="K109" s="495">
        <v>4.7699999999999996</v>
      </c>
      <c r="L109" s="495">
        <v>4.54</v>
      </c>
      <c r="M109" s="495">
        <v>4.3899999999999997</v>
      </c>
      <c r="N109" s="495">
        <v>4.7300000000000004</v>
      </c>
      <c r="O109" s="495">
        <v>4.9800000000000004</v>
      </c>
      <c r="P109" s="495">
        <v>4.5</v>
      </c>
      <c r="Q109" s="202">
        <f t="shared" si="3"/>
        <v>4.8908333333333331</v>
      </c>
      <c r="R109" s="202" t="s">
        <v>1019</v>
      </c>
    </row>
    <row r="110" spans="1:18" x14ac:dyDescent="0.15">
      <c r="A110" s="202" t="str">
        <f t="shared" si="2"/>
        <v>Mazatlan_Flat Surface_90</v>
      </c>
      <c r="B110" s="580" t="s">
        <v>1015</v>
      </c>
      <c r="C110" s="495">
        <v>0</v>
      </c>
      <c r="D110" s="495">
        <v>90</v>
      </c>
      <c r="E110" s="497">
        <v>4.3</v>
      </c>
      <c r="F110" s="497">
        <v>5.32</v>
      </c>
      <c r="G110" s="497">
        <v>6.55</v>
      </c>
      <c r="H110" s="497">
        <v>7.17</v>
      </c>
      <c r="I110" s="497">
        <v>7.78</v>
      </c>
      <c r="J110" s="497">
        <v>7.44</v>
      </c>
      <c r="K110" s="497">
        <v>6.35</v>
      </c>
      <c r="L110" s="497">
        <v>5.9</v>
      </c>
      <c r="M110" s="497">
        <v>5.4</v>
      </c>
      <c r="N110" s="497">
        <v>5.46</v>
      </c>
      <c r="O110" s="497">
        <v>4.75</v>
      </c>
      <c r="P110" s="497">
        <v>3.96</v>
      </c>
      <c r="Q110" s="202">
        <f t="shared" si="3"/>
        <v>5.8649999999999993</v>
      </c>
      <c r="R110" s="202" t="s">
        <v>1020</v>
      </c>
    </row>
    <row r="111" spans="1:18" x14ac:dyDescent="0.15">
      <c r="A111" s="202" t="str">
        <f t="shared" si="2"/>
        <v>Mazatlan_Flat Surface_112.5</v>
      </c>
      <c r="B111" s="580" t="s">
        <v>1015</v>
      </c>
      <c r="C111" s="495">
        <v>0</v>
      </c>
      <c r="D111" s="495">
        <v>112.5</v>
      </c>
      <c r="E111" s="497">
        <v>4.3</v>
      </c>
      <c r="F111" s="497">
        <v>5.32</v>
      </c>
      <c r="G111" s="497">
        <v>6.55</v>
      </c>
      <c r="H111" s="497">
        <v>7.17</v>
      </c>
      <c r="I111" s="497">
        <v>7.78</v>
      </c>
      <c r="J111" s="497">
        <v>7.44</v>
      </c>
      <c r="K111" s="497">
        <v>6.35</v>
      </c>
      <c r="L111" s="497">
        <v>5.9</v>
      </c>
      <c r="M111" s="497">
        <v>5.4</v>
      </c>
      <c r="N111" s="497">
        <v>5.46</v>
      </c>
      <c r="O111" s="497">
        <v>4.75</v>
      </c>
      <c r="P111" s="497">
        <v>3.96</v>
      </c>
      <c r="Q111" s="202">
        <f t="shared" si="3"/>
        <v>5.8649999999999993</v>
      </c>
      <c r="R111" s="202" t="s">
        <v>1020</v>
      </c>
    </row>
    <row r="112" spans="1:18" x14ac:dyDescent="0.15">
      <c r="A112" s="202" t="str">
        <f t="shared" si="2"/>
        <v>Mazatlan_Flat Surface_135</v>
      </c>
      <c r="B112" s="580" t="s">
        <v>1015</v>
      </c>
      <c r="C112" s="495">
        <v>0</v>
      </c>
      <c r="D112" s="495">
        <v>135</v>
      </c>
      <c r="E112" s="497">
        <v>4.3</v>
      </c>
      <c r="F112" s="497">
        <v>5.32</v>
      </c>
      <c r="G112" s="497">
        <v>6.55</v>
      </c>
      <c r="H112" s="497">
        <v>7.17</v>
      </c>
      <c r="I112" s="497">
        <v>7.78</v>
      </c>
      <c r="J112" s="497">
        <v>7.44</v>
      </c>
      <c r="K112" s="497">
        <v>6.35</v>
      </c>
      <c r="L112" s="497">
        <v>5.9</v>
      </c>
      <c r="M112" s="497">
        <v>5.4</v>
      </c>
      <c r="N112" s="497">
        <v>5.46</v>
      </c>
      <c r="O112" s="497">
        <v>4.75</v>
      </c>
      <c r="P112" s="497">
        <v>3.96</v>
      </c>
      <c r="Q112" s="202">
        <f t="shared" si="3"/>
        <v>5.8649999999999993</v>
      </c>
      <c r="R112" s="202" t="s">
        <v>1020</v>
      </c>
    </row>
    <row r="113" spans="1:18" x14ac:dyDescent="0.15">
      <c r="A113" s="202" t="str">
        <f t="shared" si="2"/>
        <v>Mazatlan_Flat Surface_157.5</v>
      </c>
      <c r="B113" s="580" t="s">
        <v>1015</v>
      </c>
      <c r="C113" s="495">
        <v>0</v>
      </c>
      <c r="D113" s="495">
        <v>157.5</v>
      </c>
      <c r="E113" s="497">
        <v>4.3</v>
      </c>
      <c r="F113" s="497">
        <v>5.32</v>
      </c>
      <c r="G113" s="497">
        <v>6.55</v>
      </c>
      <c r="H113" s="497">
        <v>7.17</v>
      </c>
      <c r="I113" s="497">
        <v>7.78</v>
      </c>
      <c r="J113" s="497">
        <v>7.44</v>
      </c>
      <c r="K113" s="497">
        <v>6.35</v>
      </c>
      <c r="L113" s="497">
        <v>5.9</v>
      </c>
      <c r="M113" s="497">
        <v>5.4</v>
      </c>
      <c r="N113" s="497">
        <v>5.46</v>
      </c>
      <c r="O113" s="497">
        <v>4.75</v>
      </c>
      <c r="P113" s="497">
        <v>3.96</v>
      </c>
      <c r="Q113" s="202">
        <f t="shared" si="3"/>
        <v>5.8649999999999993</v>
      </c>
      <c r="R113" s="202" t="s">
        <v>1020</v>
      </c>
    </row>
    <row r="114" spans="1:18" x14ac:dyDescent="0.15">
      <c r="A114" s="202" t="str">
        <f t="shared" si="2"/>
        <v>Mazatlan_Flat Surface_180</v>
      </c>
      <c r="B114" s="580" t="s">
        <v>1015</v>
      </c>
      <c r="C114" s="495">
        <v>0</v>
      </c>
      <c r="D114" s="495">
        <v>180</v>
      </c>
      <c r="E114" s="497">
        <v>4.3</v>
      </c>
      <c r="F114" s="497">
        <v>5.32</v>
      </c>
      <c r="G114" s="497">
        <v>6.55</v>
      </c>
      <c r="H114" s="497">
        <v>7.17</v>
      </c>
      <c r="I114" s="497">
        <v>7.78</v>
      </c>
      <c r="J114" s="497">
        <v>7.44</v>
      </c>
      <c r="K114" s="497">
        <v>6.35</v>
      </c>
      <c r="L114" s="497">
        <v>5.9</v>
      </c>
      <c r="M114" s="497">
        <v>5.4</v>
      </c>
      <c r="N114" s="497">
        <v>5.46</v>
      </c>
      <c r="O114" s="497">
        <v>4.75</v>
      </c>
      <c r="P114" s="497">
        <v>3.96</v>
      </c>
      <c r="Q114" s="202">
        <f t="shared" si="3"/>
        <v>5.8649999999999993</v>
      </c>
      <c r="R114" s="202" t="s">
        <v>1020</v>
      </c>
    </row>
    <row r="115" spans="1:18" x14ac:dyDescent="0.15">
      <c r="A115" s="202" t="str">
        <f t="shared" si="2"/>
        <v>Mazatlan_Flat Surface_202.5</v>
      </c>
      <c r="B115" s="580" t="s">
        <v>1015</v>
      </c>
      <c r="C115" s="495">
        <v>0</v>
      </c>
      <c r="D115" s="495">
        <v>202.5</v>
      </c>
      <c r="E115" s="497">
        <v>4.3</v>
      </c>
      <c r="F115" s="497">
        <v>5.32</v>
      </c>
      <c r="G115" s="497">
        <v>6.55</v>
      </c>
      <c r="H115" s="497">
        <v>7.17</v>
      </c>
      <c r="I115" s="497">
        <v>7.78</v>
      </c>
      <c r="J115" s="497">
        <v>7.44</v>
      </c>
      <c r="K115" s="497">
        <v>6.35</v>
      </c>
      <c r="L115" s="497">
        <v>5.9</v>
      </c>
      <c r="M115" s="497">
        <v>5.4</v>
      </c>
      <c r="N115" s="497">
        <v>5.46</v>
      </c>
      <c r="O115" s="497">
        <v>4.75</v>
      </c>
      <c r="P115" s="497">
        <v>3.96</v>
      </c>
      <c r="Q115" s="202">
        <f t="shared" si="3"/>
        <v>5.8649999999999993</v>
      </c>
      <c r="R115" s="202" t="s">
        <v>1020</v>
      </c>
    </row>
    <row r="116" spans="1:18" x14ac:dyDescent="0.15">
      <c r="A116" s="202" t="str">
        <f t="shared" si="2"/>
        <v>Mazatlan_Flat Surface_225</v>
      </c>
      <c r="B116" s="580" t="s">
        <v>1015</v>
      </c>
      <c r="C116" s="495">
        <v>0</v>
      </c>
      <c r="D116" s="495">
        <v>225</v>
      </c>
      <c r="E116" s="497">
        <v>4.3</v>
      </c>
      <c r="F116" s="497">
        <v>5.32</v>
      </c>
      <c r="G116" s="497">
        <v>6.55</v>
      </c>
      <c r="H116" s="497">
        <v>7.17</v>
      </c>
      <c r="I116" s="497">
        <v>7.78</v>
      </c>
      <c r="J116" s="497">
        <v>7.44</v>
      </c>
      <c r="K116" s="497">
        <v>6.35</v>
      </c>
      <c r="L116" s="497">
        <v>5.9</v>
      </c>
      <c r="M116" s="497">
        <v>5.4</v>
      </c>
      <c r="N116" s="497">
        <v>5.46</v>
      </c>
      <c r="O116" s="497">
        <v>4.75</v>
      </c>
      <c r="P116" s="497">
        <v>3.96</v>
      </c>
      <c r="Q116" s="202">
        <f t="shared" si="3"/>
        <v>5.8649999999999993</v>
      </c>
      <c r="R116" s="202" t="s">
        <v>1020</v>
      </c>
    </row>
    <row r="117" spans="1:18" x14ac:dyDescent="0.15">
      <c r="A117" s="202" t="str">
        <f t="shared" si="2"/>
        <v>Mazatlan_Flat Surface_247.5</v>
      </c>
      <c r="B117" s="580" t="s">
        <v>1015</v>
      </c>
      <c r="C117" s="495">
        <v>0</v>
      </c>
      <c r="D117" s="495">
        <v>247.5</v>
      </c>
      <c r="E117" s="497">
        <v>4.3</v>
      </c>
      <c r="F117" s="497">
        <v>5.32</v>
      </c>
      <c r="G117" s="497">
        <v>6.55</v>
      </c>
      <c r="H117" s="497">
        <v>7.17</v>
      </c>
      <c r="I117" s="497">
        <v>7.78</v>
      </c>
      <c r="J117" s="497">
        <v>7.44</v>
      </c>
      <c r="K117" s="497">
        <v>6.35</v>
      </c>
      <c r="L117" s="497">
        <v>5.9</v>
      </c>
      <c r="M117" s="497">
        <v>5.4</v>
      </c>
      <c r="N117" s="497">
        <v>5.46</v>
      </c>
      <c r="O117" s="497">
        <v>4.75</v>
      </c>
      <c r="P117" s="497">
        <v>3.96</v>
      </c>
      <c r="Q117" s="202">
        <f t="shared" si="3"/>
        <v>5.8649999999999993</v>
      </c>
      <c r="R117" s="202" t="s">
        <v>1020</v>
      </c>
    </row>
    <row r="118" spans="1:18" x14ac:dyDescent="0.15">
      <c r="A118" s="202" t="str">
        <f t="shared" si="2"/>
        <v>Mazatlan_Flat Surface_270</v>
      </c>
      <c r="B118" s="580" t="s">
        <v>1015</v>
      </c>
      <c r="C118" s="495">
        <v>0</v>
      </c>
      <c r="D118" s="495">
        <v>270</v>
      </c>
      <c r="E118" s="497">
        <v>4.3</v>
      </c>
      <c r="F118" s="497">
        <v>5.32</v>
      </c>
      <c r="G118" s="497">
        <v>6.55</v>
      </c>
      <c r="H118" s="497">
        <v>7.17</v>
      </c>
      <c r="I118" s="497">
        <v>7.78</v>
      </c>
      <c r="J118" s="497">
        <v>7.44</v>
      </c>
      <c r="K118" s="497">
        <v>6.35</v>
      </c>
      <c r="L118" s="497">
        <v>5.9</v>
      </c>
      <c r="M118" s="497">
        <v>5.4</v>
      </c>
      <c r="N118" s="497">
        <v>5.46</v>
      </c>
      <c r="O118" s="497">
        <v>4.75</v>
      </c>
      <c r="P118" s="497">
        <v>3.96</v>
      </c>
      <c r="Q118" s="202">
        <f t="shared" si="3"/>
        <v>5.8649999999999993</v>
      </c>
      <c r="R118" s="202" t="s">
        <v>1020</v>
      </c>
    </row>
    <row r="119" spans="1:18" x14ac:dyDescent="0.15">
      <c r="A119" s="202" t="str">
        <f t="shared" si="2"/>
        <v>Mazatlan_Optimal Summer_90</v>
      </c>
      <c r="B119" s="580" t="s">
        <v>1015</v>
      </c>
      <c r="C119" s="495">
        <v>8</v>
      </c>
      <c r="D119" s="495">
        <v>90</v>
      </c>
      <c r="E119" s="497">
        <v>3.83</v>
      </c>
      <c r="F119" s="497">
        <v>4.62</v>
      </c>
      <c r="G119" s="497">
        <v>5.5</v>
      </c>
      <c r="H119" s="497">
        <v>5.81</v>
      </c>
      <c r="I119" s="497">
        <v>6.12</v>
      </c>
      <c r="J119" s="497">
        <v>5.79</v>
      </c>
      <c r="K119" s="497">
        <v>4.9800000000000004</v>
      </c>
      <c r="L119" s="497">
        <v>4.72</v>
      </c>
      <c r="M119" s="497">
        <v>4.43</v>
      </c>
      <c r="N119" s="497">
        <v>4.67</v>
      </c>
      <c r="O119" s="497">
        <v>4.24</v>
      </c>
      <c r="P119" s="497">
        <v>3.5</v>
      </c>
      <c r="Q119" s="202">
        <f t="shared" si="3"/>
        <v>4.8508333333333331</v>
      </c>
      <c r="R119" s="202" t="s">
        <v>984</v>
      </c>
    </row>
    <row r="120" spans="1:18" x14ac:dyDescent="0.15">
      <c r="A120" s="202" t="str">
        <f t="shared" si="2"/>
        <v>Mazatlan_Optimal Summer_112.5</v>
      </c>
      <c r="B120" s="580" t="s">
        <v>1015</v>
      </c>
      <c r="C120" s="495">
        <v>8</v>
      </c>
      <c r="D120" s="495">
        <v>112.5</v>
      </c>
      <c r="E120" s="497">
        <v>4.1900000000000004</v>
      </c>
      <c r="F120" s="497">
        <v>5.05</v>
      </c>
      <c r="G120" s="497">
        <v>6.01</v>
      </c>
      <c r="H120" s="497">
        <v>6.35</v>
      </c>
      <c r="I120" s="497">
        <v>6.69</v>
      </c>
      <c r="J120" s="497">
        <v>6.34</v>
      </c>
      <c r="K120" s="497">
        <v>5.45</v>
      </c>
      <c r="L120" s="497">
        <v>5.16</v>
      </c>
      <c r="M120" s="497">
        <v>4.8499999999999996</v>
      </c>
      <c r="N120" s="497">
        <v>5.1100000000000003</v>
      </c>
      <c r="O120" s="497">
        <v>4.6399999999999997</v>
      </c>
      <c r="P120" s="497">
        <v>3.88</v>
      </c>
      <c r="Q120" s="202">
        <f t="shared" si="3"/>
        <v>5.3100000000000014</v>
      </c>
      <c r="R120" s="202" t="s">
        <v>984</v>
      </c>
    </row>
    <row r="121" spans="1:18" x14ac:dyDescent="0.15">
      <c r="A121" s="202" t="str">
        <f t="shared" si="2"/>
        <v>Mazatlan_Optimal Summer_135</v>
      </c>
      <c r="B121" s="580" t="s">
        <v>1015</v>
      </c>
      <c r="C121" s="495">
        <v>8</v>
      </c>
      <c r="D121" s="495">
        <v>135</v>
      </c>
      <c r="E121" s="497">
        <v>4.55</v>
      </c>
      <c r="F121" s="497">
        <v>5.48</v>
      </c>
      <c r="G121" s="497">
        <v>6.53</v>
      </c>
      <c r="H121" s="497">
        <v>6.9</v>
      </c>
      <c r="I121" s="497">
        <v>7.27</v>
      </c>
      <c r="J121" s="497">
        <v>6.88</v>
      </c>
      <c r="K121" s="497">
        <v>5.92</v>
      </c>
      <c r="L121" s="497">
        <v>5.6</v>
      </c>
      <c r="M121" s="497">
        <v>5.26</v>
      </c>
      <c r="N121" s="497">
        <v>5.55</v>
      </c>
      <c r="O121" s="497">
        <v>5.04</v>
      </c>
      <c r="P121" s="497">
        <v>4.21</v>
      </c>
      <c r="Q121" s="202">
        <f t="shared" si="3"/>
        <v>5.7658333333333331</v>
      </c>
      <c r="R121" s="202" t="s">
        <v>984</v>
      </c>
    </row>
    <row r="122" spans="1:18" x14ac:dyDescent="0.15">
      <c r="A122" s="202" t="str">
        <f t="shared" si="2"/>
        <v>Mazatlan_Optimal Summer_157.5</v>
      </c>
      <c r="B122" s="580" t="s">
        <v>1015</v>
      </c>
      <c r="C122" s="495">
        <v>8</v>
      </c>
      <c r="D122" s="495">
        <v>157.5</v>
      </c>
      <c r="E122" s="497">
        <v>4.67</v>
      </c>
      <c r="F122" s="497">
        <v>5.63</v>
      </c>
      <c r="G122" s="497">
        <v>6.7</v>
      </c>
      <c r="H122" s="497">
        <v>7.08</v>
      </c>
      <c r="I122" s="497">
        <v>7.46</v>
      </c>
      <c r="J122" s="497">
        <v>7.06</v>
      </c>
      <c r="K122" s="497">
        <v>6.07</v>
      </c>
      <c r="L122" s="497">
        <v>5.75</v>
      </c>
      <c r="M122" s="497">
        <v>5.4</v>
      </c>
      <c r="N122" s="497">
        <v>5.69</v>
      </c>
      <c r="O122" s="497">
        <v>5.17</v>
      </c>
      <c r="P122" s="497">
        <v>4.32</v>
      </c>
      <c r="Q122" s="202">
        <f t="shared" si="3"/>
        <v>5.916666666666667</v>
      </c>
      <c r="R122" s="202" t="s">
        <v>984</v>
      </c>
    </row>
    <row r="123" spans="1:18" x14ac:dyDescent="0.15">
      <c r="A123" s="202" t="str">
        <f t="shared" si="2"/>
        <v>Mazatlan_Optimal Summer_180</v>
      </c>
      <c r="B123" s="580" t="s">
        <v>1015</v>
      </c>
      <c r="C123" s="495">
        <v>8</v>
      </c>
      <c r="D123" s="495">
        <v>180</v>
      </c>
      <c r="E123" s="497">
        <v>4.79</v>
      </c>
      <c r="F123" s="497">
        <v>5.77</v>
      </c>
      <c r="G123" s="497">
        <v>6.87</v>
      </c>
      <c r="H123" s="497">
        <v>7.26</v>
      </c>
      <c r="I123" s="497">
        <v>7.65</v>
      </c>
      <c r="J123" s="497">
        <v>7.24</v>
      </c>
      <c r="K123" s="497">
        <v>6.23</v>
      </c>
      <c r="L123" s="497">
        <v>5.9</v>
      </c>
      <c r="M123" s="497">
        <v>5.54</v>
      </c>
      <c r="N123" s="497">
        <v>5.84</v>
      </c>
      <c r="O123" s="497">
        <v>5.3</v>
      </c>
      <c r="P123" s="497">
        <v>4.43</v>
      </c>
      <c r="Q123" s="202">
        <f t="shared" si="3"/>
        <v>6.0683333333333325</v>
      </c>
      <c r="R123" s="202" t="s">
        <v>984</v>
      </c>
    </row>
    <row r="124" spans="1:18" x14ac:dyDescent="0.15">
      <c r="A124" s="202" t="str">
        <f t="shared" si="2"/>
        <v>Mazatlan_Optimal Summer_202.5</v>
      </c>
      <c r="B124" s="580" t="s">
        <v>1015</v>
      </c>
      <c r="C124" s="495">
        <v>8</v>
      </c>
      <c r="D124" s="495">
        <v>202.5</v>
      </c>
      <c r="E124" s="497">
        <v>4.67</v>
      </c>
      <c r="F124" s="497">
        <v>5.63</v>
      </c>
      <c r="G124" s="497">
        <v>6.7</v>
      </c>
      <c r="H124" s="497">
        <v>7.08</v>
      </c>
      <c r="I124" s="497">
        <v>7.46</v>
      </c>
      <c r="J124" s="497">
        <v>7.06</v>
      </c>
      <c r="K124" s="497">
        <v>6.07</v>
      </c>
      <c r="L124" s="497">
        <v>5.75</v>
      </c>
      <c r="M124" s="497">
        <v>5.4</v>
      </c>
      <c r="N124" s="497">
        <v>5.69</v>
      </c>
      <c r="O124" s="497">
        <v>5.17</v>
      </c>
      <c r="P124" s="497">
        <v>4.32</v>
      </c>
      <c r="Q124" s="202">
        <f t="shared" si="3"/>
        <v>5.916666666666667</v>
      </c>
      <c r="R124" s="202" t="s">
        <v>984</v>
      </c>
    </row>
    <row r="125" spans="1:18" x14ac:dyDescent="0.15">
      <c r="A125" s="202" t="str">
        <f t="shared" si="2"/>
        <v>Mazatlan_Optimal Summer_225</v>
      </c>
      <c r="B125" s="580" t="s">
        <v>1015</v>
      </c>
      <c r="C125" s="495">
        <v>8</v>
      </c>
      <c r="D125" s="495">
        <v>225</v>
      </c>
      <c r="E125" s="495">
        <v>4.55</v>
      </c>
      <c r="F125" s="495">
        <v>5.48</v>
      </c>
      <c r="G125" s="495">
        <v>6.53</v>
      </c>
      <c r="H125" s="495">
        <v>6.9</v>
      </c>
      <c r="I125" s="495">
        <v>7.27</v>
      </c>
      <c r="J125" s="495">
        <v>6.88</v>
      </c>
      <c r="K125" s="495">
        <v>5.92</v>
      </c>
      <c r="L125" s="495">
        <v>5.6</v>
      </c>
      <c r="M125" s="495">
        <v>5.26</v>
      </c>
      <c r="N125" s="495">
        <v>5.55</v>
      </c>
      <c r="O125" s="495">
        <v>5.04</v>
      </c>
      <c r="P125" s="495">
        <v>4.21</v>
      </c>
      <c r="Q125" s="202">
        <f t="shared" si="3"/>
        <v>5.7658333333333331</v>
      </c>
      <c r="R125" s="202" t="s">
        <v>984</v>
      </c>
    </row>
    <row r="126" spans="1:18" x14ac:dyDescent="0.15">
      <c r="A126" s="202" t="str">
        <f t="shared" si="2"/>
        <v>Mazatlan_Optimal Summer_247.5</v>
      </c>
      <c r="B126" s="580" t="s">
        <v>1015</v>
      </c>
      <c r="C126" s="495">
        <v>8</v>
      </c>
      <c r="D126" s="495">
        <v>247.5</v>
      </c>
      <c r="E126" s="495">
        <v>4.1900000000000004</v>
      </c>
      <c r="F126" s="495">
        <v>5.05</v>
      </c>
      <c r="G126" s="495">
        <v>6.01</v>
      </c>
      <c r="H126" s="495">
        <v>6.35</v>
      </c>
      <c r="I126" s="495">
        <v>6.69</v>
      </c>
      <c r="J126" s="495">
        <v>6.34</v>
      </c>
      <c r="K126" s="495">
        <v>5.45</v>
      </c>
      <c r="L126" s="495">
        <v>5.16</v>
      </c>
      <c r="M126" s="495">
        <v>4.8499999999999996</v>
      </c>
      <c r="N126" s="495">
        <v>5.1100000000000003</v>
      </c>
      <c r="O126" s="495">
        <v>4.6399999999999997</v>
      </c>
      <c r="P126" s="495">
        <v>3.88</v>
      </c>
      <c r="Q126" s="202">
        <f t="shared" si="3"/>
        <v>5.3100000000000014</v>
      </c>
      <c r="R126" s="202" t="s">
        <v>984</v>
      </c>
    </row>
    <row r="127" spans="1:18" x14ac:dyDescent="0.15">
      <c r="A127" s="202" t="str">
        <f t="shared" si="2"/>
        <v>Mazatlan_Optimal Summer_270</v>
      </c>
      <c r="B127" s="580" t="s">
        <v>1015</v>
      </c>
      <c r="C127" s="495">
        <v>8</v>
      </c>
      <c r="D127" s="495">
        <v>270</v>
      </c>
      <c r="E127" s="495">
        <v>3.83</v>
      </c>
      <c r="F127" s="495">
        <v>4.62</v>
      </c>
      <c r="G127" s="495">
        <v>5.5</v>
      </c>
      <c r="H127" s="495">
        <v>5.81</v>
      </c>
      <c r="I127" s="495">
        <v>6.12</v>
      </c>
      <c r="J127" s="495">
        <v>5.79</v>
      </c>
      <c r="K127" s="495">
        <v>4.9800000000000004</v>
      </c>
      <c r="L127" s="495">
        <v>4.72</v>
      </c>
      <c r="M127" s="495">
        <v>4.43</v>
      </c>
      <c r="N127" s="495">
        <v>4.67</v>
      </c>
      <c r="O127" s="495">
        <v>4.24</v>
      </c>
      <c r="P127" s="495">
        <v>3.5</v>
      </c>
      <c r="Q127" s="202">
        <f t="shared" si="3"/>
        <v>4.8508333333333331</v>
      </c>
      <c r="R127" s="202" t="s">
        <v>984</v>
      </c>
    </row>
    <row r="128" spans="1:18" x14ac:dyDescent="0.15">
      <c r="A128" s="202" t="str">
        <f t="shared" si="2"/>
        <v>Mazatlan_Optimal Year Round_90</v>
      </c>
      <c r="B128" s="580" t="s">
        <v>1015</v>
      </c>
      <c r="C128" s="495">
        <v>23</v>
      </c>
      <c r="D128" s="495">
        <v>90</v>
      </c>
      <c r="E128" s="497">
        <v>4.3899999999999997</v>
      </c>
      <c r="F128" s="497">
        <v>5.09</v>
      </c>
      <c r="G128" s="497">
        <v>5.73</v>
      </c>
      <c r="H128" s="497">
        <v>5.7</v>
      </c>
      <c r="I128" s="497">
        <v>5.68</v>
      </c>
      <c r="J128" s="497">
        <v>5.27</v>
      </c>
      <c r="K128" s="497">
        <v>4.62</v>
      </c>
      <c r="L128" s="497">
        <v>4.55</v>
      </c>
      <c r="M128" s="497">
        <v>4.4800000000000004</v>
      </c>
      <c r="N128" s="497">
        <v>5.05</v>
      </c>
      <c r="O128" s="497">
        <v>4.8600000000000003</v>
      </c>
      <c r="P128" s="497">
        <v>4.0999999999999996</v>
      </c>
      <c r="Q128" s="202">
        <f t="shared" si="3"/>
        <v>4.9599999999999991</v>
      </c>
      <c r="R128" s="202" t="s">
        <v>1019</v>
      </c>
    </row>
    <row r="129" spans="1:18" x14ac:dyDescent="0.15">
      <c r="A129" s="202" t="str">
        <f t="shared" si="2"/>
        <v>Mazatlan_Optimal Year Round_112.5</v>
      </c>
      <c r="B129" s="580" t="s">
        <v>1015</v>
      </c>
      <c r="C129" s="495">
        <v>23</v>
      </c>
      <c r="D129" s="495">
        <v>112.5</v>
      </c>
      <c r="E129" s="497">
        <v>4.8</v>
      </c>
      <c r="F129" s="497">
        <v>5.56</v>
      </c>
      <c r="G129" s="497">
        <v>6.26</v>
      </c>
      <c r="H129" s="497">
        <v>6.23</v>
      </c>
      <c r="I129" s="497">
        <v>6.21</v>
      </c>
      <c r="J129" s="497">
        <v>5.77</v>
      </c>
      <c r="K129" s="497">
        <v>5.0599999999999996</v>
      </c>
      <c r="L129" s="497">
        <v>4.9800000000000004</v>
      </c>
      <c r="M129" s="497">
        <v>4.9000000000000004</v>
      </c>
      <c r="N129" s="497">
        <v>5.52</v>
      </c>
      <c r="O129" s="497">
        <v>5.32</v>
      </c>
      <c r="P129" s="497">
        <v>4.49</v>
      </c>
      <c r="Q129" s="202">
        <f t="shared" si="3"/>
        <v>5.4250000000000007</v>
      </c>
      <c r="R129" s="202" t="s">
        <v>1019</v>
      </c>
    </row>
    <row r="130" spans="1:18" x14ac:dyDescent="0.15">
      <c r="A130" s="202" t="str">
        <f t="shared" ref="A130:A193" si="4">B130&amp;"_"&amp;R130&amp;"_"&amp;D130</f>
        <v>Mazatlan_Optimal Year Round_135</v>
      </c>
      <c r="B130" s="580" t="s">
        <v>1015</v>
      </c>
      <c r="C130" s="495">
        <v>23</v>
      </c>
      <c r="D130" s="495">
        <v>135</v>
      </c>
      <c r="E130" s="497">
        <v>5.22</v>
      </c>
      <c r="F130" s="497">
        <v>6.04</v>
      </c>
      <c r="G130" s="497">
        <v>6.8</v>
      </c>
      <c r="H130" s="497">
        <v>6.76</v>
      </c>
      <c r="I130" s="497">
        <v>6.74</v>
      </c>
      <c r="J130" s="497">
        <v>6.26</v>
      </c>
      <c r="K130" s="497">
        <v>5.49</v>
      </c>
      <c r="L130" s="497">
        <v>5.41</v>
      </c>
      <c r="M130" s="497">
        <v>5.32</v>
      </c>
      <c r="N130" s="497">
        <v>5.99</v>
      </c>
      <c r="O130" s="497">
        <v>5.78</v>
      </c>
      <c r="P130" s="497">
        <v>4.87</v>
      </c>
      <c r="Q130" s="202">
        <f t="shared" ref="Q130:Q193" si="5">AVERAGE(E130:P130)</f>
        <v>5.8900000000000006</v>
      </c>
      <c r="R130" s="202" t="s">
        <v>1019</v>
      </c>
    </row>
    <row r="131" spans="1:18" x14ac:dyDescent="0.15">
      <c r="A131" s="202" t="str">
        <f t="shared" si="4"/>
        <v>Mazatlan_Optimal Year Round_157.5</v>
      </c>
      <c r="B131" s="580" t="s">
        <v>1015</v>
      </c>
      <c r="C131" s="495">
        <v>23</v>
      </c>
      <c r="D131" s="495">
        <v>157.5</v>
      </c>
      <c r="E131" s="497">
        <v>5.35</v>
      </c>
      <c r="F131" s="497">
        <v>6.2</v>
      </c>
      <c r="G131" s="497">
        <v>6.98</v>
      </c>
      <c r="H131" s="497">
        <v>6.94</v>
      </c>
      <c r="I131" s="497">
        <v>6.92</v>
      </c>
      <c r="J131" s="497">
        <v>6.43</v>
      </c>
      <c r="K131" s="497">
        <v>5.64</v>
      </c>
      <c r="L131" s="497">
        <v>5.55</v>
      </c>
      <c r="M131" s="497">
        <v>5.46</v>
      </c>
      <c r="N131" s="497">
        <v>6.15</v>
      </c>
      <c r="O131" s="497">
        <v>5.93</v>
      </c>
      <c r="P131" s="497">
        <v>5</v>
      </c>
      <c r="Q131" s="202">
        <f t="shared" si="5"/>
        <v>6.0458333333333334</v>
      </c>
      <c r="R131" s="202" t="s">
        <v>1019</v>
      </c>
    </row>
    <row r="132" spans="1:18" x14ac:dyDescent="0.15">
      <c r="A132" s="202" t="str">
        <f t="shared" si="4"/>
        <v>Mazatlan_Optimal Year Round_180</v>
      </c>
      <c r="B132" s="580" t="s">
        <v>1015</v>
      </c>
      <c r="C132" s="495">
        <v>23</v>
      </c>
      <c r="D132" s="495">
        <v>180</v>
      </c>
      <c r="E132" s="497">
        <v>5.49</v>
      </c>
      <c r="F132" s="497">
        <v>6.36</v>
      </c>
      <c r="G132" s="497">
        <v>7.16</v>
      </c>
      <c r="H132" s="497">
        <v>7.12</v>
      </c>
      <c r="I132" s="497">
        <v>7.1</v>
      </c>
      <c r="J132" s="497">
        <v>6.59</v>
      </c>
      <c r="K132" s="497">
        <v>5.78</v>
      </c>
      <c r="L132" s="497">
        <v>5.69</v>
      </c>
      <c r="M132" s="497">
        <v>5.6</v>
      </c>
      <c r="N132" s="497">
        <v>6.31</v>
      </c>
      <c r="O132" s="497">
        <v>6.08</v>
      </c>
      <c r="P132" s="497">
        <v>5.13</v>
      </c>
      <c r="Q132" s="202">
        <f t="shared" si="5"/>
        <v>6.2008333333333345</v>
      </c>
      <c r="R132" s="202" t="s">
        <v>1019</v>
      </c>
    </row>
    <row r="133" spans="1:18" x14ac:dyDescent="0.15">
      <c r="A133" s="202" t="str">
        <f t="shared" si="4"/>
        <v>Mazatlan_Optimal Year Round_202.5</v>
      </c>
      <c r="B133" s="580" t="s">
        <v>1015</v>
      </c>
      <c r="C133" s="495">
        <v>23</v>
      </c>
      <c r="D133" s="495">
        <v>202.5</v>
      </c>
      <c r="E133" s="497">
        <v>5.35</v>
      </c>
      <c r="F133" s="497">
        <v>6.2</v>
      </c>
      <c r="G133" s="497">
        <v>6.98</v>
      </c>
      <c r="H133" s="497">
        <v>6.94</v>
      </c>
      <c r="I133" s="497">
        <v>6.92</v>
      </c>
      <c r="J133" s="497">
        <v>6.43</v>
      </c>
      <c r="K133" s="497">
        <v>5.64</v>
      </c>
      <c r="L133" s="497">
        <v>5.55</v>
      </c>
      <c r="M133" s="497">
        <v>5.46</v>
      </c>
      <c r="N133" s="497">
        <v>6.15</v>
      </c>
      <c r="O133" s="497">
        <v>5.93</v>
      </c>
      <c r="P133" s="497">
        <v>5</v>
      </c>
      <c r="Q133" s="202">
        <f t="shared" si="5"/>
        <v>6.0458333333333334</v>
      </c>
      <c r="R133" s="202" t="s">
        <v>1019</v>
      </c>
    </row>
    <row r="134" spans="1:18" x14ac:dyDescent="0.15">
      <c r="A134" s="202" t="str">
        <f t="shared" si="4"/>
        <v>Mazatlan_Optimal Year Round_225</v>
      </c>
      <c r="B134" s="580" t="s">
        <v>1015</v>
      </c>
      <c r="C134" s="495">
        <v>23</v>
      </c>
      <c r="D134" s="495">
        <v>225</v>
      </c>
      <c r="E134" s="495">
        <v>5.22</v>
      </c>
      <c r="F134" s="495">
        <v>6.04</v>
      </c>
      <c r="G134" s="495">
        <v>6.8</v>
      </c>
      <c r="H134" s="495">
        <v>6.76</v>
      </c>
      <c r="I134" s="495">
        <v>6.74</v>
      </c>
      <c r="J134" s="495">
        <v>6.26</v>
      </c>
      <c r="K134" s="495">
        <v>5.49</v>
      </c>
      <c r="L134" s="495">
        <v>5.41</v>
      </c>
      <c r="M134" s="495">
        <v>5.32</v>
      </c>
      <c r="N134" s="495">
        <v>5.99</v>
      </c>
      <c r="O134" s="495">
        <v>5.78</v>
      </c>
      <c r="P134" s="495">
        <v>4.87</v>
      </c>
      <c r="Q134" s="202">
        <f t="shared" si="5"/>
        <v>5.8900000000000006</v>
      </c>
      <c r="R134" s="202" t="s">
        <v>1019</v>
      </c>
    </row>
    <row r="135" spans="1:18" x14ac:dyDescent="0.15">
      <c r="A135" s="202" t="str">
        <f t="shared" si="4"/>
        <v>Mazatlan_Optimal Year Round_247.5</v>
      </c>
      <c r="B135" s="580" t="s">
        <v>1015</v>
      </c>
      <c r="C135" s="495">
        <v>23</v>
      </c>
      <c r="D135" s="495">
        <v>247.5</v>
      </c>
      <c r="E135" s="495">
        <v>4.8</v>
      </c>
      <c r="F135" s="495">
        <v>5.56</v>
      </c>
      <c r="G135" s="495">
        <v>6.26</v>
      </c>
      <c r="H135" s="495">
        <v>6.23</v>
      </c>
      <c r="I135" s="495">
        <v>6.21</v>
      </c>
      <c r="J135" s="495">
        <v>5.77</v>
      </c>
      <c r="K135" s="495">
        <v>5.0599999999999996</v>
      </c>
      <c r="L135" s="495">
        <v>4.9800000000000004</v>
      </c>
      <c r="M135" s="495">
        <v>4.9000000000000004</v>
      </c>
      <c r="N135" s="495">
        <v>5.52</v>
      </c>
      <c r="O135" s="495">
        <v>5.32</v>
      </c>
      <c r="P135" s="495">
        <v>4.49</v>
      </c>
      <c r="Q135" s="202">
        <f t="shared" si="5"/>
        <v>5.4250000000000007</v>
      </c>
      <c r="R135" s="202" t="s">
        <v>1019</v>
      </c>
    </row>
    <row r="136" spans="1:18" x14ac:dyDescent="0.15">
      <c r="A136" s="202" t="str">
        <f t="shared" si="4"/>
        <v>Mazatlan_Optimal Year Round_270</v>
      </c>
      <c r="B136" s="580" t="s">
        <v>1015</v>
      </c>
      <c r="C136" s="495">
        <v>23</v>
      </c>
      <c r="D136" s="495">
        <v>270</v>
      </c>
      <c r="E136" s="495">
        <v>4.3899999999999997</v>
      </c>
      <c r="F136" s="495">
        <v>5.09</v>
      </c>
      <c r="G136" s="495">
        <v>5.73</v>
      </c>
      <c r="H136" s="495">
        <v>5.7</v>
      </c>
      <c r="I136" s="495">
        <v>5.68</v>
      </c>
      <c r="J136" s="495">
        <v>5.27</v>
      </c>
      <c r="K136" s="495">
        <v>4.62</v>
      </c>
      <c r="L136" s="495">
        <v>4.55</v>
      </c>
      <c r="M136" s="495">
        <v>4.4800000000000004</v>
      </c>
      <c r="N136" s="495">
        <v>5.05</v>
      </c>
      <c r="O136" s="495">
        <v>4.8600000000000003</v>
      </c>
      <c r="P136" s="495">
        <v>4.0999999999999996</v>
      </c>
      <c r="Q136" s="202">
        <f t="shared" si="5"/>
        <v>4.9599999999999991</v>
      </c>
      <c r="R136" s="202" t="s">
        <v>1019</v>
      </c>
    </row>
    <row r="137" spans="1:18" x14ac:dyDescent="0.15">
      <c r="A137" s="202" t="str">
        <f t="shared" si="4"/>
        <v>Merida_Flat Surface_90</v>
      </c>
      <c r="B137" s="580" t="s">
        <v>1016</v>
      </c>
      <c r="C137" s="495">
        <v>0</v>
      </c>
      <c r="D137" s="495">
        <v>90</v>
      </c>
      <c r="E137" s="497">
        <v>4.34</v>
      </c>
      <c r="F137" s="497">
        <v>5.35</v>
      </c>
      <c r="G137" s="497">
        <v>6.24</v>
      </c>
      <c r="H137" s="497">
        <v>6.87</v>
      </c>
      <c r="I137" s="497">
        <v>7.31</v>
      </c>
      <c r="J137" s="497">
        <v>6.94</v>
      </c>
      <c r="K137" s="497">
        <v>7.15</v>
      </c>
      <c r="L137" s="497">
        <v>6.84</v>
      </c>
      <c r="M137" s="497">
        <v>6.16</v>
      </c>
      <c r="N137" s="497">
        <v>5.34</v>
      </c>
      <c r="O137" s="497">
        <v>4.68</v>
      </c>
      <c r="P137" s="497">
        <v>4</v>
      </c>
      <c r="Q137" s="202">
        <f t="shared" si="5"/>
        <v>5.9349999999999996</v>
      </c>
      <c r="R137" s="202" t="s">
        <v>1020</v>
      </c>
    </row>
    <row r="138" spans="1:18" x14ac:dyDescent="0.15">
      <c r="A138" s="202" t="str">
        <f t="shared" si="4"/>
        <v>Merida_Flat Surface_112.5</v>
      </c>
      <c r="B138" s="580" t="s">
        <v>1016</v>
      </c>
      <c r="C138" s="495">
        <v>0</v>
      </c>
      <c r="D138" s="495">
        <v>112.5</v>
      </c>
      <c r="E138" s="497">
        <v>4.34</v>
      </c>
      <c r="F138" s="497">
        <v>5.35</v>
      </c>
      <c r="G138" s="497">
        <v>6.24</v>
      </c>
      <c r="H138" s="497">
        <v>6.87</v>
      </c>
      <c r="I138" s="497">
        <v>7.31</v>
      </c>
      <c r="J138" s="497">
        <v>6.94</v>
      </c>
      <c r="K138" s="497">
        <v>7.15</v>
      </c>
      <c r="L138" s="497">
        <v>6.84</v>
      </c>
      <c r="M138" s="497">
        <v>6.16</v>
      </c>
      <c r="N138" s="497">
        <v>5.34</v>
      </c>
      <c r="O138" s="497">
        <v>4.68</v>
      </c>
      <c r="P138" s="497">
        <v>4</v>
      </c>
      <c r="Q138" s="202">
        <f t="shared" si="5"/>
        <v>5.9349999999999996</v>
      </c>
      <c r="R138" s="202" t="s">
        <v>1020</v>
      </c>
    </row>
    <row r="139" spans="1:18" x14ac:dyDescent="0.15">
      <c r="A139" s="202" t="str">
        <f t="shared" si="4"/>
        <v>Merida_Flat Surface_135</v>
      </c>
      <c r="B139" s="580" t="s">
        <v>1016</v>
      </c>
      <c r="C139" s="495">
        <v>0</v>
      </c>
      <c r="D139" s="495">
        <v>135</v>
      </c>
      <c r="E139" s="497">
        <v>4.34</v>
      </c>
      <c r="F139" s="497">
        <v>5.35</v>
      </c>
      <c r="G139" s="497">
        <v>6.24</v>
      </c>
      <c r="H139" s="497">
        <v>6.87</v>
      </c>
      <c r="I139" s="497">
        <v>7.31</v>
      </c>
      <c r="J139" s="497">
        <v>6.94</v>
      </c>
      <c r="K139" s="497">
        <v>7.15</v>
      </c>
      <c r="L139" s="497">
        <v>6.84</v>
      </c>
      <c r="M139" s="497">
        <v>6.16</v>
      </c>
      <c r="N139" s="497">
        <v>5.34</v>
      </c>
      <c r="O139" s="497">
        <v>4.68</v>
      </c>
      <c r="P139" s="497">
        <v>4</v>
      </c>
      <c r="Q139" s="202">
        <f t="shared" si="5"/>
        <v>5.9349999999999996</v>
      </c>
      <c r="R139" s="202" t="s">
        <v>1020</v>
      </c>
    </row>
    <row r="140" spans="1:18" x14ac:dyDescent="0.15">
      <c r="A140" s="202" t="str">
        <f t="shared" si="4"/>
        <v>Merida_Flat Surface_157.5</v>
      </c>
      <c r="B140" s="580" t="s">
        <v>1016</v>
      </c>
      <c r="C140" s="495">
        <v>0</v>
      </c>
      <c r="D140" s="495">
        <v>157.5</v>
      </c>
      <c r="E140" s="497">
        <v>4.34</v>
      </c>
      <c r="F140" s="497">
        <v>5.35</v>
      </c>
      <c r="G140" s="497">
        <v>6.24</v>
      </c>
      <c r="H140" s="497">
        <v>6.87</v>
      </c>
      <c r="I140" s="497">
        <v>7.31</v>
      </c>
      <c r="J140" s="497">
        <v>6.94</v>
      </c>
      <c r="K140" s="497">
        <v>7.15</v>
      </c>
      <c r="L140" s="497">
        <v>6.84</v>
      </c>
      <c r="M140" s="497">
        <v>6.16</v>
      </c>
      <c r="N140" s="497">
        <v>5.34</v>
      </c>
      <c r="O140" s="497">
        <v>4.68</v>
      </c>
      <c r="P140" s="497">
        <v>4</v>
      </c>
      <c r="Q140" s="202">
        <f t="shared" si="5"/>
        <v>5.9349999999999996</v>
      </c>
      <c r="R140" s="202" t="s">
        <v>1020</v>
      </c>
    </row>
    <row r="141" spans="1:18" x14ac:dyDescent="0.15">
      <c r="A141" s="202" t="str">
        <f t="shared" si="4"/>
        <v>Merida_Flat Surface_180</v>
      </c>
      <c r="B141" s="580" t="s">
        <v>1016</v>
      </c>
      <c r="C141" s="495">
        <v>0</v>
      </c>
      <c r="D141" s="495">
        <v>180</v>
      </c>
      <c r="E141" s="497">
        <v>4.34</v>
      </c>
      <c r="F141" s="497">
        <v>5.35</v>
      </c>
      <c r="G141" s="497">
        <v>6.24</v>
      </c>
      <c r="H141" s="497">
        <v>6.87</v>
      </c>
      <c r="I141" s="497">
        <v>7.31</v>
      </c>
      <c r="J141" s="497">
        <v>6.94</v>
      </c>
      <c r="K141" s="497">
        <v>7.15</v>
      </c>
      <c r="L141" s="497">
        <v>6.84</v>
      </c>
      <c r="M141" s="497">
        <v>6.16</v>
      </c>
      <c r="N141" s="497">
        <v>5.34</v>
      </c>
      <c r="O141" s="497">
        <v>4.68</v>
      </c>
      <c r="P141" s="497">
        <v>4</v>
      </c>
      <c r="Q141" s="202">
        <f t="shared" si="5"/>
        <v>5.9349999999999996</v>
      </c>
      <c r="R141" s="202" t="s">
        <v>1020</v>
      </c>
    </row>
    <row r="142" spans="1:18" x14ac:dyDescent="0.15">
      <c r="A142" s="202" t="str">
        <f t="shared" si="4"/>
        <v>Merida_Flat Surface_202.5</v>
      </c>
      <c r="B142" s="580" t="s">
        <v>1016</v>
      </c>
      <c r="C142" s="495">
        <v>0</v>
      </c>
      <c r="D142" s="495">
        <v>202.5</v>
      </c>
      <c r="E142" s="497">
        <v>4.34</v>
      </c>
      <c r="F142" s="497">
        <v>5.35</v>
      </c>
      <c r="G142" s="497">
        <v>6.24</v>
      </c>
      <c r="H142" s="497">
        <v>6.87</v>
      </c>
      <c r="I142" s="497">
        <v>7.31</v>
      </c>
      <c r="J142" s="497">
        <v>6.94</v>
      </c>
      <c r="K142" s="497">
        <v>7.15</v>
      </c>
      <c r="L142" s="497">
        <v>6.84</v>
      </c>
      <c r="M142" s="497">
        <v>6.16</v>
      </c>
      <c r="N142" s="497">
        <v>5.34</v>
      </c>
      <c r="O142" s="497">
        <v>4.68</v>
      </c>
      <c r="P142" s="497">
        <v>4</v>
      </c>
      <c r="Q142" s="202">
        <f t="shared" si="5"/>
        <v>5.9349999999999996</v>
      </c>
      <c r="R142" s="202" t="s">
        <v>1020</v>
      </c>
    </row>
    <row r="143" spans="1:18" x14ac:dyDescent="0.15">
      <c r="A143" s="202" t="str">
        <f t="shared" si="4"/>
        <v>Merida_Flat Surface_225</v>
      </c>
      <c r="B143" s="580" t="s">
        <v>1016</v>
      </c>
      <c r="C143" s="495">
        <v>0</v>
      </c>
      <c r="D143" s="495">
        <v>225</v>
      </c>
      <c r="E143" s="497">
        <v>4.34</v>
      </c>
      <c r="F143" s="497">
        <v>5.35</v>
      </c>
      <c r="G143" s="497">
        <v>6.24</v>
      </c>
      <c r="H143" s="497">
        <v>6.87</v>
      </c>
      <c r="I143" s="497">
        <v>7.31</v>
      </c>
      <c r="J143" s="497">
        <v>6.94</v>
      </c>
      <c r="K143" s="497">
        <v>7.15</v>
      </c>
      <c r="L143" s="497">
        <v>6.84</v>
      </c>
      <c r="M143" s="497">
        <v>6.16</v>
      </c>
      <c r="N143" s="497">
        <v>5.34</v>
      </c>
      <c r="O143" s="497">
        <v>4.68</v>
      </c>
      <c r="P143" s="497">
        <v>4</v>
      </c>
      <c r="Q143" s="202">
        <f t="shared" si="5"/>
        <v>5.9349999999999996</v>
      </c>
      <c r="R143" s="202" t="s">
        <v>1020</v>
      </c>
    </row>
    <row r="144" spans="1:18" x14ac:dyDescent="0.15">
      <c r="A144" s="202" t="str">
        <f t="shared" si="4"/>
        <v>Merida_Flat Surface_247.5</v>
      </c>
      <c r="B144" s="580" t="s">
        <v>1016</v>
      </c>
      <c r="C144" s="495">
        <v>0</v>
      </c>
      <c r="D144" s="495">
        <v>247.5</v>
      </c>
      <c r="E144" s="497">
        <v>4.34</v>
      </c>
      <c r="F144" s="497">
        <v>5.35</v>
      </c>
      <c r="G144" s="497">
        <v>6.24</v>
      </c>
      <c r="H144" s="497">
        <v>6.87</v>
      </c>
      <c r="I144" s="497">
        <v>7.31</v>
      </c>
      <c r="J144" s="497">
        <v>6.94</v>
      </c>
      <c r="K144" s="497">
        <v>7.15</v>
      </c>
      <c r="L144" s="497">
        <v>6.84</v>
      </c>
      <c r="M144" s="497">
        <v>6.16</v>
      </c>
      <c r="N144" s="497">
        <v>5.34</v>
      </c>
      <c r="O144" s="497">
        <v>4.68</v>
      </c>
      <c r="P144" s="497">
        <v>4</v>
      </c>
      <c r="Q144" s="202">
        <f t="shared" si="5"/>
        <v>5.9349999999999996</v>
      </c>
      <c r="R144" s="202" t="s">
        <v>1020</v>
      </c>
    </row>
    <row r="145" spans="1:18" x14ac:dyDescent="0.15">
      <c r="A145" s="202" t="str">
        <f t="shared" si="4"/>
        <v>Merida_Flat Surface_270</v>
      </c>
      <c r="B145" s="580" t="s">
        <v>1016</v>
      </c>
      <c r="C145" s="495">
        <v>0</v>
      </c>
      <c r="D145" s="495">
        <v>270</v>
      </c>
      <c r="E145" s="497">
        <v>4.34</v>
      </c>
      <c r="F145" s="497">
        <v>5.35</v>
      </c>
      <c r="G145" s="497">
        <v>6.24</v>
      </c>
      <c r="H145" s="497">
        <v>6.87</v>
      </c>
      <c r="I145" s="497">
        <v>7.31</v>
      </c>
      <c r="J145" s="497">
        <v>6.94</v>
      </c>
      <c r="K145" s="497">
        <v>7.15</v>
      </c>
      <c r="L145" s="497">
        <v>6.84</v>
      </c>
      <c r="M145" s="497">
        <v>6.16</v>
      </c>
      <c r="N145" s="497">
        <v>5.34</v>
      </c>
      <c r="O145" s="497">
        <v>4.68</v>
      </c>
      <c r="P145" s="497">
        <v>4</v>
      </c>
      <c r="Q145" s="202">
        <f t="shared" si="5"/>
        <v>5.9349999999999996</v>
      </c>
      <c r="R145" s="202" t="s">
        <v>1020</v>
      </c>
    </row>
    <row r="146" spans="1:18" x14ac:dyDescent="0.15">
      <c r="A146" s="202" t="str">
        <f t="shared" si="4"/>
        <v>Merida_Optimal Summer_90</v>
      </c>
      <c r="B146" s="580" t="s">
        <v>1016</v>
      </c>
      <c r="C146" s="495">
        <v>6</v>
      </c>
      <c r="D146" s="495">
        <v>90</v>
      </c>
      <c r="E146" s="497">
        <v>3.74</v>
      </c>
      <c r="F146" s="497">
        <v>4.53</v>
      </c>
      <c r="G146" s="497">
        <v>5.14</v>
      </c>
      <c r="H146" s="497">
        <v>5.54</v>
      </c>
      <c r="I146" s="497">
        <v>5.78</v>
      </c>
      <c r="J146" s="497">
        <v>5.61</v>
      </c>
      <c r="K146" s="497">
        <v>5.77</v>
      </c>
      <c r="L146" s="497">
        <v>5.47</v>
      </c>
      <c r="M146" s="497">
        <v>5.03</v>
      </c>
      <c r="N146" s="497">
        <v>4.47</v>
      </c>
      <c r="O146" s="497">
        <v>4.03</v>
      </c>
      <c r="P146" s="497">
        <v>3.46</v>
      </c>
      <c r="Q146" s="202">
        <f t="shared" si="5"/>
        <v>4.8808333333333334</v>
      </c>
      <c r="R146" s="202" t="s">
        <v>984</v>
      </c>
    </row>
    <row r="147" spans="1:18" x14ac:dyDescent="0.15">
      <c r="A147" s="202" t="str">
        <f t="shared" si="4"/>
        <v>Merida_Optimal Summer_112.5</v>
      </c>
      <c r="B147" s="580" t="s">
        <v>1016</v>
      </c>
      <c r="C147" s="495">
        <v>6</v>
      </c>
      <c r="D147" s="495">
        <v>112.5</v>
      </c>
      <c r="E147" s="497">
        <v>4.0999999999999996</v>
      </c>
      <c r="F147" s="497">
        <v>4.95</v>
      </c>
      <c r="G147" s="497">
        <v>5.63</v>
      </c>
      <c r="H147" s="497">
        <v>6.06</v>
      </c>
      <c r="I147" s="497">
        <v>6.32</v>
      </c>
      <c r="J147" s="497">
        <v>6.13</v>
      </c>
      <c r="K147" s="497">
        <v>6.31</v>
      </c>
      <c r="L147" s="497">
        <v>5.98</v>
      </c>
      <c r="M147" s="497">
        <v>5.5</v>
      </c>
      <c r="N147" s="497">
        <v>4.8899999999999997</v>
      </c>
      <c r="O147" s="497">
        <v>4.41</v>
      </c>
      <c r="P147" s="497">
        <v>3.79</v>
      </c>
      <c r="Q147" s="202">
        <f t="shared" si="5"/>
        <v>5.3391666666666673</v>
      </c>
      <c r="R147" s="202" t="s">
        <v>984</v>
      </c>
    </row>
    <row r="148" spans="1:18" x14ac:dyDescent="0.15">
      <c r="A148" s="202" t="str">
        <f t="shared" si="4"/>
        <v>Merida_Optimal Summer_135</v>
      </c>
      <c r="B148" s="580" t="s">
        <v>1016</v>
      </c>
      <c r="C148" s="495">
        <v>6</v>
      </c>
      <c r="D148" s="495">
        <v>135</v>
      </c>
      <c r="E148" s="497">
        <v>4.45</v>
      </c>
      <c r="F148" s="497">
        <v>5.38</v>
      </c>
      <c r="G148" s="497">
        <v>6.11</v>
      </c>
      <c r="H148" s="497">
        <v>6.57</v>
      </c>
      <c r="I148" s="497">
        <v>6.86</v>
      </c>
      <c r="J148" s="497">
        <v>6.66</v>
      </c>
      <c r="K148" s="497">
        <v>6.85</v>
      </c>
      <c r="L148" s="497">
        <v>6.5</v>
      </c>
      <c r="M148" s="497">
        <v>5.98</v>
      </c>
      <c r="N148" s="497">
        <v>5.31</v>
      </c>
      <c r="O148" s="497">
        <v>4.79</v>
      </c>
      <c r="P148" s="497">
        <v>4.1100000000000003</v>
      </c>
      <c r="Q148" s="202">
        <f t="shared" si="5"/>
        <v>5.7975000000000003</v>
      </c>
      <c r="R148" s="202" t="s">
        <v>984</v>
      </c>
    </row>
    <row r="149" spans="1:18" x14ac:dyDescent="0.15">
      <c r="A149" s="202" t="str">
        <f t="shared" si="4"/>
        <v>Merida_Optimal Summer_157.5</v>
      </c>
      <c r="B149" s="580" t="s">
        <v>1016</v>
      </c>
      <c r="C149" s="495">
        <v>6</v>
      </c>
      <c r="D149" s="495">
        <v>157.5</v>
      </c>
      <c r="E149" s="497">
        <v>4.5599999999999996</v>
      </c>
      <c r="F149" s="497">
        <v>5.52</v>
      </c>
      <c r="G149" s="497">
        <v>6.27</v>
      </c>
      <c r="H149" s="497">
        <v>6.75</v>
      </c>
      <c r="I149" s="497">
        <v>7.04</v>
      </c>
      <c r="J149" s="497">
        <v>6.83</v>
      </c>
      <c r="K149" s="497">
        <v>7.03</v>
      </c>
      <c r="L149" s="497">
        <v>6.67</v>
      </c>
      <c r="M149" s="497">
        <v>6.13</v>
      </c>
      <c r="N149" s="497">
        <v>5.45</v>
      </c>
      <c r="O149" s="497">
        <v>4.91</v>
      </c>
      <c r="P149" s="497">
        <v>4.22</v>
      </c>
      <c r="Q149" s="202">
        <f t="shared" si="5"/>
        <v>5.9483333333333341</v>
      </c>
      <c r="R149" s="202" t="s">
        <v>984</v>
      </c>
    </row>
    <row r="150" spans="1:18" x14ac:dyDescent="0.15">
      <c r="A150" s="202" t="str">
        <f t="shared" si="4"/>
        <v>Merida_Optimal Summer_180</v>
      </c>
      <c r="B150" s="580" t="s">
        <v>1016</v>
      </c>
      <c r="C150" s="495">
        <v>6</v>
      </c>
      <c r="D150" s="495">
        <v>180</v>
      </c>
      <c r="E150" s="497">
        <v>4.68</v>
      </c>
      <c r="F150" s="497">
        <v>5.66</v>
      </c>
      <c r="G150" s="497">
        <v>6.43</v>
      </c>
      <c r="H150" s="497">
        <v>6.92</v>
      </c>
      <c r="I150" s="497">
        <v>7.22</v>
      </c>
      <c r="J150" s="497">
        <v>7.01</v>
      </c>
      <c r="K150" s="497">
        <v>7.21</v>
      </c>
      <c r="L150" s="497">
        <v>6.84</v>
      </c>
      <c r="M150" s="497">
        <v>6.29</v>
      </c>
      <c r="N150" s="497">
        <v>5.59</v>
      </c>
      <c r="O150" s="497">
        <v>5.04</v>
      </c>
      <c r="P150" s="497">
        <v>4.33</v>
      </c>
      <c r="Q150" s="202">
        <f t="shared" si="5"/>
        <v>6.1016666666666666</v>
      </c>
      <c r="R150" s="202" t="s">
        <v>984</v>
      </c>
    </row>
    <row r="151" spans="1:18" x14ac:dyDescent="0.15">
      <c r="A151" s="202" t="str">
        <f t="shared" si="4"/>
        <v>Merida_Optimal Summer_202.5</v>
      </c>
      <c r="B151" s="580" t="s">
        <v>1016</v>
      </c>
      <c r="C151" s="495">
        <v>6</v>
      </c>
      <c r="D151" s="495">
        <v>202.5</v>
      </c>
      <c r="E151" s="497">
        <v>4.5599999999999996</v>
      </c>
      <c r="F151" s="497">
        <v>5.52</v>
      </c>
      <c r="G151" s="497">
        <v>6.27</v>
      </c>
      <c r="H151" s="497">
        <v>6.75</v>
      </c>
      <c r="I151" s="497">
        <v>7.04</v>
      </c>
      <c r="J151" s="497">
        <v>6.83</v>
      </c>
      <c r="K151" s="497">
        <v>7.03</v>
      </c>
      <c r="L151" s="497">
        <v>6.67</v>
      </c>
      <c r="M151" s="497">
        <v>6.13</v>
      </c>
      <c r="N151" s="497">
        <v>5.45</v>
      </c>
      <c r="O151" s="497">
        <v>4.91</v>
      </c>
      <c r="P151" s="497">
        <v>4.22</v>
      </c>
      <c r="Q151" s="202">
        <f t="shared" si="5"/>
        <v>5.9483333333333341</v>
      </c>
      <c r="R151" s="202" t="s">
        <v>984</v>
      </c>
    </row>
    <row r="152" spans="1:18" x14ac:dyDescent="0.15">
      <c r="A152" s="202" t="str">
        <f t="shared" si="4"/>
        <v>Merida_Optimal Summer_225</v>
      </c>
      <c r="B152" s="580" t="s">
        <v>1016</v>
      </c>
      <c r="C152" s="495">
        <v>6</v>
      </c>
      <c r="D152" s="495">
        <v>225</v>
      </c>
      <c r="E152" s="495">
        <v>4.45</v>
      </c>
      <c r="F152" s="495">
        <v>5.38</v>
      </c>
      <c r="G152" s="495">
        <v>6.11</v>
      </c>
      <c r="H152" s="495">
        <v>6.57</v>
      </c>
      <c r="I152" s="495">
        <v>6.86</v>
      </c>
      <c r="J152" s="495">
        <v>6.66</v>
      </c>
      <c r="K152" s="495">
        <v>6.85</v>
      </c>
      <c r="L152" s="495">
        <v>6.5</v>
      </c>
      <c r="M152" s="495">
        <v>5.98</v>
      </c>
      <c r="N152" s="495">
        <v>5.31</v>
      </c>
      <c r="O152" s="495">
        <v>4.79</v>
      </c>
      <c r="P152" s="495">
        <v>4.1100000000000003</v>
      </c>
      <c r="Q152" s="202">
        <f t="shared" si="5"/>
        <v>5.7975000000000003</v>
      </c>
      <c r="R152" s="202" t="s">
        <v>984</v>
      </c>
    </row>
    <row r="153" spans="1:18" x14ac:dyDescent="0.15">
      <c r="A153" s="202" t="str">
        <f t="shared" si="4"/>
        <v>Merida_Optimal Summer_247.5</v>
      </c>
      <c r="B153" s="580" t="s">
        <v>1016</v>
      </c>
      <c r="C153" s="495">
        <v>6</v>
      </c>
      <c r="D153" s="495">
        <v>247.5</v>
      </c>
      <c r="E153" s="495">
        <v>4.0999999999999996</v>
      </c>
      <c r="F153" s="495">
        <v>4.95</v>
      </c>
      <c r="G153" s="495">
        <v>5.63</v>
      </c>
      <c r="H153" s="495">
        <v>6.06</v>
      </c>
      <c r="I153" s="495">
        <v>6.32</v>
      </c>
      <c r="J153" s="495">
        <v>6.13</v>
      </c>
      <c r="K153" s="495">
        <v>6.31</v>
      </c>
      <c r="L153" s="495">
        <v>5.98</v>
      </c>
      <c r="M153" s="495">
        <v>5.5</v>
      </c>
      <c r="N153" s="495">
        <v>4.8899999999999997</v>
      </c>
      <c r="O153" s="495">
        <v>4.41</v>
      </c>
      <c r="P153" s="495">
        <v>3.79</v>
      </c>
      <c r="Q153" s="202">
        <f t="shared" si="5"/>
        <v>5.3391666666666673</v>
      </c>
      <c r="R153" s="202" t="s">
        <v>984</v>
      </c>
    </row>
    <row r="154" spans="1:18" x14ac:dyDescent="0.15">
      <c r="A154" s="202" t="str">
        <f t="shared" si="4"/>
        <v>Merida_Optimal Summer_270</v>
      </c>
      <c r="B154" s="580" t="s">
        <v>1016</v>
      </c>
      <c r="C154" s="495">
        <v>6</v>
      </c>
      <c r="D154" s="495">
        <v>270</v>
      </c>
      <c r="E154" s="495">
        <v>3.74</v>
      </c>
      <c r="F154" s="495">
        <v>4.53</v>
      </c>
      <c r="G154" s="495">
        <v>5.14</v>
      </c>
      <c r="H154" s="495">
        <v>5.54</v>
      </c>
      <c r="I154" s="495">
        <v>5.78</v>
      </c>
      <c r="J154" s="495">
        <v>5.61</v>
      </c>
      <c r="K154" s="495">
        <v>5.77</v>
      </c>
      <c r="L154" s="495">
        <v>5.47</v>
      </c>
      <c r="M154" s="495">
        <v>5.03</v>
      </c>
      <c r="N154" s="495">
        <v>4.47</v>
      </c>
      <c r="O154" s="495">
        <v>4.03</v>
      </c>
      <c r="P154" s="495">
        <v>3.46</v>
      </c>
      <c r="Q154" s="202">
        <f t="shared" si="5"/>
        <v>4.8808333333333334</v>
      </c>
      <c r="R154" s="202" t="s">
        <v>984</v>
      </c>
    </row>
    <row r="155" spans="1:18" x14ac:dyDescent="0.15">
      <c r="A155" s="202" t="str">
        <f t="shared" si="4"/>
        <v>Merida_Optimal Year Round_90</v>
      </c>
      <c r="B155" s="580" t="s">
        <v>1016</v>
      </c>
      <c r="C155" s="495">
        <v>21</v>
      </c>
      <c r="D155" s="495">
        <v>90</v>
      </c>
      <c r="E155" s="497">
        <v>4.26</v>
      </c>
      <c r="F155" s="497">
        <v>4.9800000000000004</v>
      </c>
      <c r="G155" s="497">
        <v>5.34</v>
      </c>
      <c r="H155" s="497">
        <v>5.42</v>
      </c>
      <c r="I155" s="497">
        <v>5.37</v>
      </c>
      <c r="J155" s="497">
        <v>5.56</v>
      </c>
      <c r="K155" s="497">
        <v>5.68</v>
      </c>
      <c r="L155" s="497">
        <v>5.26</v>
      </c>
      <c r="M155" s="497">
        <v>5.0999999999999996</v>
      </c>
      <c r="N155" s="497">
        <v>4.8</v>
      </c>
      <c r="O155" s="497">
        <v>4.58</v>
      </c>
      <c r="P155" s="497">
        <v>3.98</v>
      </c>
      <c r="Q155" s="202">
        <f t="shared" si="5"/>
        <v>5.027499999999999</v>
      </c>
      <c r="R155" s="202" t="s">
        <v>1019</v>
      </c>
    </row>
    <row r="156" spans="1:18" x14ac:dyDescent="0.15">
      <c r="A156" s="202" t="str">
        <f t="shared" si="4"/>
        <v>Merida_Optimal Year Round_112.5</v>
      </c>
      <c r="B156" s="580" t="s">
        <v>1016</v>
      </c>
      <c r="C156" s="495">
        <v>21</v>
      </c>
      <c r="D156" s="495">
        <v>112.5</v>
      </c>
      <c r="E156" s="497">
        <v>4.66</v>
      </c>
      <c r="F156" s="497">
        <v>5.44</v>
      </c>
      <c r="G156" s="497">
        <v>5.84</v>
      </c>
      <c r="H156" s="497">
        <v>5.93</v>
      </c>
      <c r="I156" s="497">
        <v>5.87</v>
      </c>
      <c r="J156" s="497">
        <v>6.08</v>
      </c>
      <c r="K156" s="497">
        <v>6.21</v>
      </c>
      <c r="L156" s="497">
        <v>5.76</v>
      </c>
      <c r="M156" s="497">
        <v>5.57</v>
      </c>
      <c r="N156" s="497">
        <v>5.25</v>
      </c>
      <c r="O156" s="497">
        <v>5.01</v>
      </c>
      <c r="P156" s="497">
        <v>4.3600000000000003</v>
      </c>
      <c r="Q156" s="202">
        <f t="shared" si="5"/>
        <v>5.498333333333334</v>
      </c>
      <c r="R156" s="202" t="s">
        <v>1019</v>
      </c>
    </row>
    <row r="157" spans="1:18" x14ac:dyDescent="0.15">
      <c r="A157" s="202" t="str">
        <f t="shared" si="4"/>
        <v>Merida_Optimal Year Round_135</v>
      </c>
      <c r="B157" s="580" t="s">
        <v>1016</v>
      </c>
      <c r="C157" s="495">
        <v>21</v>
      </c>
      <c r="D157" s="495">
        <v>135</v>
      </c>
      <c r="E157" s="497">
        <v>5.0599999999999996</v>
      </c>
      <c r="F157" s="497">
        <v>5.91</v>
      </c>
      <c r="G157" s="497">
        <v>6.35</v>
      </c>
      <c r="H157" s="497">
        <v>6.44</v>
      </c>
      <c r="I157" s="497">
        <v>6.37</v>
      </c>
      <c r="J157" s="497">
        <v>6.6</v>
      </c>
      <c r="K157" s="497">
        <v>6.74</v>
      </c>
      <c r="L157" s="497">
        <v>6.25</v>
      </c>
      <c r="M157" s="497">
        <v>6.05</v>
      </c>
      <c r="N157" s="497">
        <v>5.7</v>
      </c>
      <c r="O157" s="497">
        <v>5.44</v>
      </c>
      <c r="P157" s="497">
        <v>4.7300000000000004</v>
      </c>
      <c r="Q157" s="202">
        <f t="shared" si="5"/>
        <v>5.9700000000000015</v>
      </c>
      <c r="R157" s="202" t="s">
        <v>1019</v>
      </c>
    </row>
    <row r="158" spans="1:18" x14ac:dyDescent="0.15">
      <c r="A158" s="202" t="str">
        <f t="shared" si="4"/>
        <v>Merida_Optimal Year Round_157.5</v>
      </c>
      <c r="B158" s="580" t="s">
        <v>1016</v>
      </c>
      <c r="C158" s="495">
        <v>21</v>
      </c>
      <c r="D158" s="495">
        <v>157.5</v>
      </c>
      <c r="E158" s="497">
        <v>5.2</v>
      </c>
      <c r="F158" s="497">
        <v>6.06</v>
      </c>
      <c r="G158" s="497">
        <v>6.51</v>
      </c>
      <c r="H158" s="497">
        <v>6.61</v>
      </c>
      <c r="I158" s="497">
        <v>6.54</v>
      </c>
      <c r="J158" s="497">
        <v>6.78</v>
      </c>
      <c r="K158" s="497">
        <v>6.92</v>
      </c>
      <c r="L158" s="497">
        <v>6.42</v>
      </c>
      <c r="M158" s="497">
        <v>6.21</v>
      </c>
      <c r="N158" s="497">
        <v>5.85</v>
      </c>
      <c r="O158" s="497">
        <v>5.59</v>
      </c>
      <c r="P158" s="497">
        <v>4.8600000000000003</v>
      </c>
      <c r="Q158" s="202">
        <f t="shared" si="5"/>
        <v>6.1291666666666664</v>
      </c>
      <c r="R158" s="202" t="s">
        <v>1019</v>
      </c>
    </row>
    <row r="159" spans="1:18" x14ac:dyDescent="0.15">
      <c r="A159" s="202" t="str">
        <f t="shared" si="4"/>
        <v>Merida_Optimal Year Round_180</v>
      </c>
      <c r="B159" s="580" t="s">
        <v>1016</v>
      </c>
      <c r="C159" s="495">
        <v>21</v>
      </c>
      <c r="D159" s="495">
        <v>180</v>
      </c>
      <c r="E159" s="497">
        <v>5.33</v>
      </c>
      <c r="F159" s="497">
        <v>6.22</v>
      </c>
      <c r="G159" s="497">
        <v>6.68</v>
      </c>
      <c r="H159" s="497">
        <v>6.78</v>
      </c>
      <c r="I159" s="497">
        <v>6.71</v>
      </c>
      <c r="J159" s="497">
        <v>6.95</v>
      </c>
      <c r="K159" s="497">
        <v>7.1</v>
      </c>
      <c r="L159" s="497">
        <v>6.58</v>
      </c>
      <c r="M159" s="497">
        <v>6.37</v>
      </c>
      <c r="N159" s="497">
        <v>6</v>
      </c>
      <c r="O159" s="497">
        <v>5.73</v>
      </c>
      <c r="P159" s="497">
        <v>4.9800000000000004</v>
      </c>
      <c r="Q159" s="202">
        <f t="shared" si="5"/>
        <v>6.2858333333333336</v>
      </c>
      <c r="R159" s="202" t="s">
        <v>1019</v>
      </c>
    </row>
    <row r="160" spans="1:18" x14ac:dyDescent="0.15">
      <c r="A160" s="202" t="str">
        <f t="shared" si="4"/>
        <v>Merida_Optimal Year Round_202.5</v>
      </c>
      <c r="B160" s="580" t="s">
        <v>1016</v>
      </c>
      <c r="C160" s="495">
        <v>21</v>
      </c>
      <c r="D160" s="495">
        <v>202.5</v>
      </c>
      <c r="E160" s="497">
        <v>5.2</v>
      </c>
      <c r="F160" s="497">
        <v>6.06</v>
      </c>
      <c r="G160" s="497">
        <v>6.51</v>
      </c>
      <c r="H160" s="497">
        <v>6.61</v>
      </c>
      <c r="I160" s="497">
        <v>6.54</v>
      </c>
      <c r="J160" s="497">
        <v>6.78</v>
      </c>
      <c r="K160" s="497">
        <v>6.92</v>
      </c>
      <c r="L160" s="497">
        <v>6.42</v>
      </c>
      <c r="M160" s="497">
        <v>6.21</v>
      </c>
      <c r="N160" s="497">
        <v>5.85</v>
      </c>
      <c r="O160" s="497">
        <v>5.59</v>
      </c>
      <c r="P160" s="497">
        <v>4.8600000000000003</v>
      </c>
      <c r="Q160" s="202">
        <f t="shared" si="5"/>
        <v>6.1291666666666664</v>
      </c>
      <c r="R160" s="202" t="s">
        <v>1019</v>
      </c>
    </row>
    <row r="161" spans="1:18" x14ac:dyDescent="0.15">
      <c r="A161" s="202" t="str">
        <f t="shared" si="4"/>
        <v>Merida_Optimal Year Round_225</v>
      </c>
      <c r="B161" s="580" t="s">
        <v>1016</v>
      </c>
      <c r="C161" s="495">
        <v>21</v>
      </c>
      <c r="D161" s="495">
        <v>225</v>
      </c>
      <c r="E161" s="495">
        <v>5.0599999999999996</v>
      </c>
      <c r="F161" s="495">
        <v>5.91</v>
      </c>
      <c r="G161" s="495">
        <v>6.35</v>
      </c>
      <c r="H161" s="495">
        <v>6.44</v>
      </c>
      <c r="I161" s="495">
        <v>6.37</v>
      </c>
      <c r="J161" s="495">
        <v>6.6</v>
      </c>
      <c r="K161" s="495">
        <v>6.74</v>
      </c>
      <c r="L161" s="495">
        <v>6.25</v>
      </c>
      <c r="M161" s="495">
        <v>6.05</v>
      </c>
      <c r="N161" s="495">
        <v>5.7</v>
      </c>
      <c r="O161" s="495">
        <v>5.44</v>
      </c>
      <c r="P161" s="495">
        <v>4.7300000000000004</v>
      </c>
      <c r="Q161" s="202">
        <f t="shared" si="5"/>
        <v>5.9700000000000015</v>
      </c>
      <c r="R161" s="202" t="s">
        <v>1019</v>
      </c>
    </row>
    <row r="162" spans="1:18" x14ac:dyDescent="0.15">
      <c r="A162" s="202" t="str">
        <f t="shared" si="4"/>
        <v>Merida_Optimal Year Round_247.5</v>
      </c>
      <c r="B162" s="580" t="s">
        <v>1016</v>
      </c>
      <c r="C162" s="495">
        <v>21</v>
      </c>
      <c r="D162" s="495">
        <v>247.5</v>
      </c>
      <c r="E162" s="495">
        <v>4.66</v>
      </c>
      <c r="F162" s="495">
        <v>5.44</v>
      </c>
      <c r="G162" s="495">
        <v>5.84</v>
      </c>
      <c r="H162" s="495">
        <v>5.93</v>
      </c>
      <c r="I162" s="495">
        <v>5.87</v>
      </c>
      <c r="J162" s="495">
        <v>6.08</v>
      </c>
      <c r="K162" s="495">
        <v>6.21</v>
      </c>
      <c r="L162" s="495">
        <v>5.76</v>
      </c>
      <c r="M162" s="495">
        <v>5.57</v>
      </c>
      <c r="N162" s="495">
        <v>5.25</v>
      </c>
      <c r="O162" s="495">
        <v>5.01</v>
      </c>
      <c r="P162" s="495">
        <v>4.3600000000000003</v>
      </c>
      <c r="Q162" s="202">
        <f t="shared" si="5"/>
        <v>5.498333333333334</v>
      </c>
      <c r="R162" s="202" t="s">
        <v>1019</v>
      </c>
    </row>
    <row r="163" spans="1:18" x14ac:dyDescent="0.15">
      <c r="A163" s="202" t="str">
        <f t="shared" si="4"/>
        <v>Merida_Optimal Year Round_270</v>
      </c>
      <c r="B163" s="580" t="s">
        <v>1016</v>
      </c>
      <c r="C163" s="495">
        <v>21</v>
      </c>
      <c r="D163" s="495">
        <v>270</v>
      </c>
      <c r="E163" s="495">
        <v>4.26</v>
      </c>
      <c r="F163" s="495">
        <v>4.9800000000000004</v>
      </c>
      <c r="G163" s="495">
        <v>5.34</v>
      </c>
      <c r="H163" s="495">
        <v>5.42</v>
      </c>
      <c r="I163" s="495">
        <v>5.37</v>
      </c>
      <c r="J163" s="495">
        <v>5.56</v>
      </c>
      <c r="K163" s="495">
        <v>5.68</v>
      </c>
      <c r="L163" s="495">
        <v>5.26</v>
      </c>
      <c r="M163" s="495">
        <v>5.0999999999999996</v>
      </c>
      <c r="N163" s="495">
        <v>4.8</v>
      </c>
      <c r="O163" s="495">
        <v>4.58</v>
      </c>
      <c r="P163" s="495">
        <v>3.98</v>
      </c>
      <c r="Q163" s="202">
        <f t="shared" si="5"/>
        <v>5.027499999999999</v>
      </c>
      <c r="R163" s="202" t="s">
        <v>1019</v>
      </c>
    </row>
    <row r="164" spans="1:18" x14ac:dyDescent="0.15">
      <c r="A164" s="202" t="str">
        <f t="shared" si="4"/>
        <v>Mexicali_Flat Surface_90</v>
      </c>
      <c r="B164" s="202" t="s">
        <v>1026</v>
      </c>
      <c r="C164" s="202">
        <v>0</v>
      </c>
      <c r="D164" s="202">
        <v>90</v>
      </c>
      <c r="E164" s="202">
        <v>3.08</v>
      </c>
      <c r="F164" s="202">
        <v>3.9</v>
      </c>
      <c r="G164" s="202">
        <v>5.27</v>
      </c>
      <c r="H164" s="202">
        <v>6.31</v>
      </c>
      <c r="I164" s="202">
        <v>7.25</v>
      </c>
      <c r="J164" s="202">
        <v>7.5</v>
      </c>
      <c r="K164" s="202">
        <v>6.89</v>
      </c>
      <c r="L164" s="202">
        <v>6.26</v>
      </c>
      <c r="M164" s="202">
        <v>5.45</v>
      </c>
      <c r="N164" s="202">
        <v>4.42</v>
      </c>
      <c r="O164" s="202">
        <v>3.41</v>
      </c>
      <c r="P164" s="202">
        <v>2.87</v>
      </c>
      <c r="Q164" s="202">
        <f t="shared" si="5"/>
        <v>5.2175000000000002</v>
      </c>
      <c r="R164" s="202" t="s">
        <v>1020</v>
      </c>
    </row>
    <row r="165" spans="1:18" x14ac:dyDescent="0.15">
      <c r="A165" s="202" t="str">
        <f t="shared" si="4"/>
        <v>Mexicali_Flat Surface_112.5</v>
      </c>
      <c r="B165" s="202" t="s">
        <v>1026</v>
      </c>
      <c r="C165" s="202">
        <v>0</v>
      </c>
      <c r="D165" s="202">
        <v>112.5</v>
      </c>
      <c r="E165" s="202">
        <v>3.08</v>
      </c>
      <c r="F165" s="202">
        <v>3.9</v>
      </c>
      <c r="G165" s="202">
        <v>5.27</v>
      </c>
      <c r="H165" s="202">
        <v>6.31</v>
      </c>
      <c r="I165" s="202">
        <v>7.25</v>
      </c>
      <c r="J165" s="202">
        <v>7.5</v>
      </c>
      <c r="K165" s="202">
        <v>6.89</v>
      </c>
      <c r="L165" s="202">
        <v>6.26</v>
      </c>
      <c r="M165" s="202">
        <v>5.45</v>
      </c>
      <c r="N165" s="202">
        <v>4.42</v>
      </c>
      <c r="O165" s="202">
        <v>3.41</v>
      </c>
      <c r="P165" s="202">
        <v>2.87</v>
      </c>
      <c r="Q165" s="202">
        <f t="shared" si="5"/>
        <v>5.2175000000000002</v>
      </c>
      <c r="R165" s="202" t="s">
        <v>1020</v>
      </c>
    </row>
    <row r="166" spans="1:18" x14ac:dyDescent="0.15">
      <c r="A166" s="202" t="str">
        <f t="shared" si="4"/>
        <v>Mexicali_Flat Surface_135</v>
      </c>
      <c r="B166" s="202" t="s">
        <v>1026</v>
      </c>
      <c r="C166" s="202">
        <v>0</v>
      </c>
      <c r="D166" s="202">
        <v>135</v>
      </c>
      <c r="E166" s="202">
        <v>3.08</v>
      </c>
      <c r="F166" s="202">
        <v>3.9</v>
      </c>
      <c r="G166" s="202">
        <v>5.27</v>
      </c>
      <c r="H166" s="202">
        <v>6.31</v>
      </c>
      <c r="I166" s="202">
        <v>7.25</v>
      </c>
      <c r="J166" s="202">
        <v>7.5</v>
      </c>
      <c r="K166" s="202">
        <v>6.89</v>
      </c>
      <c r="L166" s="202">
        <v>6.26</v>
      </c>
      <c r="M166" s="202">
        <v>5.45</v>
      </c>
      <c r="N166" s="202">
        <v>4.42</v>
      </c>
      <c r="O166" s="202">
        <v>3.41</v>
      </c>
      <c r="P166" s="202">
        <v>2.87</v>
      </c>
      <c r="Q166" s="202">
        <f t="shared" si="5"/>
        <v>5.2175000000000002</v>
      </c>
      <c r="R166" s="202" t="s">
        <v>1020</v>
      </c>
    </row>
    <row r="167" spans="1:18" x14ac:dyDescent="0.15">
      <c r="A167" s="202" t="str">
        <f t="shared" si="4"/>
        <v>Mexicali_Flat Surface_157.5</v>
      </c>
      <c r="B167" s="202" t="s">
        <v>1026</v>
      </c>
      <c r="C167" s="202">
        <v>0</v>
      </c>
      <c r="D167" s="202">
        <v>157.5</v>
      </c>
      <c r="E167" s="202">
        <v>3.08</v>
      </c>
      <c r="F167" s="202">
        <v>3.9</v>
      </c>
      <c r="G167" s="202">
        <v>5.27</v>
      </c>
      <c r="H167" s="202">
        <v>6.31</v>
      </c>
      <c r="I167" s="202">
        <v>7.25</v>
      </c>
      <c r="J167" s="202">
        <v>7.5</v>
      </c>
      <c r="K167" s="202">
        <v>6.89</v>
      </c>
      <c r="L167" s="202">
        <v>6.26</v>
      </c>
      <c r="M167" s="202">
        <v>5.45</v>
      </c>
      <c r="N167" s="202">
        <v>4.42</v>
      </c>
      <c r="O167" s="202">
        <v>3.41</v>
      </c>
      <c r="P167" s="202">
        <v>2.87</v>
      </c>
      <c r="Q167" s="202">
        <f t="shared" si="5"/>
        <v>5.2175000000000002</v>
      </c>
      <c r="R167" s="202" t="s">
        <v>1020</v>
      </c>
    </row>
    <row r="168" spans="1:18" x14ac:dyDescent="0.15">
      <c r="A168" s="202" t="str">
        <f t="shared" si="4"/>
        <v>Mexicali_Flat Surface_180</v>
      </c>
      <c r="B168" s="202" t="s">
        <v>1026</v>
      </c>
      <c r="C168" s="202">
        <v>0</v>
      </c>
      <c r="D168" s="202">
        <v>180</v>
      </c>
      <c r="E168" s="202">
        <v>3.08</v>
      </c>
      <c r="F168" s="202">
        <v>3.9</v>
      </c>
      <c r="G168" s="202">
        <v>5.27</v>
      </c>
      <c r="H168" s="202">
        <v>6.31</v>
      </c>
      <c r="I168" s="202">
        <v>7.25</v>
      </c>
      <c r="J168" s="202">
        <v>7.5</v>
      </c>
      <c r="K168" s="202">
        <v>6.89</v>
      </c>
      <c r="L168" s="202">
        <v>6.26</v>
      </c>
      <c r="M168" s="202">
        <v>5.45</v>
      </c>
      <c r="N168" s="202">
        <v>4.42</v>
      </c>
      <c r="O168" s="202">
        <v>3.41</v>
      </c>
      <c r="P168" s="202">
        <v>2.87</v>
      </c>
      <c r="Q168" s="202">
        <f t="shared" si="5"/>
        <v>5.2175000000000002</v>
      </c>
      <c r="R168" s="202" t="s">
        <v>1020</v>
      </c>
    </row>
    <row r="169" spans="1:18" x14ac:dyDescent="0.15">
      <c r="A169" s="202" t="str">
        <f t="shared" si="4"/>
        <v>Mexicali_Flat Surface_202.5</v>
      </c>
      <c r="B169" s="202" t="s">
        <v>1026</v>
      </c>
      <c r="C169" s="202">
        <v>0</v>
      </c>
      <c r="D169" s="202">
        <v>202.5</v>
      </c>
      <c r="E169" s="202">
        <v>3.08</v>
      </c>
      <c r="F169" s="202">
        <v>3.9</v>
      </c>
      <c r="G169" s="202">
        <v>5.27</v>
      </c>
      <c r="H169" s="202">
        <v>6.31</v>
      </c>
      <c r="I169" s="202">
        <v>7.25</v>
      </c>
      <c r="J169" s="202">
        <v>7.5</v>
      </c>
      <c r="K169" s="202">
        <v>6.89</v>
      </c>
      <c r="L169" s="202">
        <v>6.26</v>
      </c>
      <c r="M169" s="202">
        <v>5.45</v>
      </c>
      <c r="N169" s="202">
        <v>4.42</v>
      </c>
      <c r="O169" s="202">
        <v>3.41</v>
      </c>
      <c r="P169" s="202">
        <v>2.87</v>
      </c>
      <c r="Q169" s="202">
        <f t="shared" si="5"/>
        <v>5.2175000000000002</v>
      </c>
      <c r="R169" s="202" t="s">
        <v>1020</v>
      </c>
    </row>
    <row r="170" spans="1:18" x14ac:dyDescent="0.15">
      <c r="A170" s="202" t="str">
        <f t="shared" si="4"/>
        <v>Mexicali_Flat Surface_225</v>
      </c>
      <c r="B170" s="202" t="s">
        <v>1026</v>
      </c>
      <c r="C170" s="202">
        <v>0</v>
      </c>
      <c r="D170" s="202">
        <v>225</v>
      </c>
      <c r="E170" s="202">
        <v>3.08</v>
      </c>
      <c r="F170" s="202">
        <v>3.9</v>
      </c>
      <c r="G170" s="202">
        <v>5.27</v>
      </c>
      <c r="H170" s="202">
        <v>6.31</v>
      </c>
      <c r="I170" s="202">
        <v>7.25</v>
      </c>
      <c r="J170" s="202">
        <v>7.5</v>
      </c>
      <c r="K170" s="202">
        <v>6.89</v>
      </c>
      <c r="L170" s="202">
        <v>6.26</v>
      </c>
      <c r="M170" s="202">
        <v>5.45</v>
      </c>
      <c r="N170" s="202">
        <v>4.42</v>
      </c>
      <c r="O170" s="202">
        <v>3.41</v>
      </c>
      <c r="P170" s="202">
        <v>2.87</v>
      </c>
      <c r="Q170" s="202">
        <f t="shared" si="5"/>
        <v>5.2175000000000002</v>
      </c>
      <c r="R170" s="202" t="s">
        <v>1020</v>
      </c>
    </row>
    <row r="171" spans="1:18" x14ac:dyDescent="0.15">
      <c r="A171" s="202" t="str">
        <f t="shared" si="4"/>
        <v>Mexicali_Flat Surface_247.5</v>
      </c>
      <c r="B171" s="202" t="s">
        <v>1026</v>
      </c>
      <c r="C171" s="202">
        <v>0</v>
      </c>
      <c r="D171" s="202">
        <v>247.5</v>
      </c>
      <c r="E171" s="202">
        <v>3.08</v>
      </c>
      <c r="F171" s="202">
        <v>3.9</v>
      </c>
      <c r="G171" s="202">
        <v>5.27</v>
      </c>
      <c r="H171" s="202">
        <v>6.31</v>
      </c>
      <c r="I171" s="202">
        <v>7.25</v>
      </c>
      <c r="J171" s="202">
        <v>7.5</v>
      </c>
      <c r="K171" s="202">
        <v>6.89</v>
      </c>
      <c r="L171" s="202">
        <v>6.26</v>
      </c>
      <c r="M171" s="202">
        <v>5.45</v>
      </c>
      <c r="N171" s="202">
        <v>4.42</v>
      </c>
      <c r="O171" s="202">
        <v>3.41</v>
      </c>
      <c r="P171" s="202">
        <v>2.87</v>
      </c>
      <c r="Q171" s="202">
        <f t="shared" si="5"/>
        <v>5.2175000000000002</v>
      </c>
      <c r="R171" s="202" t="s">
        <v>1020</v>
      </c>
    </row>
    <row r="172" spans="1:18" x14ac:dyDescent="0.15">
      <c r="A172" s="202" t="str">
        <f t="shared" si="4"/>
        <v>Mexicali_Flat Surface_270</v>
      </c>
      <c r="B172" s="202" t="s">
        <v>1026</v>
      </c>
      <c r="C172" s="202">
        <v>0</v>
      </c>
      <c r="D172" s="202">
        <v>270</v>
      </c>
      <c r="E172" s="202">
        <v>3.08</v>
      </c>
      <c r="F172" s="202">
        <v>3.9</v>
      </c>
      <c r="G172" s="202">
        <v>5.27</v>
      </c>
      <c r="H172" s="202">
        <v>6.31</v>
      </c>
      <c r="I172" s="202">
        <v>7.25</v>
      </c>
      <c r="J172" s="202">
        <v>7.5</v>
      </c>
      <c r="K172" s="202">
        <v>6.89</v>
      </c>
      <c r="L172" s="202">
        <v>6.26</v>
      </c>
      <c r="M172" s="202">
        <v>5.45</v>
      </c>
      <c r="N172" s="202">
        <v>4.42</v>
      </c>
      <c r="O172" s="202">
        <v>3.41</v>
      </c>
      <c r="P172" s="202">
        <v>2.87</v>
      </c>
      <c r="Q172" s="202">
        <f t="shared" si="5"/>
        <v>5.2175000000000002</v>
      </c>
      <c r="R172" s="202" t="s">
        <v>1020</v>
      </c>
    </row>
    <row r="173" spans="1:18" x14ac:dyDescent="0.15">
      <c r="A173" s="202" t="str">
        <f t="shared" si="4"/>
        <v>Mexicali_Optimal Summer_90</v>
      </c>
      <c r="B173" s="202" t="s">
        <v>1026</v>
      </c>
      <c r="C173" s="202">
        <v>18</v>
      </c>
      <c r="D173" s="202">
        <v>90</v>
      </c>
      <c r="E173" s="202">
        <v>3.18</v>
      </c>
      <c r="F173" s="202">
        <v>3.77</v>
      </c>
      <c r="G173" s="202">
        <v>4.7300000000000004</v>
      </c>
      <c r="H173" s="202">
        <v>5.27</v>
      </c>
      <c r="I173" s="202">
        <v>5.7</v>
      </c>
      <c r="J173" s="202">
        <v>5.78</v>
      </c>
      <c r="K173" s="202">
        <v>5.37</v>
      </c>
      <c r="L173" s="202">
        <v>5.07</v>
      </c>
      <c r="M173" s="202">
        <v>4.7300000000000004</v>
      </c>
      <c r="N173" s="202">
        <v>4.18</v>
      </c>
      <c r="O173" s="202">
        <v>3.48</v>
      </c>
      <c r="P173" s="202">
        <v>3.06</v>
      </c>
      <c r="Q173" s="202">
        <f t="shared" si="5"/>
        <v>4.5266666666666664</v>
      </c>
      <c r="R173" s="202" t="s">
        <v>984</v>
      </c>
    </row>
    <row r="174" spans="1:18" x14ac:dyDescent="0.15">
      <c r="A174" s="202" t="str">
        <f t="shared" si="4"/>
        <v>Mexicali_Optimal Summer_112.5</v>
      </c>
      <c r="B174" s="202" t="s">
        <v>1026</v>
      </c>
      <c r="C174" s="202">
        <v>18</v>
      </c>
      <c r="D174" s="202">
        <v>112.5</v>
      </c>
      <c r="E174" s="202">
        <v>3.48</v>
      </c>
      <c r="F174" s="202">
        <v>4.12</v>
      </c>
      <c r="G174" s="202">
        <v>5.17</v>
      </c>
      <c r="H174" s="202">
        <v>5.77</v>
      </c>
      <c r="I174" s="202">
        <v>6.24</v>
      </c>
      <c r="J174" s="202">
        <v>6.32</v>
      </c>
      <c r="K174" s="202">
        <v>5.87</v>
      </c>
      <c r="L174" s="202">
        <v>5.55</v>
      </c>
      <c r="M174" s="202">
        <v>5.17</v>
      </c>
      <c r="N174" s="202">
        <v>4.58</v>
      </c>
      <c r="O174" s="202">
        <v>3.81</v>
      </c>
      <c r="P174" s="202">
        <v>3.34</v>
      </c>
      <c r="Q174" s="202">
        <f t="shared" si="5"/>
        <v>4.9516666666666671</v>
      </c>
      <c r="R174" s="202" t="s">
        <v>984</v>
      </c>
    </row>
    <row r="175" spans="1:18" x14ac:dyDescent="0.15">
      <c r="A175" s="202" t="str">
        <f t="shared" si="4"/>
        <v>Mexicali_Optimal Summer_135</v>
      </c>
      <c r="B175" s="202" t="s">
        <v>1026</v>
      </c>
      <c r="C175" s="202">
        <v>18</v>
      </c>
      <c r="D175" s="202">
        <v>135</v>
      </c>
      <c r="E175" s="202">
        <v>3.78</v>
      </c>
      <c r="F175" s="202">
        <v>4.47</v>
      </c>
      <c r="G175" s="202">
        <v>5.61</v>
      </c>
      <c r="H175" s="202">
        <v>6.26</v>
      </c>
      <c r="I175" s="202">
        <v>6.77</v>
      </c>
      <c r="J175" s="202">
        <v>6.86</v>
      </c>
      <c r="K175" s="202">
        <v>6.37</v>
      </c>
      <c r="L175" s="202">
        <v>6.02</v>
      </c>
      <c r="M175" s="202">
        <v>5.61</v>
      </c>
      <c r="N175" s="202">
        <v>4.97</v>
      </c>
      <c r="O175" s="202">
        <v>4.13</v>
      </c>
      <c r="P175" s="202">
        <v>3.63</v>
      </c>
      <c r="Q175" s="202">
        <f t="shared" si="5"/>
        <v>5.373333333333334</v>
      </c>
      <c r="R175" s="202" t="s">
        <v>984</v>
      </c>
    </row>
    <row r="176" spans="1:18" x14ac:dyDescent="0.15">
      <c r="A176" s="202" t="str">
        <f t="shared" si="4"/>
        <v>Mexicali_Optimal Summer_157.5</v>
      </c>
      <c r="B176" s="202" t="s">
        <v>1026</v>
      </c>
      <c r="C176" s="202">
        <v>18</v>
      </c>
      <c r="D176" s="202">
        <v>157.5</v>
      </c>
      <c r="E176" s="202">
        <v>3.88</v>
      </c>
      <c r="F176" s="202">
        <v>4.59</v>
      </c>
      <c r="G176" s="202">
        <v>5.76</v>
      </c>
      <c r="H176" s="202">
        <v>6.43</v>
      </c>
      <c r="I176" s="202">
        <v>6.95</v>
      </c>
      <c r="J176" s="202">
        <v>7.04</v>
      </c>
      <c r="K176" s="202">
        <v>6.54</v>
      </c>
      <c r="L176" s="202">
        <v>6.18</v>
      </c>
      <c r="M176" s="202">
        <v>5.76</v>
      </c>
      <c r="N176" s="202">
        <v>5.0999999999999996</v>
      </c>
      <c r="O176" s="202">
        <v>4.24</v>
      </c>
      <c r="P176" s="202">
        <v>3.72</v>
      </c>
      <c r="Q176" s="202">
        <f t="shared" si="5"/>
        <v>5.5158333333333331</v>
      </c>
      <c r="R176" s="202" t="s">
        <v>984</v>
      </c>
    </row>
    <row r="177" spans="1:18" x14ac:dyDescent="0.15">
      <c r="A177" s="202" t="str">
        <f t="shared" si="4"/>
        <v>Mexicali_Optimal Summer_180</v>
      </c>
      <c r="B177" s="202" t="s">
        <v>1026</v>
      </c>
      <c r="C177" s="202">
        <v>18</v>
      </c>
      <c r="D177" s="202">
        <v>180</v>
      </c>
      <c r="E177" s="202">
        <v>3.98</v>
      </c>
      <c r="F177" s="202">
        <v>4.71</v>
      </c>
      <c r="G177" s="202">
        <v>5.91</v>
      </c>
      <c r="H177" s="202">
        <v>6.59</v>
      </c>
      <c r="I177" s="202">
        <v>7.13</v>
      </c>
      <c r="J177" s="202">
        <v>7.22</v>
      </c>
      <c r="K177" s="202">
        <v>6.71</v>
      </c>
      <c r="L177" s="202">
        <v>6.34</v>
      </c>
      <c r="M177" s="202">
        <v>5.91</v>
      </c>
      <c r="N177" s="202">
        <v>5.23</v>
      </c>
      <c r="O177" s="202">
        <v>4.3499999999999996</v>
      </c>
      <c r="P177" s="202">
        <v>3.82</v>
      </c>
      <c r="Q177" s="202">
        <f t="shared" si="5"/>
        <v>5.6583333333333323</v>
      </c>
      <c r="R177" s="202" t="s">
        <v>984</v>
      </c>
    </row>
    <row r="178" spans="1:18" x14ac:dyDescent="0.15">
      <c r="A178" s="202" t="str">
        <f t="shared" si="4"/>
        <v>Mexicali_Optimal Summer_202.5</v>
      </c>
      <c r="B178" s="202" t="s">
        <v>1026</v>
      </c>
      <c r="C178" s="202">
        <v>18</v>
      </c>
      <c r="D178" s="202">
        <v>202.5</v>
      </c>
      <c r="E178" s="202">
        <v>3.88</v>
      </c>
      <c r="F178" s="202">
        <v>4.59</v>
      </c>
      <c r="G178" s="202">
        <v>5.76</v>
      </c>
      <c r="H178" s="202">
        <v>6.43</v>
      </c>
      <c r="I178" s="202">
        <v>6.95</v>
      </c>
      <c r="J178" s="202">
        <v>7.04</v>
      </c>
      <c r="K178" s="202">
        <v>6.54</v>
      </c>
      <c r="L178" s="202">
        <v>6.18</v>
      </c>
      <c r="M178" s="202">
        <v>5.76</v>
      </c>
      <c r="N178" s="202">
        <v>5.0999999999999996</v>
      </c>
      <c r="O178" s="202">
        <v>4.24</v>
      </c>
      <c r="P178" s="202">
        <v>3.72</v>
      </c>
      <c r="Q178" s="202">
        <f t="shared" si="5"/>
        <v>5.5158333333333331</v>
      </c>
      <c r="R178" s="202" t="s">
        <v>984</v>
      </c>
    </row>
    <row r="179" spans="1:18" x14ac:dyDescent="0.15">
      <c r="A179" s="202" t="str">
        <f t="shared" si="4"/>
        <v>Mexicali_Optimal Summer_225</v>
      </c>
      <c r="B179" s="202" t="s">
        <v>1026</v>
      </c>
      <c r="C179" s="202">
        <v>18</v>
      </c>
      <c r="D179" s="202">
        <v>225</v>
      </c>
      <c r="E179" s="202">
        <v>3.78</v>
      </c>
      <c r="F179" s="202">
        <v>4.47</v>
      </c>
      <c r="G179" s="202">
        <v>5.61</v>
      </c>
      <c r="H179" s="202">
        <v>6.26</v>
      </c>
      <c r="I179" s="202">
        <v>6.77</v>
      </c>
      <c r="J179" s="202">
        <v>6.86</v>
      </c>
      <c r="K179" s="202">
        <v>6.37</v>
      </c>
      <c r="L179" s="202">
        <v>6.02</v>
      </c>
      <c r="M179" s="202">
        <v>5.61</v>
      </c>
      <c r="N179" s="202">
        <v>4.97</v>
      </c>
      <c r="O179" s="202">
        <v>4.13</v>
      </c>
      <c r="P179" s="202">
        <v>3.63</v>
      </c>
      <c r="Q179" s="202">
        <f t="shared" si="5"/>
        <v>5.373333333333334</v>
      </c>
      <c r="R179" s="202" t="s">
        <v>984</v>
      </c>
    </row>
    <row r="180" spans="1:18" x14ac:dyDescent="0.15">
      <c r="A180" s="202" t="str">
        <f t="shared" si="4"/>
        <v>Mexicali_Optimal Summer_247.5</v>
      </c>
      <c r="B180" s="202" t="s">
        <v>1026</v>
      </c>
      <c r="C180" s="202">
        <v>18</v>
      </c>
      <c r="D180" s="202">
        <v>247.5</v>
      </c>
      <c r="E180" s="202">
        <v>3.48</v>
      </c>
      <c r="F180" s="202">
        <v>4.12</v>
      </c>
      <c r="G180" s="202">
        <v>5.17</v>
      </c>
      <c r="H180" s="202">
        <v>5.77</v>
      </c>
      <c r="I180" s="202">
        <v>6.24</v>
      </c>
      <c r="J180" s="202">
        <v>6.32</v>
      </c>
      <c r="K180" s="202">
        <v>5.87</v>
      </c>
      <c r="L180" s="202">
        <v>5.55</v>
      </c>
      <c r="M180" s="202">
        <v>5.17</v>
      </c>
      <c r="N180" s="202">
        <v>4.58</v>
      </c>
      <c r="O180" s="202">
        <v>3.81</v>
      </c>
      <c r="P180" s="202">
        <v>3.34</v>
      </c>
      <c r="Q180" s="202">
        <f t="shared" si="5"/>
        <v>4.9516666666666671</v>
      </c>
      <c r="R180" s="202" t="s">
        <v>984</v>
      </c>
    </row>
    <row r="181" spans="1:18" x14ac:dyDescent="0.15">
      <c r="A181" s="202" t="str">
        <f t="shared" si="4"/>
        <v>Mexicali_Optimal Summer_270</v>
      </c>
      <c r="B181" s="202" t="s">
        <v>1026</v>
      </c>
      <c r="C181" s="202">
        <v>18</v>
      </c>
      <c r="D181" s="202">
        <v>270</v>
      </c>
      <c r="E181" s="202">
        <v>3.18</v>
      </c>
      <c r="F181" s="202">
        <v>3.77</v>
      </c>
      <c r="G181" s="202">
        <v>4.7300000000000004</v>
      </c>
      <c r="H181" s="202">
        <v>5.27</v>
      </c>
      <c r="I181" s="202">
        <v>5.7</v>
      </c>
      <c r="J181" s="202">
        <v>5.78</v>
      </c>
      <c r="K181" s="202">
        <v>5.37</v>
      </c>
      <c r="L181" s="202">
        <v>5.07</v>
      </c>
      <c r="M181" s="202">
        <v>4.7300000000000004</v>
      </c>
      <c r="N181" s="202">
        <v>4.18</v>
      </c>
      <c r="O181" s="202">
        <v>3.48</v>
      </c>
      <c r="P181" s="202">
        <v>3.06</v>
      </c>
      <c r="Q181" s="202">
        <f t="shared" si="5"/>
        <v>4.5266666666666664</v>
      </c>
      <c r="R181" s="202" t="s">
        <v>984</v>
      </c>
    </row>
    <row r="182" spans="1:18" x14ac:dyDescent="0.15">
      <c r="A182" s="202" t="str">
        <f t="shared" si="4"/>
        <v>Mexicali_Optimal Year Round_90</v>
      </c>
      <c r="B182" s="202" t="s">
        <v>1026</v>
      </c>
      <c r="C182" s="202">
        <v>33</v>
      </c>
      <c r="D182" s="202">
        <v>90</v>
      </c>
      <c r="E182" s="202">
        <v>3.63</v>
      </c>
      <c r="F182" s="202">
        <v>4.12</v>
      </c>
      <c r="G182" s="202">
        <v>4.91</v>
      </c>
      <c r="H182" s="202">
        <v>5.18</v>
      </c>
      <c r="I182" s="202">
        <v>5.31</v>
      </c>
      <c r="J182" s="202">
        <v>5.26</v>
      </c>
      <c r="K182" s="202">
        <v>4.9400000000000004</v>
      </c>
      <c r="L182" s="202">
        <v>4.8499999999999996</v>
      </c>
      <c r="M182" s="202">
        <v>4.79</v>
      </c>
      <c r="N182" s="202">
        <v>4.51</v>
      </c>
      <c r="O182" s="202">
        <v>3.94</v>
      </c>
      <c r="P182" s="202">
        <v>3.54</v>
      </c>
      <c r="Q182" s="202">
        <f t="shared" si="5"/>
        <v>4.5816666666666661</v>
      </c>
      <c r="R182" s="202" t="s">
        <v>1019</v>
      </c>
    </row>
    <row r="183" spans="1:18" x14ac:dyDescent="0.15">
      <c r="A183" s="202" t="str">
        <f t="shared" si="4"/>
        <v>Mexicali_Optimal Year Round_112.5</v>
      </c>
      <c r="B183" s="202" t="s">
        <v>1026</v>
      </c>
      <c r="C183" s="202">
        <v>33</v>
      </c>
      <c r="D183" s="202">
        <v>112.5</v>
      </c>
      <c r="E183" s="202">
        <v>3.97</v>
      </c>
      <c r="F183" s="202">
        <v>4.51</v>
      </c>
      <c r="G183" s="202">
        <v>5.37</v>
      </c>
      <c r="H183" s="202">
        <v>5.66</v>
      </c>
      <c r="I183" s="202">
        <v>5.81</v>
      </c>
      <c r="J183" s="202">
        <v>5.75</v>
      </c>
      <c r="K183" s="202">
        <v>5.41</v>
      </c>
      <c r="L183" s="202">
        <v>5.3</v>
      </c>
      <c r="M183" s="202">
        <v>5.24</v>
      </c>
      <c r="N183" s="202">
        <v>4.9400000000000004</v>
      </c>
      <c r="O183" s="202">
        <v>4.3099999999999996</v>
      </c>
      <c r="P183" s="202">
        <v>3.88</v>
      </c>
      <c r="Q183" s="202">
        <f t="shared" si="5"/>
        <v>5.0125000000000002</v>
      </c>
      <c r="R183" s="202" t="s">
        <v>1019</v>
      </c>
    </row>
    <row r="184" spans="1:18" x14ac:dyDescent="0.15">
      <c r="A184" s="202" t="str">
        <f t="shared" si="4"/>
        <v>Mexicali_Optimal Year Round_135</v>
      </c>
      <c r="B184" s="202" t="s">
        <v>1026</v>
      </c>
      <c r="C184" s="202">
        <v>33</v>
      </c>
      <c r="D184" s="202">
        <v>135</v>
      </c>
      <c r="E184" s="202">
        <v>4.3099999999999996</v>
      </c>
      <c r="F184" s="202">
        <v>4.8899999999999997</v>
      </c>
      <c r="G184" s="202">
        <v>5.83</v>
      </c>
      <c r="H184" s="202">
        <v>6.15</v>
      </c>
      <c r="I184" s="202">
        <v>6.31</v>
      </c>
      <c r="J184" s="202">
        <v>6.24</v>
      </c>
      <c r="K184" s="202">
        <v>5.87</v>
      </c>
      <c r="L184" s="202">
        <v>5.76</v>
      </c>
      <c r="M184" s="202">
        <v>5.69</v>
      </c>
      <c r="N184" s="202">
        <v>5.36</v>
      </c>
      <c r="O184" s="202">
        <v>4.68</v>
      </c>
      <c r="P184" s="202">
        <v>4.21</v>
      </c>
      <c r="Q184" s="202">
        <f t="shared" si="5"/>
        <v>5.4416666666666655</v>
      </c>
      <c r="R184" s="202" t="s">
        <v>1019</v>
      </c>
    </row>
    <row r="185" spans="1:18" x14ac:dyDescent="0.15">
      <c r="A185" s="202" t="str">
        <f t="shared" si="4"/>
        <v>Mexicali_Optimal Year Round_157.5</v>
      </c>
      <c r="B185" s="202" t="s">
        <v>1026</v>
      </c>
      <c r="C185" s="202">
        <v>33</v>
      </c>
      <c r="D185" s="202">
        <v>157.5</v>
      </c>
      <c r="E185" s="202">
        <v>4.43</v>
      </c>
      <c r="F185" s="202">
        <v>5.0199999999999996</v>
      </c>
      <c r="G185" s="202">
        <v>5.99</v>
      </c>
      <c r="H185" s="202">
        <v>6.31</v>
      </c>
      <c r="I185" s="202">
        <v>6.47</v>
      </c>
      <c r="J185" s="202">
        <v>6.41</v>
      </c>
      <c r="K185" s="202">
        <v>6.03</v>
      </c>
      <c r="L185" s="202">
        <v>5.91</v>
      </c>
      <c r="M185" s="202">
        <v>5.84</v>
      </c>
      <c r="N185" s="202">
        <v>5.5</v>
      </c>
      <c r="O185" s="202">
        <v>4.8099999999999996</v>
      </c>
      <c r="P185" s="202">
        <v>4.32</v>
      </c>
      <c r="Q185" s="202">
        <f t="shared" si="5"/>
        <v>5.586666666666666</v>
      </c>
      <c r="R185" s="202" t="s">
        <v>1019</v>
      </c>
    </row>
    <row r="186" spans="1:18" x14ac:dyDescent="0.15">
      <c r="A186" s="202" t="str">
        <f t="shared" si="4"/>
        <v>Mexicali_Optimal Year Round_180</v>
      </c>
      <c r="B186" s="202" t="s">
        <v>1026</v>
      </c>
      <c r="C186" s="202">
        <v>33</v>
      </c>
      <c r="D186" s="202">
        <v>180</v>
      </c>
      <c r="E186" s="202">
        <v>4.54</v>
      </c>
      <c r="F186" s="202">
        <v>5.15</v>
      </c>
      <c r="G186" s="202">
        <v>6.14</v>
      </c>
      <c r="H186" s="202">
        <v>6.47</v>
      </c>
      <c r="I186" s="202">
        <v>6.64</v>
      </c>
      <c r="J186" s="202">
        <v>6.57</v>
      </c>
      <c r="K186" s="202">
        <v>6.18</v>
      </c>
      <c r="L186" s="202">
        <v>6.06</v>
      </c>
      <c r="M186" s="202">
        <v>5.99</v>
      </c>
      <c r="N186" s="202">
        <v>5.64</v>
      </c>
      <c r="O186" s="202">
        <v>4.93</v>
      </c>
      <c r="P186" s="202">
        <v>4.43</v>
      </c>
      <c r="Q186" s="202">
        <f t="shared" si="5"/>
        <v>5.7283333333333344</v>
      </c>
      <c r="R186" s="202" t="s">
        <v>1019</v>
      </c>
    </row>
    <row r="187" spans="1:18" x14ac:dyDescent="0.15">
      <c r="A187" s="202" t="str">
        <f t="shared" si="4"/>
        <v>Mexicali_Optimal Year Round_202.5</v>
      </c>
      <c r="B187" s="202" t="s">
        <v>1026</v>
      </c>
      <c r="C187" s="202">
        <v>33</v>
      </c>
      <c r="D187" s="202">
        <v>202.5</v>
      </c>
      <c r="E187" s="202">
        <v>4.43</v>
      </c>
      <c r="F187" s="202">
        <v>5.0199999999999996</v>
      </c>
      <c r="G187" s="202">
        <v>5.99</v>
      </c>
      <c r="H187" s="202">
        <v>6.31</v>
      </c>
      <c r="I187" s="202">
        <v>6.47</v>
      </c>
      <c r="J187" s="202">
        <v>6.41</v>
      </c>
      <c r="K187" s="202">
        <v>6.03</v>
      </c>
      <c r="L187" s="202">
        <v>5.91</v>
      </c>
      <c r="M187" s="202">
        <v>5.84</v>
      </c>
      <c r="N187" s="202">
        <v>5.5</v>
      </c>
      <c r="O187" s="202">
        <v>4.8099999999999996</v>
      </c>
      <c r="P187" s="202">
        <v>4.32</v>
      </c>
      <c r="Q187" s="202">
        <f t="shared" si="5"/>
        <v>5.586666666666666</v>
      </c>
      <c r="R187" s="202" t="s">
        <v>1019</v>
      </c>
    </row>
    <row r="188" spans="1:18" x14ac:dyDescent="0.15">
      <c r="A188" s="202" t="str">
        <f t="shared" si="4"/>
        <v>Mexicali_Optimal Year Round_225</v>
      </c>
      <c r="B188" s="202" t="s">
        <v>1026</v>
      </c>
      <c r="C188" s="202">
        <v>33</v>
      </c>
      <c r="D188" s="202">
        <v>225</v>
      </c>
      <c r="E188" s="202">
        <v>4.3099999999999996</v>
      </c>
      <c r="F188" s="202">
        <v>4.8899999999999997</v>
      </c>
      <c r="G188" s="202">
        <v>5.83</v>
      </c>
      <c r="H188" s="202">
        <v>6.15</v>
      </c>
      <c r="I188" s="202">
        <v>6.31</v>
      </c>
      <c r="J188" s="202">
        <v>6.24</v>
      </c>
      <c r="K188" s="202">
        <v>5.87</v>
      </c>
      <c r="L188" s="202">
        <v>5.76</v>
      </c>
      <c r="M188" s="202">
        <v>5.69</v>
      </c>
      <c r="N188" s="202">
        <v>5.36</v>
      </c>
      <c r="O188" s="202">
        <v>4.68</v>
      </c>
      <c r="P188" s="202">
        <v>4.21</v>
      </c>
      <c r="Q188" s="202">
        <f t="shared" si="5"/>
        <v>5.4416666666666655</v>
      </c>
      <c r="R188" s="202" t="s">
        <v>1019</v>
      </c>
    </row>
    <row r="189" spans="1:18" x14ac:dyDescent="0.15">
      <c r="A189" s="202" t="str">
        <f t="shared" si="4"/>
        <v>Mexicali_Optimal Year Round_247.5</v>
      </c>
      <c r="B189" s="202" t="s">
        <v>1026</v>
      </c>
      <c r="C189" s="202">
        <v>33</v>
      </c>
      <c r="D189" s="202">
        <v>247.5</v>
      </c>
      <c r="E189" s="202">
        <v>3.97</v>
      </c>
      <c r="F189" s="202">
        <v>4.51</v>
      </c>
      <c r="G189" s="202">
        <v>5.37</v>
      </c>
      <c r="H189" s="202">
        <v>5.66</v>
      </c>
      <c r="I189" s="202">
        <v>5.81</v>
      </c>
      <c r="J189" s="202">
        <v>5.75</v>
      </c>
      <c r="K189" s="202">
        <v>5.41</v>
      </c>
      <c r="L189" s="202">
        <v>5.3</v>
      </c>
      <c r="M189" s="202">
        <v>5.24</v>
      </c>
      <c r="N189" s="202">
        <v>4.9400000000000004</v>
      </c>
      <c r="O189" s="202">
        <v>4.3099999999999996</v>
      </c>
      <c r="P189" s="202">
        <v>3.88</v>
      </c>
      <c r="Q189" s="202">
        <f t="shared" si="5"/>
        <v>5.0125000000000002</v>
      </c>
      <c r="R189" s="202" t="s">
        <v>1019</v>
      </c>
    </row>
    <row r="190" spans="1:18" x14ac:dyDescent="0.15">
      <c r="A190" s="202" t="str">
        <f t="shared" si="4"/>
        <v>Mexicali_Optimal Year Round_270</v>
      </c>
      <c r="B190" s="202" t="s">
        <v>1026</v>
      </c>
      <c r="C190" s="202">
        <v>33</v>
      </c>
      <c r="D190" s="202">
        <v>270</v>
      </c>
      <c r="E190" s="202">
        <v>3.63</v>
      </c>
      <c r="F190" s="202">
        <v>4.12</v>
      </c>
      <c r="G190" s="202">
        <v>4.91</v>
      </c>
      <c r="H190" s="202">
        <v>5.18</v>
      </c>
      <c r="I190" s="202">
        <v>5.31</v>
      </c>
      <c r="J190" s="202">
        <v>5.26</v>
      </c>
      <c r="K190" s="202">
        <v>4.9400000000000004</v>
      </c>
      <c r="L190" s="202">
        <v>4.8499999999999996</v>
      </c>
      <c r="M190" s="202">
        <v>4.79</v>
      </c>
      <c r="N190" s="202">
        <v>4.51</v>
      </c>
      <c r="O190" s="202">
        <v>3.94</v>
      </c>
      <c r="P190" s="202">
        <v>3.54</v>
      </c>
      <c r="Q190" s="202">
        <f t="shared" si="5"/>
        <v>4.5816666666666661</v>
      </c>
      <c r="R190" s="202" t="s">
        <v>1019</v>
      </c>
    </row>
    <row r="191" spans="1:18" x14ac:dyDescent="0.15">
      <c r="A191" s="202" t="str">
        <f t="shared" si="4"/>
        <v>Miguel Hidalgo_Flat Surface_90</v>
      </c>
      <c r="B191" s="202" t="s">
        <v>1027</v>
      </c>
      <c r="C191" s="202">
        <v>0</v>
      </c>
      <c r="D191" s="202">
        <v>90</v>
      </c>
      <c r="E191" s="202">
        <v>4.74</v>
      </c>
      <c r="F191" s="202">
        <v>5.68</v>
      </c>
      <c r="G191" s="202">
        <v>6.47</v>
      </c>
      <c r="H191" s="202">
        <v>6.38</v>
      </c>
      <c r="I191" s="202">
        <v>6.21</v>
      </c>
      <c r="J191" s="202">
        <v>5.57</v>
      </c>
      <c r="K191" s="202">
        <v>5.48</v>
      </c>
      <c r="L191" s="202">
        <v>5.31</v>
      </c>
      <c r="M191" s="202">
        <v>4.88</v>
      </c>
      <c r="N191" s="202">
        <v>4.87</v>
      </c>
      <c r="O191" s="202">
        <v>4.7699999999999996</v>
      </c>
      <c r="P191" s="202">
        <v>4.34</v>
      </c>
      <c r="Q191" s="202">
        <f t="shared" si="5"/>
        <v>5.3916666666666666</v>
      </c>
      <c r="R191" s="202" t="s">
        <v>1020</v>
      </c>
    </row>
    <row r="192" spans="1:18" x14ac:dyDescent="0.15">
      <c r="A192" s="202" t="str">
        <f t="shared" si="4"/>
        <v>Miguel Hidalgo_Flat Surface_112.5</v>
      </c>
      <c r="B192" s="202" t="s">
        <v>1027</v>
      </c>
      <c r="C192" s="202">
        <v>0</v>
      </c>
      <c r="D192" s="202">
        <v>112.5</v>
      </c>
      <c r="E192" s="202">
        <v>4.74</v>
      </c>
      <c r="F192" s="202">
        <v>5.68</v>
      </c>
      <c r="G192" s="202">
        <v>6.47</v>
      </c>
      <c r="H192" s="202">
        <v>6.38</v>
      </c>
      <c r="I192" s="202">
        <v>6.21</v>
      </c>
      <c r="J192" s="202">
        <v>5.57</v>
      </c>
      <c r="K192" s="202">
        <v>5.48</v>
      </c>
      <c r="L192" s="202">
        <v>5.31</v>
      </c>
      <c r="M192" s="202">
        <v>4.88</v>
      </c>
      <c r="N192" s="202">
        <v>4.87</v>
      </c>
      <c r="O192" s="202">
        <v>4.7699999999999996</v>
      </c>
      <c r="P192" s="202">
        <v>4.34</v>
      </c>
      <c r="Q192" s="202">
        <f t="shared" si="5"/>
        <v>5.3916666666666666</v>
      </c>
      <c r="R192" s="202" t="s">
        <v>1020</v>
      </c>
    </row>
    <row r="193" spans="1:18" x14ac:dyDescent="0.15">
      <c r="A193" s="202" t="str">
        <f t="shared" si="4"/>
        <v>Miguel Hidalgo_Flat Surface_135</v>
      </c>
      <c r="B193" s="202" t="s">
        <v>1027</v>
      </c>
      <c r="C193" s="202">
        <v>0</v>
      </c>
      <c r="D193" s="202">
        <v>135</v>
      </c>
      <c r="E193" s="202">
        <v>4.74</v>
      </c>
      <c r="F193" s="202">
        <v>5.68</v>
      </c>
      <c r="G193" s="202">
        <v>6.47</v>
      </c>
      <c r="H193" s="202">
        <v>6.38</v>
      </c>
      <c r="I193" s="202">
        <v>6.21</v>
      </c>
      <c r="J193" s="202">
        <v>5.57</v>
      </c>
      <c r="K193" s="202">
        <v>5.48</v>
      </c>
      <c r="L193" s="202">
        <v>5.31</v>
      </c>
      <c r="M193" s="202">
        <v>4.88</v>
      </c>
      <c r="N193" s="202">
        <v>4.87</v>
      </c>
      <c r="O193" s="202">
        <v>4.7699999999999996</v>
      </c>
      <c r="P193" s="202">
        <v>4.34</v>
      </c>
      <c r="Q193" s="202">
        <f t="shared" si="5"/>
        <v>5.3916666666666666</v>
      </c>
      <c r="R193" s="202" t="s">
        <v>1020</v>
      </c>
    </row>
    <row r="194" spans="1:18" x14ac:dyDescent="0.15">
      <c r="A194" s="202" t="str">
        <f t="shared" ref="A194:A257" si="6">B194&amp;"_"&amp;R194&amp;"_"&amp;D194</f>
        <v>Miguel Hidalgo_Flat Surface_157.5</v>
      </c>
      <c r="B194" s="202" t="s">
        <v>1027</v>
      </c>
      <c r="C194" s="202">
        <v>0</v>
      </c>
      <c r="D194" s="202">
        <v>157.5</v>
      </c>
      <c r="E194" s="202">
        <v>4.74</v>
      </c>
      <c r="F194" s="202">
        <v>5.68</v>
      </c>
      <c r="G194" s="202">
        <v>6.47</v>
      </c>
      <c r="H194" s="202">
        <v>6.38</v>
      </c>
      <c r="I194" s="202">
        <v>6.21</v>
      </c>
      <c r="J194" s="202">
        <v>5.57</v>
      </c>
      <c r="K194" s="202">
        <v>5.48</v>
      </c>
      <c r="L194" s="202">
        <v>5.31</v>
      </c>
      <c r="M194" s="202">
        <v>4.88</v>
      </c>
      <c r="N194" s="202">
        <v>4.87</v>
      </c>
      <c r="O194" s="202">
        <v>4.7699999999999996</v>
      </c>
      <c r="P194" s="202">
        <v>4.34</v>
      </c>
      <c r="Q194" s="202">
        <f t="shared" ref="Q194:Q257" si="7">AVERAGE(E194:P194)</f>
        <v>5.3916666666666666</v>
      </c>
      <c r="R194" s="202" t="s">
        <v>1020</v>
      </c>
    </row>
    <row r="195" spans="1:18" x14ac:dyDescent="0.15">
      <c r="A195" s="202" t="str">
        <f t="shared" si="6"/>
        <v>Miguel Hidalgo_Flat Surface_180</v>
      </c>
      <c r="B195" s="202" t="s">
        <v>1027</v>
      </c>
      <c r="C195" s="202">
        <v>0</v>
      </c>
      <c r="D195" s="202">
        <v>180</v>
      </c>
      <c r="E195" s="202">
        <v>4.74</v>
      </c>
      <c r="F195" s="202">
        <v>5.68</v>
      </c>
      <c r="G195" s="202">
        <v>6.47</v>
      </c>
      <c r="H195" s="202">
        <v>6.38</v>
      </c>
      <c r="I195" s="202">
        <v>6.21</v>
      </c>
      <c r="J195" s="202">
        <v>5.57</v>
      </c>
      <c r="K195" s="202">
        <v>5.48</v>
      </c>
      <c r="L195" s="202">
        <v>5.31</v>
      </c>
      <c r="M195" s="202">
        <v>4.88</v>
      </c>
      <c r="N195" s="202">
        <v>4.87</v>
      </c>
      <c r="O195" s="202">
        <v>4.7699999999999996</v>
      </c>
      <c r="P195" s="202">
        <v>4.34</v>
      </c>
      <c r="Q195" s="202">
        <f t="shared" si="7"/>
        <v>5.3916666666666666</v>
      </c>
      <c r="R195" s="202" t="s">
        <v>1020</v>
      </c>
    </row>
    <row r="196" spans="1:18" x14ac:dyDescent="0.15">
      <c r="A196" s="202" t="str">
        <f t="shared" si="6"/>
        <v>Miguel Hidalgo_Flat Surface_202.5</v>
      </c>
      <c r="B196" s="202" t="s">
        <v>1027</v>
      </c>
      <c r="C196" s="202">
        <v>0</v>
      </c>
      <c r="D196" s="202">
        <v>202.5</v>
      </c>
      <c r="E196" s="202">
        <v>4.74</v>
      </c>
      <c r="F196" s="202">
        <v>5.68</v>
      </c>
      <c r="G196" s="202">
        <v>6.47</v>
      </c>
      <c r="H196" s="202">
        <v>6.38</v>
      </c>
      <c r="I196" s="202">
        <v>6.21</v>
      </c>
      <c r="J196" s="202">
        <v>5.57</v>
      </c>
      <c r="K196" s="202">
        <v>5.48</v>
      </c>
      <c r="L196" s="202">
        <v>5.31</v>
      </c>
      <c r="M196" s="202">
        <v>4.88</v>
      </c>
      <c r="N196" s="202">
        <v>4.87</v>
      </c>
      <c r="O196" s="202">
        <v>4.7699999999999996</v>
      </c>
      <c r="P196" s="202">
        <v>4.34</v>
      </c>
      <c r="Q196" s="202">
        <f t="shared" si="7"/>
        <v>5.3916666666666666</v>
      </c>
      <c r="R196" s="202" t="s">
        <v>1020</v>
      </c>
    </row>
    <row r="197" spans="1:18" x14ac:dyDescent="0.15">
      <c r="A197" s="202" t="str">
        <f t="shared" si="6"/>
        <v>Miguel Hidalgo_Flat Surface_225</v>
      </c>
      <c r="B197" s="202" t="s">
        <v>1027</v>
      </c>
      <c r="C197" s="202">
        <v>0</v>
      </c>
      <c r="D197" s="202">
        <v>225</v>
      </c>
      <c r="E197" s="202">
        <v>4.74</v>
      </c>
      <c r="F197" s="202">
        <v>5.68</v>
      </c>
      <c r="G197" s="202">
        <v>6.47</v>
      </c>
      <c r="H197" s="202">
        <v>6.38</v>
      </c>
      <c r="I197" s="202">
        <v>6.21</v>
      </c>
      <c r="J197" s="202">
        <v>5.57</v>
      </c>
      <c r="K197" s="202">
        <v>5.48</v>
      </c>
      <c r="L197" s="202">
        <v>5.31</v>
      </c>
      <c r="M197" s="202">
        <v>4.88</v>
      </c>
      <c r="N197" s="202">
        <v>4.87</v>
      </c>
      <c r="O197" s="202">
        <v>4.7699999999999996</v>
      </c>
      <c r="P197" s="202">
        <v>4.34</v>
      </c>
      <c r="Q197" s="202">
        <f t="shared" si="7"/>
        <v>5.3916666666666666</v>
      </c>
      <c r="R197" s="202" t="s">
        <v>1020</v>
      </c>
    </row>
    <row r="198" spans="1:18" x14ac:dyDescent="0.15">
      <c r="A198" s="202" t="str">
        <f t="shared" si="6"/>
        <v>Miguel Hidalgo_Flat Surface_247.5</v>
      </c>
      <c r="B198" s="202" t="s">
        <v>1027</v>
      </c>
      <c r="C198" s="202">
        <v>0</v>
      </c>
      <c r="D198" s="202">
        <v>247.5</v>
      </c>
      <c r="E198" s="202">
        <v>4.74</v>
      </c>
      <c r="F198" s="202">
        <v>5.68</v>
      </c>
      <c r="G198" s="202">
        <v>6.47</v>
      </c>
      <c r="H198" s="202">
        <v>6.38</v>
      </c>
      <c r="I198" s="202">
        <v>6.21</v>
      </c>
      <c r="J198" s="202">
        <v>5.57</v>
      </c>
      <c r="K198" s="202">
        <v>5.48</v>
      </c>
      <c r="L198" s="202">
        <v>5.31</v>
      </c>
      <c r="M198" s="202">
        <v>4.88</v>
      </c>
      <c r="N198" s="202">
        <v>4.87</v>
      </c>
      <c r="O198" s="202">
        <v>4.7699999999999996</v>
      </c>
      <c r="P198" s="202">
        <v>4.34</v>
      </c>
      <c r="Q198" s="202">
        <f t="shared" si="7"/>
        <v>5.3916666666666666</v>
      </c>
      <c r="R198" s="202" t="s">
        <v>1020</v>
      </c>
    </row>
    <row r="199" spans="1:18" x14ac:dyDescent="0.15">
      <c r="A199" s="202" t="str">
        <f t="shared" si="6"/>
        <v>Miguel Hidalgo_Flat Surface_270</v>
      </c>
      <c r="B199" s="202" t="s">
        <v>1027</v>
      </c>
      <c r="C199" s="202">
        <v>0</v>
      </c>
      <c r="D199" s="202">
        <v>270</v>
      </c>
      <c r="E199" s="202">
        <v>4.74</v>
      </c>
      <c r="F199" s="202">
        <v>5.68</v>
      </c>
      <c r="G199" s="202">
        <v>6.47</v>
      </c>
      <c r="H199" s="202">
        <v>6.38</v>
      </c>
      <c r="I199" s="202">
        <v>6.21</v>
      </c>
      <c r="J199" s="202">
        <v>5.57</v>
      </c>
      <c r="K199" s="202">
        <v>5.48</v>
      </c>
      <c r="L199" s="202">
        <v>5.31</v>
      </c>
      <c r="M199" s="202">
        <v>4.88</v>
      </c>
      <c r="N199" s="202">
        <v>4.87</v>
      </c>
      <c r="O199" s="202">
        <v>4.7699999999999996</v>
      </c>
      <c r="P199" s="202">
        <v>4.34</v>
      </c>
      <c r="Q199" s="202">
        <f t="shared" si="7"/>
        <v>5.3916666666666666</v>
      </c>
      <c r="R199" s="202" t="s">
        <v>1020</v>
      </c>
    </row>
    <row r="200" spans="1:18" x14ac:dyDescent="0.15">
      <c r="A200" s="202" t="str">
        <f t="shared" si="6"/>
        <v>Miguel Hidalgo_Optimal Summer_90</v>
      </c>
      <c r="B200" s="202" t="s">
        <v>1027</v>
      </c>
      <c r="C200" s="202">
        <v>4</v>
      </c>
      <c r="D200" s="202">
        <v>90</v>
      </c>
      <c r="E200" s="202">
        <v>4</v>
      </c>
      <c r="F200" s="202">
        <v>4.72</v>
      </c>
      <c r="G200" s="202">
        <v>5.29</v>
      </c>
      <c r="H200" s="202">
        <v>5.13</v>
      </c>
      <c r="I200" s="202">
        <v>4.93</v>
      </c>
      <c r="J200" s="202">
        <v>4.49</v>
      </c>
      <c r="K200" s="202">
        <v>4.41</v>
      </c>
      <c r="L200" s="202">
        <v>4.25</v>
      </c>
      <c r="M200" s="202">
        <v>3.94</v>
      </c>
      <c r="N200" s="202">
        <v>4</v>
      </c>
      <c r="O200" s="202">
        <v>4</v>
      </c>
      <c r="P200" s="202">
        <v>3.66</v>
      </c>
      <c r="Q200" s="202">
        <f t="shared" si="7"/>
        <v>4.4016666666666664</v>
      </c>
      <c r="R200" s="202" t="s">
        <v>984</v>
      </c>
    </row>
    <row r="201" spans="1:18" x14ac:dyDescent="0.15">
      <c r="A201" s="202" t="str">
        <f t="shared" si="6"/>
        <v>Miguel Hidalgo_Optimal Summer_112.5</v>
      </c>
      <c r="B201" s="202" t="s">
        <v>1027</v>
      </c>
      <c r="C201" s="202">
        <v>4</v>
      </c>
      <c r="D201" s="202">
        <v>112.5</v>
      </c>
      <c r="E201" s="202">
        <v>4.38</v>
      </c>
      <c r="F201" s="202">
        <v>5.16</v>
      </c>
      <c r="G201" s="202">
        <v>5.78</v>
      </c>
      <c r="H201" s="202">
        <v>5.61</v>
      </c>
      <c r="I201" s="202">
        <v>5.39</v>
      </c>
      <c r="J201" s="202">
        <v>4.91</v>
      </c>
      <c r="K201" s="202">
        <v>4.82</v>
      </c>
      <c r="L201" s="202">
        <v>4.6500000000000004</v>
      </c>
      <c r="M201" s="202">
        <v>4.3099999999999996</v>
      </c>
      <c r="N201" s="202">
        <v>4.38</v>
      </c>
      <c r="O201" s="202">
        <v>4.38</v>
      </c>
      <c r="P201" s="202">
        <v>4</v>
      </c>
      <c r="Q201" s="202">
        <f t="shared" si="7"/>
        <v>4.8141666666666669</v>
      </c>
      <c r="R201" s="202" t="s">
        <v>984</v>
      </c>
    </row>
    <row r="202" spans="1:18" x14ac:dyDescent="0.15">
      <c r="A202" s="202" t="str">
        <f t="shared" si="6"/>
        <v>Miguel Hidalgo_Optimal Summer_135</v>
      </c>
      <c r="B202" s="202" t="s">
        <v>1027</v>
      </c>
      <c r="C202" s="202">
        <v>4</v>
      </c>
      <c r="D202" s="202">
        <v>135</v>
      </c>
      <c r="E202" s="202">
        <v>4.75</v>
      </c>
      <c r="F202" s="202">
        <v>5.6</v>
      </c>
      <c r="G202" s="202">
        <v>6.28</v>
      </c>
      <c r="H202" s="202">
        <v>6.09</v>
      </c>
      <c r="I202" s="202">
        <v>5.85</v>
      </c>
      <c r="J202" s="202">
        <v>5.33</v>
      </c>
      <c r="K202" s="202">
        <v>5.23</v>
      </c>
      <c r="L202" s="202">
        <v>5.04</v>
      </c>
      <c r="M202" s="202">
        <v>4.68</v>
      </c>
      <c r="N202" s="202">
        <v>4.75</v>
      </c>
      <c r="O202" s="202">
        <v>4.75</v>
      </c>
      <c r="P202" s="202">
        <v>4.34</v>
      </c>
      <c r="Q202" s="202">
        <f t="shared" si="7"/>
        <v>5.2241666666666662</v>
      </c>
      <c r="R202" s="202" t="s">
        <v>984</v>
      </c>
    </row>
    <row r="203" spans="1:18" x14ac:dyDescent="0.15">
      <c r="A203" s="202" t="str">
        <f t="shared" si="6"/>
        <v>Miguel Hidalgo_Optimal Summer_157.5</v>
      </c>
      <c r="B203" s="202" t="s">
        <v>1027</v>
      </c>
      <c r="C203" s="202">
        <v>4</v>
      </c>
      <c r="D203" s="202">
        <v>157.5</v>
      </c>
      <c r="E203" s="202">
        <v>4.88</v>
      </c>
      <c r="F203" s="202">
        <v>5.75</v>
      </c>
      <c r="G203" s="202">
        <v>6.44</v>
      </c>
      <c r="H203" s="202">
        <v>6.25</v>
      </c>
      <c r="I203" s="202">
        <v>6.01</v>
      </c>
      <c r="J203" s="202">
        <v>5.47</v>
      </c>
      <c r="K203" s="202">
        <v>5.37</v>
      </c>
      <c r="L203" s="202">
        <v>5.18</v>
      </c>
      <c r="M203" s="202">
        <v>4.8099999999999996</v>
      </c>
      <c r="N203" s="202">
        <v>4.88</v>
      </c>
      <c r="O203" s="202">
        <v>4.88</v>
      </c>
      <c r="P203" s="202">
        <v>4.46</v>
      </c>
      <c r="Q203" s="202">
        <f t="shared" si="7"/>
        <v>5.3649999999999993</v>
      </c>
      <c r="R203" s="202" t="s">
        <v>984</v>
      </c>
    </row>
    <row r="204" spans="1:18" x14ac:dyDescent="0.15">
      <c r="A204" s="202" t="str">
        <f t="shared" si="6"/>
        <v>Miguel Hidalgo_Optimal Summer_180</v>
      </c>
      <c r="B204" s="202" t="s">
        <v>1027</v>
      </c>
      <c r="C204" s="202">
        <v>4</v>
      </c>
      <c r="D204" s="202">
        <v>180</v>
      </c>
      <c r="E204" s="202">
        <v>5</v>
      </c>
      <c r="F204" s="202">
        <v>5.9</v>
      </c>
      <c r="G204" s="202">
        <v>6.61</v>
      </c>
      <c r="H204" s="202">
        <v>6.41</v>
      </c>
      <c r="I204" s="202">
        <v>6.16</v>
      </c>
      <c r="J204" s="202">
        <v>5.61</v>
      </c>
      <c r="K204" s="202">
        <v>5.51</v>
      </c>
      <c r="L204" s="202">
        <v>5.31</v>
      </c>
      <c r="M204" s="202">
        <v>4.93</v>
      </c>
      <c r="N204" s="202">
        <v>5</v>
      </c>
      <c r="O204" s="202">
        <v>5</v>
      </c>
      <c r="P204" s="202">
        <v>4.57</v>
      </c>
      <c r="Q204" s="202">
        <f t="shared" si="7"/>
        <v>5.5008333333333335</v>
      </c>
      <c r="R204" s="202" t="s">
        <v>984</v>
      </c>
    </row>
    <row r="205" spans="1:18" x14ac:dyDescent="0.15">
      <c r="A205" s="202" t="str">
        <f t="shared" si="6"/>
        <v>Miguel Hidalgo_Optimal Summer_202.5</v>
      </c>
      <c r="B205" s="202" t="s">
        <v>1027</v>
      </c>
      <c r="C205" s="202">
        <v>4</v>
      </c>
      <c r="D205" s="202">
        <v>202.5</v>
      </c>
      <c r="E205" s="202">
        <v>4.88</v>
      </c>
      <c r="F205" s="202">
        <v>5.75</v>
      </c>
      <c r="G205" s="202">
        <v>6.44</v>
      </c>
      <c r="H205" s="202">
        <v>6.25</v>
      </c>
      <c r="I205" s="202">
        <v>6.01</v>
      </c>
      <c r="J205" s="202">
        <v>5.47</v>
      </c>
      <c r="K205" s="202">
        <v>5.37</v>
      </c>
      <c r="L205" s="202">
        <v>5.18</v>
      </c>
      <c r="M205" s="202">
        <v>4.8099999999999996</v>
      </c>
      <c r="N205" s="202">
        <v>4.88</v>
      </c>
      <c r="O205" s="202">
        <v>4.88</v>
      </c>
      <c r="P205" s="202">
        <v>4.46</v>
      </c>
      <c r="Q205" s="202">
        <f t="shared" si="7"/>
        <v>5.3649999999999993</v>
      </c>
      <c r="R205" s="202" t="s">
        <v>984</v>
      </c>
    </row>
    <row r="206" spans="1:18" x14ac:dyDescent="0.15">
      <c r="A206" s="202" t="str">
        <f t="shared" si="6"/>
        <v>Miguel Hidalgo_Optimal Summer_225</v>
      </c>
      <c r="B206" s="202" t="s">
        <v>1027</v>
      </c>
      <c r="C206" s="202">
        <v>4</v>
      </c>
      <c r="D206" s="202">
        <v>225</v>
      </c>
      <c r="E206" s="202">
        <v>4.75</v>
      </c>
      <c r="F206" s="202">
        <v>5.6</v>
      </c>
      <c r="G206" s="202">
        <v>6.28</v>
      </c>
      <c r="H206" s="202">
        <v>6.09</v>
      </c>
      <c r="I206" s="202">
        <v>5.85</v>
      </c>
      <c r="J206" s="202">
        <v>5.33</v>
      </c>
      <c r="K206" s="202">
        <v>5.23</v>
      </c>
      <c r="L206" s="202">
        <v>5.04</v>
      </c>
      <c r="M206" s="202">
        <v>4.68</v>
      </c>
      <c r="N206" s="202">
        <v>4.75</v>
      </c>
      <c r="O206" s="202">
        <v>4.75</v>
      </c>
      <c r="P206" s="202">
        <v>4.34</v>
      </c>
      <c r="Q206" s="202">
        <f t="shared" si="7"/>
        <v>5.2241666666666662</v>
      </c>
      <c r="R206" s="202" t="s">
        <v>984</v>
      </c>
    </row>
    <row r="207" spans="1:18" x14ac:dyDescent="0.15">
      <c r="A207" s="202" t="str">
        <f t="shared" si="6"/>
        <v>Miguel Hidalgo_Optimal Summer_247.5</v>
      </c>
      <c r="B207" s="202" t="s">
        <v>1027</v>
      </c>
      <c r="C207" s="202">
        <v>4</v>
      </c>
      <c r="D207" s="202">
        <v>247.5</v>
      </c>
      <c r="E207" s="202">
        <v>4.38</v>
      </c>
      <c r="F207" s="202">
        <v>5.16</v>
      </c>
      <c r="G207" s="202">
        <v>5.78</v>
      </c>
      <c r="H207" s="202">
        <v>5.61</v>
      </c>
      <c r="I207" s="202">
        <v>5.39</v>
      </c>
      <c r="J207" s="202">
        <v>4.91</v>
      </c>
      <c r="K207" s="202">
        <v>4.82</v>
      </c>
      <c r="L207" s="202">
        <v>4.6500000000000004</v>
      </c>
      <c r="M207" s="202">
        <v>4.3099999999999996</v>
      </c>
      <c r="N207" s="202">
        <v>4.38</v>
      </c>
      <c r="O207" s="202">
        <v>4.38</v>
      </c>
      <c r="P207" s="202">
        <v>4</v>
      </c>
      <c r="Q207" s="202">
        <f t="shared" si="7"/>
        <v>4.8141666666666669</v>
      </c>
      <c r="R207" s="202" t="s">
        <v>984</v>
      </c>
    </row>
    <row r="208" spans="1:18" x14ac:dyDescent="0.15">
      <c r="A208" s="202" t="str">
        <f t="shared" si="6"/>
        <v>Miguel Hidalgo_Optimal Summer_270</v>
      </c>
      <c r="B208" s="202" t="s">
        <v>1027</v>
      </c>
      <c r="C208" s="202">
        <v>4</v>
      </c>
      <c r="D208" s="202">
        <v>270</v>
      </c>
      <c r="E208" s="202">
        <v>4</v>
      </c>
      <c r="F208" s="202">
        <v>4.72</v>
      </c>
      <c r="G208" s="202">
        <v>5.29</v>
      </c>
      <c r="H208" s="202">
        <v>5.13</v>
      </c>
      <c r="I208" s="202">
        <v>4.93</v>
      </c>
      <c r="J208" s="202">
        <v>4.49</v>
      </c>
      <c r="K208" s="202">
        <v>4.41</v>
      </c>
      <c r="L208" s="202">
        <v>4.25</v>
      </c>
      <c r="M208" s="202">
        <v>3.94</v>
      </c>
      <c r="N208" s="202">
        <v>4</v>
      </c>
      <c r="O208" s="202">
        <v>4</v>
      </c>
      <c r="P208" s="202">
        <v>3.66</v>
      </c>
      <c r="Q208" s="202">
        <f t="shared" si="7"/>
        <v>4.4016666666666664</v>
      </c>
      <c r="R208" s="202" t="s">
        <v>984</v>
      </c>
    </row>
    <row r="209" spans="1:18" x14ac:dyDescent="0.15">
      <c r="A209" s="202" t="str">
        <f t="shared" si="6"/>
        <v>Miguel Hidalgo_Optimal Year Round_90</v>
      </c>
      <c r="B209" s="202" t="s">
        <v>1027</v>
      </c>
      <c r="C209" s="202">
        <v>19</v>
      </c>
      <c r="D209" s="202">
        <v>90</v>
      </c>
      <c r="E209" s="202">
        <v>4.62</v>
      </c>
      <c r="F209" s="202">
        <v>5.21</v>
      </c>
      <c r="G209" s="202">
        <v>5.5</v>
      </c>
      <c r="H209" s="202">
        <v>5.03</v>
      </c>
      <c r="I209" s="202">
        <v>4.63</v>
      </c>
      <c r="J209" s="202">
        <v>4.47</v>
      </c>
      <c r="K209" s="202">
        <v>4.37</v>
      </c>
      <c r="L209" s="202">
        <v>4.1100000000000003</v>
      </c>
      <c r="M209" s="202">
        <v>3.98</v>
      </c>
      <c r="N209" s="202">
        <v>4.26</v>
      </c>
      <c r="O209" s="202">
        <v>4.54</v>
      </c>
      <c r="P209" s="202">
        <v>4.2300000000000004</v>
      </c>
      <c r="Q209" s="202">
        <f t="shared" si="7"/>
        <v>4.5791666666666657</v>
      </c>
      <c r="R209" s="202" t="s">
        <v>1019</v>
      </c>
    </row>
    <row r="210" spans="1:18" x14ac:dyDescent="0.15">
      <c r="A210" s="202" t="str">
        <f t="shared" si="6"/>
        <v>Miguel Hidalgo_Optimal Year Round_112.5</v>
      </c>
      <c r="B210" s="202" t="s">
        <v>1027</v>
      </c>
      <c r="C210" s="202">
        <v>19</v>
      </c>
      <c r="D210" s="202">
        <v>112.5</v>
      </c>
      <c r="E210" s="202">
        <v>5.0599999999999996</v>
      </c>
      <c r="F210" s="202">
        <v>5.7</v>
      </c>
      <c r="G210" s="202">
        <v>6.02</v>
      </c>
      <c r="H210" s="202">
        <v>5.5</v>
      </c>
      <c r="I210" s="202">
        <v>5.07</v>
      </c>
      <c r="J210" s="202">
        <v>4.8899999999999997</v>
      </c>
      <c r="K210" s="202">
        <v>4.78</v>
      </c>
      <c r="L210" s="202">
        <v>4.5</v>
      </c>
      <c r="M210" s="202">
        <v>4.3499999999999996</v>
      </c>
      <c r="N210" s="202">
        <v>4.66</v>
      </c>
      <c r="O210" s="202">
        <v>4.97</v>
      </c>
      <c r="P210" s="202">
        <v>4.63</v>
      </c>
      <c r="Q210" s="202">
        <f t="shared" si="7"/>
        <v>5.0108333333333333</v>
      </c>
      <c r="R210" s="202" t="s">
        <v>1019</v>
      </c>
    </row>
    <row r="211" spans="1:18" x14ac:dyDescent="0.15">
      <c r="A211" s="202" t="str">
        <f t="shared" si="6"/>
        <v>Miguel Hidalgo_Optimal Year Round_135</v>
      </c>
      <c r="B211" s="202" t="s">
        <v>1027</v>
      </c>
      <c r="C211" s="202">
        <v>19</v>
      </c>
      <c r="D211" s="202">
        <v>135</v>
      </c>
      <c r="E211" s="202">
        <v>5.49</v>
      </c>
      <c r="F211" s="202">
        <v>6.18</v>
      </c>
      <c r="G211" s="202">
        <v>6.54</v>
      </c>
      <c r="H211" s="202">
        <v>5.98</v>
      </c>
      <c r="I211" s="202">
        <v>5.5</v>
      </c>
      <c r="J211" s="202">
        <v>5.31</v>
      </c>
      <c r="K211" s="202">
        <v>5.19</v>
      </c>
      <c r="L211" s="202">
        <v>4.88</v>
      </c>
      <c r="M211" s="202">
        <v>4.72</v>
      </c>
      <c r="N211" s="202">
        <v>5.0599999999999996</v>
      </c>
      <c r="O211" s="202">
        <v>5.4</v>
      </c>
      <c r="P211" s="202">
        <v>5.03</v>
      </c>
      <c r="Q211" s="202">
        <f t="shared" si="7"/>
        <v>5.44</v>
      </c>
      <c r="R211" s="202" t="s">
        <v>1019</v>
      </c>
    </row>
    <row r="212" spans="1:18" x14ac:dyDescent="0.15">
      <c r="A212" s="202" t="str">
        <f t="shared" si="6"/>
        <v>Miguel Hidalgo_Optimal Year Round_157.5</v>
      </c>
      <c r="B212" s="202" t="s">
        <v>1027</v>
      </c>
      <c r="C212" s="202">
        <v>19</v>
      </c>
      <c r="D212" s="202">
        <v>157.5</v>
      </c>
      <c r="E212" s="202">
        <v>5.64</v>
      </c>
      <c r="F212" s="202">
        <v>6.35</v>
      </c>
      <c r="G212" s="202">
        <v>6.71</v>
      </c>
      <c r="H212" s="202">
        <v>6.13</v>
      </c>
      <c r="I212" s="202">
        <v>5.65</v>
      </c>
      <c r="J212" s="202">
        <v>5.45</v>
      </c>
      <c r="K212" s="202">
        <v>5.32</v>
      </c>
      <c r="L212" s="202">
        <v>5.01</v>
      </c>
      <c r="M212" s="202">
        <v>4.8499999999999996</v>
      </c>
      <c r="N212" s="202">
        <v>5.2</v>
      </c>
      <c r="O212" s="202">
        <v>5.54</v>
      </c>
      <c r="P212" s="202">
        <v>5.16</v>
      </c>
      <c r="Q212" s="202">
        <f t="shared" si="7"/>
        <v>5.5841666666666674</v>
      </c>
      <c r="R212" s="202" t="s">
        <v>1019</v>
      </c>
    </row>
    <row r="213" spans="1:18" x14ac:dyDescent="0.15">
      <c r="A213" s="202" t="str">
        <f t="shared" si="6"/>
        <v>Miguel Hidalgo_Optimal Year Round_180</v>
      </c>
      <c r="B213" s="202" t="s">
        <v>1027</v>
      </c>
      <c r="C213" s="202">
        <v>19</v>
      </c>
      <c r="D213" s="202">
        <v>180</v>
      </c>
      <c r="E213" s="202">
        <v>5.78</v>
      </c>
      <c r="F213" s="202">
        <v>6.51</v>
      </c>
      <c r="G213" s="202">
        <v>6.88</v>
      </c>
      <c r="H213" s="202">
        <v>6.29</v>
      </c>
      <c r="I213" s="202">
        <v>5.79</v>
      </c>
      <c r="J213" s="202">
        <v>5.59</v>
      </c>
      <c r="K213" s="202">
        <v>5.46</v>
      </c>
      <c r="L213" s="202">
        <v>5.14</v>
      </c>
      <c r="M213" s="202">
        <v>4.97</v>
      </c>
      <c r="N213" s="202">
        <v>5.33</v>
      </c>
      <c r="O213" s="202">
        <v>5.68</v>
      </c>
      <c r="P213" s="202">
        <v>5.29</v>
      </c>
      <c r="Q213" s="202">
        <f t="shared" si="7"/>
        <v>5.7258333333333331</v>
      </c>
      <c r="R213" s="202" t="s">
        <v>1019</v>
      </c>
    </row>
    <row r="214" spans="1:18" x14ac:dyDescent="0.15">
      <c r="A214" s="202" t="str">
        <f t="shared" si="6"/>
        <v>Miguel Hidalgo_Optimal Year Round_202.5</v>
      </c>
      <c r="B214" s="202" t="s">
        <v>1027</v>
      </c>
      <c r="C214" s="202">
        <v>19</v>
      </c>
      <c r="D214" s="202">
        <v>202.5</v>
      </c>
      <c r="E214" s="202">
        <v>5.64</v>
      </c>
      <c r="F214" s="202">
        <v>6.35</v>
      </c>
      <c r="G214" s="202">
        <v>6.71</v>
      </c>
      <c r="H214" s="202">
        <v>6.13</v>
      </c>
      <c r="I214" s="202">
        <v>5.65</v>
      </c>
      <c r="J214" s="202">
        <v>5.45</v>
      </c>
      <c r="K214" s="202">
        <v>5.32</v>
      </c>
      <c r="L214" s="202">
        <v>5.01</v>
      </c>
      <c r="M214" s="202">
        <v>4.8499999999999996</v>
      </c>
      <c r="N214" s="202">
        <v>5.2</v>
      </c>
      <c r="O214" s="202">
        <v>5.54</v>
      </c>
      <c r="P214" s="202">
        <v>5.16</v>
      </c>
      <c r="Q214" s="202">
        <f t="shared" si="7"/>
        <v>5.5841666666666674</v>
      </c>
      <c r="R214" s="202" t="s">
        <v>1019</v>
      </c>
    </row>
    <row r="215" spans="1:18" x14ac:dyDescent="0.15">
      <c r="A215" s="202" t="str">
        <f t="shared" si="6"/>
        <v>Miguel Hidalgo_Optimal Year Round_225</v>
      </c>
      <c r="B215" s="202" t="s">
        <v>1027</v>
      </c>
      <c r="C215" s="202">
        <v>19</v>
      </c>
      <c r="D215" s="202">
        <v>225</v>
      </c>
      <c r="E215" s="202">
        <v>5.49</v>
      </c>
      <c r="F215" s="202">
        <v>6.18</v>
      </c>
      <c r="G215" s="202">
        <v>6.54</v>
      </c>
      <c r="H215" s="202">
        <v>5.98</v>
      </c>
      <c r="I215" s="202">
        <v>5.5</v>
      </c>
      <c r="J215" s="202">
        <v>5.31</v>
      </c>
      <c r="K215" s="202">
        <v>5.19</v>
      </c>
      <c r="L215" s="202">
        <v>4.88</v>
      </c>
      <c r="M215" s="202">
        <v>4.72</v>
      </c>
      <c r="N215" s="202">
        <v>5.0599999999999996</v>
      </c>
      <c r="O215" s="202">
        <v>5.4</v>
      </c>
      <c r="P215" s="202">
        <v>5.03</v>
      </c>
      <c r="Q215" s="202">
        <f t="shared" si="7"/>
        <v>5.44</v>
      </c>
      <c r="R215" s="202" t="s">
        <v>1019</v>
      </c>
    </row>
    <row r="216" spans="1:18" x14ac:dyDescent="0.15">
      <c r="A216" s="202" t="str">
        <f t="shared" si="6"/>
        <v>Miguel Hidalgo_Optimal Year Round_247.5</v>
      </c>
      <c r="B216" s="202" t="s">
        <v>1027</v>
      </c>
      <c r="C216" s="202">
        <v>19</v>
      </c>
      <c r="D216" s="202">
        <v>247.5</v>
      </c>
      <c r="E216" s="202">
        <v>5.0599999999999996</v>
      </c>
      <c r="F216" s="202">
        <v>5.7</v>
      </c>
      <c r="G216" s="202">
        <v>6.02</v>
      </c>
      <c r="H216" s="202">
        <v>5.5</v>
      </c>
      <c r="I216" s="202">
        <v>5.07</v>
      </c>
      <c r="J216" s="202">
        <v>4.8899999999999997</v>
      </c>
      <c r="K216" s="202">
        <v>4.78</v>
      </c>
      <c r="L216" s="202">
        <v>4.5</v>
      </c>
      <c r="M216" s="202">
        <v>4.3499999999999996</v>
      </c>
      <c r="N216" s="202">
        <v>4.66</v>
      </c>
      <c r="O216" s="202">
        <v>4.97</v>
      </c>
      <c r="P216" s="202">
        <v>4.63</v>
      </c>
      <c r="Q216" s="202">
        <f t="shared" si="7"/>
        <v>5.0108333333333333</v>
      </c>
      <c r="R216" s="202" t="s">
        <v>1019</v>
      </c>
    </row>
    <row r="217" spans="1:18" x14ac:dyDescent="0.15">
      <c r="A217" s="202" t="str">
        <f t="shared" si="6"/>
        <v>Miguel Hidalgo_Optimal Year Round_270</v>
      </c>
      <c r="B217" s="202" t="s">
        <v>1027</v>
      </c>
      <c r="C217" s="202">
        <v>19</v>
      </c>
      <c r="D217" s="202">
        <v>270</v>
      </c>
      <c r="E217" s="202">
        <v>4.62</v>
      </c>
      <c r="F217" s="202">
        <v>5.21</v>
      </c>
      <c r="G217" s="202">
        <v>5.5</v>
      </c>
      <c r="H217" s="202">
        <v>5.03</v>
      </c>
      <c r="I217" s="202">
        <v>4.63</v>
      </c>
      <c r="J217" s="202">
        <v>4.47</v>
      </c>
      <c r="K217" s="202">
        <v>4.37</v>
      </c>
      <c r="L217" s="202">
        <v>4.1100000000000003</v>
      </c>
      <c r="M217" s="202">
        <v>3.98</v>
      </c>
      <c r="N217" s="202">
        <v>4.26</v>
      </c>
      <c r="O217" s="202">
        <v>4.54</v>
      </c>
      <c r="P217" s="202">
        <v>4.2300000000000004</v>
      </c>
      <c r="Q217" s="202">
        <f t="shared" si="7"/>
        <v>4.5791666666666657</v>
      </c>
      <c r="R217" s="202" t="s">
        <v>1019</v>
      </c>
    </row>
    <row r="218" spans="1:18" x14ac:dyDescent="0.15">
      <c r="A218" s="202" t="str">
        <f t="shared" si="6"/>
        <v>Monterrey_Flat Surface_90</v>
      </c>
      <c r="B218" s="495" t="s">
        <v>887</v>
      </c>
      <c r="C218" s="495">
        <v>0</v>
      </c>
      <c r="D218" s="495">
        <v>90</v>
      </c>
      <c r="E218" s="497">
        <v>3.72</v>
      </c>
      <c r="F218" s="497">
        <v>4.57</v>
      </c>
      <c r="G218" s="497">
        <v>5.66</v>
      </c>
      <c r="H218" s="497">
        <v>5.82</v>
      </c>
      <c r="I218" s="497">
        <v>6.24</v>
      </c>
      <c r="J218" s="497">
        <v>6.16</v>
      </c>
      <c r="K218" s="497">
        <v>6.03</v>
      </c>
      <c r="L218" s="497">
        <v>5.71</v>
      </c>
      <c r="M218" s="497">
        <v>4.9800000000000004</v>
      </c>
      <c r="N218" s="497">
        <v>4.62</v>
      </c>
      <c r="O218" s="497">
        <v>4.07</v>
      </c>
      <c r="P218" s="497">
        <v>3.55</v>
      </c>
      <c r="Q218" s="202">
        <f t="shared" si="7"/>
        <v>5.0941666666666663</v>
      </c>
      <c r="R218" s="202" t="s">
        <v>1020</v>
      </c>
    </row>
    <row r="219" spans="1:18" x14ac:dyDescent="0.15">
      <c r="A219" s="202" t="str">
        <f t="shared" si="6"/>
        <v>Monterrey_Flat Surface_112.5</v>
      </c>
      <c r="B219" s="495" t="s">
        <v>887</v>
      </c>
      <c r="C219" s="495">
        <v>0</v>
      </c>
      <c r="D219" s="495">
        <v>112.5</v>
      </c>
      <c r="E219" s="497">
        <v>3.72</v>
      </c>
      <c r="F219" s="497">
        <v>4.57</v>
      </c>
      <c r="G219" s="497">
        <v>5.66</v>
      </c>
      <c r="H219" s="497">
        <v>5.82</v>
      </c>
      <c r="I219" s="497">
        <v>6.24</v>
      </c>
      <c r="J219" s="497">
        <v>6.16</v>
      </c>
      <c r="K219" s="497">
        <v>6.03</v>
      </c>
      <c r="L219" s="497">
        <v>5.71</v>
      </c>
      <c r="M219" s="497">
        <v>4.9800000000000004</v>
      </c>
      <c r="N219" s="497">
        <v>4.62</v>
      </c>
      <c r="O219" s="497">
        <v>4.07</v>
      </c>
      <c r="P219" s="497">
        <v>3.55</v>
      </c>
      <c r="Q219" s="202">
        <f t="shared" si="7"/>
        <v>5.0941666666666663</v>
      </c>
      <c r="R219" s="202" t="s">
        <v>1020</v>
      </c>
    </row>
    <row r="220" spans="1:18" x14ac:dyDescent="0.15">
      <c r="A220" s="202" t="str">
        <f t="shared" si="6"/>
        <v>Monterrey_Flat Surface_135</v>
      </c>
      <c r="B220" s="495" t="s">
        <v>887</v>
      </c>
      <c r="C220" s="495">
        <v>0</v>
      </c>
      <c r="D220" s="495">
        <v>135</v>
      </c>
      <c r="E220" s="497">
        <v>3.72</v>
      </c>
      <c r="F220" s="497">
        <v>4.57</v>
      </c>
      <c r="G220" s="497">
        <v>5.66</v>
      </c>
      <c r="H220" s="497">
        <v>5.82</v>
      </c>
      <c r="I220" s="497">
        <v>6.24</v>
      </c>
      <c r="J220" s="497">
        <v>6.16</v>
      </c>
      <c r="K220" s="497">
        <v>6.03</v>
      </c>
      <c r="L220" s="497">
        <v>5.71</v>
      </c>
      <c r="M220" s="497">
        <v>4.9800000000000004</v>
      </c>
      <c r="N220" s="497">
        <v>4.62</v>
      </c>
      <c r="O220" s="497">
        <v>4.07</v>
      </c>
      <c r="P220" s="497">
        <v>3.55</v>
      </c>
      <c r="Q220" s="202">
        <f t="shared" si="7"/>
        <v>5.0941666666666663</v>
      </c>
      <c r="R220" s="202" t="s">
        <v>1020</v>
      </c>
    </row>
    <row r="221" spans="1:18" x14ac:dyDescent="0.15">
      <c r="A221" s="202" t="str">
        <f t="shared" si="6"/>
        <v>Monterrey_Flat Surface_157.5</v>
      </c>
      <c r="B221" s="495" t="s">
        <v>887</v>
      </c>
      <c r="C221" s="495">
        <v>0</v>
      </c>
      <c r="D221" s="495">
        <v>157.5</v>
      </c>
      <c r="E221" s="497">
        <v>3.72</v>
      </c>
      <c r="F221" s="497">
        <v>4.57</v>
      </c>
      <c r="G221" s="497">
        <v>5.66</v>
      </c>
      <c r="H221" s="497">
        <v>5.82</v>
      </c>
      <c r="I221" s="497">
        <v>6.24</v>
      </c>
      <c r="J221" s="497">
        <v>6.16</v>
      </c>
      <c r="K221" s="497">
        <v>6.03</v>
      </c>
      <c r="L221" s="497">
        <v>5.71</v>
      </c>
      <c r="M221" s="497">
        <v>4.9800000000000004</v>
      </c>
      <c r="N221" s="497">
        <v>4.62</v>
      </c>
      <c r="O221" s="497">
        <v>4.07</v>
      </c>
      <c r="P221" s="497">
        <v>3.55</v>
      </c>
      <c r="Q221" s="202">
        <f t="shared" si="7"/>
        <v>5.0941666666666663</v>
      </c>
      <c r="R221" s="202" t="s">
        <v>1020</v>
      </c>
    </row>
    <row r="222" spans="1:18" x14ac:dyDescent="0.15">
      <c r="A222" s="202" t="str">
        <f t="shared" si="6"/>
        <v>Monterrey_Flat Surface_180</v>
      </c>
      <c r="B222" s="495" t="s">
        <v>887</v>
      </c>
      <c r="C222" s="495">
        <v>0</v>
      </c>
      <c r="D222" s="495">
        <v>180</v>
      </c>
      <c r="E222" s="497">
        <v>3.72</v>
      </c>
      <c r="F222" s="497">
        <v>4.57</v>
      </c>
      <c r="G222" s="497">
        <v>5.66</v>
      </c>
      <c r="H222" s="497">
        <v>5.82</v>
      </c>
      <c r="I222" s="497">
        <v>6.24</v>
      </c>
      <c r="J222" s="497">
        <v>6.16</v>
      </c>
      <c r="K222" s="497">
        <v>6.03</v>
      </c>
      <c r="L222" s="497">
        <v>5.71</v>
      </c>
      <c r="M222" s="497">
        <v>4.9800000000000004</v>
      </c>
      <c r="N222" s="497">
        <v>4.62</v>
      </c>
      <c r="O222" s="497">
        <v>4.07</v>
      </c>
      <c r="P222" s="497">
        <v>3.55</v>
      </c>
      <c r="Q222" s="202">
        <f t="shared" si="7"/>
        <v>5.0941666666666663</v>
      </c>
      <c r="R222" s="202" t="s">
        <v>1020</v>
      </c>
    </row>
    <row r="223" spans="1:18" x14ac:dyDescent="0.15">
      <c r="A223" s="202" t="str">
        <f t="shared" si="6"/>
        <v>Monterrey_Flat Surface_202.5</v>
      </c>
      <c r="B223" s="495" t="s">
        <v>887</v>
      </c>
      <c r="C223" s="495">
        <v>0</v>
      </c>
      <c r="D223" s="495">
        <v>202.5</v>
      </c>
      <c r="E223" s="497">
        <v>3.72</v>
      </c>
      <c r="F223" s="497">
        <v>4.57</v>
      </c>
      <c r="G223" s="497">
        <v>5.66</v>
      </c>
      <c r="H223" s="497">
        <v>5.82</v>
      </c>
      <c r="I223" s="497">
        <v>6.24</v>
      </c>
      <c r="J223" s="497">
        <v>6.16</v>
      </c>
      <c r="K223" s="497">
        <v>6.03</v>
      </c>
      <c r="L223" s="497">
        <v>5.71</v>
      </c>
      <c r="M223" s="497">
        <v>4.9800000000000004</v>
      </c>
      <c r="N223" s="497">
        <v>4.62</v>
      </c>
      <c r="O223" s="497">
        <v>4.07</v>
      </c>
      <c r="P223" s="497">
        <v>3.55</v>
      </c>
      <c r="Q223" s="202">
        <f t="shared" si="7"/>
        <v>5.0941666666666663</v>
      </c>
      <c r="R223" s="202" t="s">
        <v>1020</v>
      </c>
    </row>
    <row r="224" spans="1:18" x14ac:dyDescent="0.15">
      <c r="A224" s="202" t="str">
        <f t="shared" si="6"/>
        <v>Monterrey_Flat Surface_225</v>
      </c>
      <c r="B224" s="495" t="s">
        <v>887</v>
      </c>
      <c r="C224" s="495">
        <v>0</v>
      </c>
      <c r="D224" s="495">
        <v>225</v>
      </c>
      <c r="E224" s="497">
        <v>3.72</v>
      </c>
      <c r="F224" s="497">
        <v>4.57</v>
      </c>
      <c r="G224" s="497">
        <v>5.66</v>
      </c>
      <c r="H224" s="497">
        <v>5.82</v>
      </c>
      <c r="I224" s="497">
        <v>6.24</v>
      </c>
      <c r="J224" s="497">
        <v>6.16</v>
      </c>
      <c r="K224" s="497">
        <v>6.03</v>
      </c>
      <c r="L224" s="497">
        <v>5.71</v>
      </c>
      <c r="M224" s="497">
        <v>4.9800000000000004</v>
      </c>
      <c r="N224" s="497">
        <v>4.62</v>
      </c>
      <c r="O224" s="497">
        <v>4.07</v>
      </c>
      <c r="P224" s="497">
        <v>3.55</v>
      </c>
      <c r="Q224" s="202">
        <f t="shared" si="7"/>
        <v>5.0941666666666663</v>
      </c>
      <c r="R224" s="202" t="s">
        <v>1020</v>
      </c>
    </row>
    <row r="225" spans="1:18" x14ac:dyDescent="0.15">
      <c r="A225" s="202" t="str">
        <f t="shared" si="6"/>
        <v>Monterrey_Flat Surface_247.5</v>
      </c>
      <c r="B225" s="495" t="s">
        <v>887</v>
      </c>
      <c r="C225" s="495">
        <v>0</v>
      </c>
      <c r="D225" s="495">
        <v>247.5</v>
      </c>
      <c r="E225" s="497">
        <v>3.72</v>
      </c>
      <c r="F225" s="497">
        <v>4.57</v>
      </c>
      <c r="G225" s="497">
        <v>5.66</v>
      </c>
      <c r="H225" s="497">
        <v>5.82</v>
      </c>
      <c r="I225" s="497">
        <v>6.24</v>
      </c>
      <c r="J225" s="497">
        <v>6.16</v>
      </c>
      <c r="K225" s="497">
        <v>6.03</v>
      </c>
      <c r="L225" s="497">
        <v>5.71</v>
      </c>
      <c r="M225" s="497">
        <v>4.9800000000000004</v>
      </c>
      <c r="N225" s="497">
        <v>4.62</v>
      </c>
      <c r="O225" s="497">
        <v>4.07</v>
      </c>
      <c r="P225" s="497">
        <v>3.55</v>
      </c>
      <c r="Q225" s="202">
        <f t="shared" si="7"/>
        <v>5.0941666666666663</v>
      </c>
      <c r="R225" s="202" t="s">
        <v>1020</v>
      </c>
    </row>
    <row r="226" spans="1:18" x14ac:dyDescent="0.15">
      <c r="A226" s="202" t="str">
        <f t="shared" si="6"/>
        <v>Monterrey_Flat Surface_270</v>
      </c>
      <c r="B226" s="495" t="s">
        <v>887</v>
      </c>
      <c r="C226" s="495">
        <v>0</v>
      </c>
      <c r="D226" s="495">
        <v>270</v>
      </c>
      <c r="E226" s="497">
        <v>3.72</v>
      </c>
      <c r="F226" s="497">
        <v>4.57</v>
      </c>
      <c r="G226" s="497">
        <v>5.66</v>
      </c>
      <c r="H226" s="497">
        <v>5.82</v>
      </c>
      <c r="I226" s="497">
        <v>6.24</v>
      </c>
      <c r="J226" s="497">
        <v>6.16</v>
      </c>
      <c r="K226" s="497">
        <v>6.03</v>
      </c>
      <c r="L226" s="497">
        <v>5.71</v>
      </c>
      <c r="M226" s="497">
        <v>4.9800000000000004</v>
      </c>
      <c r="N226" s="497">
        <v>4.62</v>
      </c>
      <c r="O226" s="497">
        <v>4.07</v>
      </c>
      <c r="P226" s="497">
        <v>3.55</v>
      </c>
      <c r="Q226" s="202">
        <f t="shared" si="7"/>
        <v>5.0941666666666663</v>
      </c>
      <c r="R226" s="202" t="s">
        <v>1020</v>
      </c>
    </row>
    <row r="227" spans="1:18" x14ac:dyDescent="0.15">
      <c r="A227" s="202" t="str">
        <f t="shared" si="6"/>
        <v>Monterrey_Optimal Summer_90</v>
      </c>
      <c r="B227" s="495" t="s">
        <v>887</v>
      </c>
      <c r="C227" s="495">
        <v>11</v>
      </c>
      <c r="D227" s="495">
        <v>90</v>
      </c>
      <c r="E227" s="497">
        <v>3.39</v>
      </c>
      <c r="F227" s="497">
        <v>4.03</v>
      </c>
      <c r="G227" s="497">
        <v>4.79</v>
      </c>
      <c r="H227" s="497">
        <v>4.7300000000000004</v>
      </c>
      <c r="I227" s="497">
        <v>4.92</v>
      </c>
      <c r="J227" s="497">
        <v>4.8099999999999996</v>
      </c>
      <c r="K227" s="497">
        <v>4.7300000000000004</v>
      </c>
      <c r="L227" s="497">
        <v>4.57</v>
      </c>
      <c r="M227" s="497">
        <v>4.1100000000000003</v>
      </c>
      <c r="N227" s="497">
        <v>4</v>
      </c>
      <c r="O227" s="497">
        <v>3.69</v>
      </c>
      <c r="P227" s="497">
        <v>3.28</v>
      </c>
      <c r="Q227" s="202">
        <f t="shared" si="7"/>
        <v>4.2541666666666664</v>
      </c>
      <c r="R227" s="202" t="s">
        <v>984</v>
      </c>
    </row>
    <row r="228" spans="1:18" x14ac:dyDescent="0.15">
      <c r="A228" s="202" t="str">
        <f t="shared" si="6"/>
        <v>Monterrey_Optimal Summer_112.5</v>
      </c>
      <c r="B228" s="495" t="s">
        <v>887</v>
      </c>
      <c r="C228" s="495">
        <v>11</v>
      </c>
      <c r="D228" s="495">
        <v>112.5</v>
      </c>
      <c r="E228" s="497">
        <v>3.71</v>
      </c>
      <c r="F228" s="497">
        <v>4.41</v>
      </c>
      <c r="G228" s="497">
        <v>5.24</v>
      </c>
      <c r="H228" s="497">
        <v>5.17</v>
      </c>
      <c r="I228" s="497">
        <v>5.38</v>
      </c>
      <c r="J228" s="497">
        <v>5.26</v>
      </c>
      <c r="K228" s="497">
        <v>5.17</v>
      </c>
      <c r="L228" s="497">
        <v>5</v>
      </c>
      <c r="M228" s="497">
        <v>4.5</v>
      </c>
      <c r="N228" s="497">
        <v>4.38</v>
      </c>
      <c r="O228" s="497">
        <v>4.03</v>
      </c>
      <c r="P228" s="497">
        <v>3.59</v>
      </c>
      <c r="Q228" s="202">
        <f t="shared" si="7"/>
        <v>4.6533333333333333</v>
      </c>
      <c r="R228" s="202" t="s">
        <v>984</v>
      </c>
    </row>
    <row r="229" spans="1:18" x14ac:dyDescent="0.15">
      <c r="A229" s="202" t="str">
        <f t="shared" si="6"/>
        <v>Monterrey_Optimal Summer_135</v>
      </c>
      <c r="B229" s="495" t="s">
        <v>887</v>
      </c>
      <c r="C229" s="495">
        <v>11</v>
      </c>
      <c r="D229" s="495">
        <v>135</v>
      </c>
      <c r="E229" s="497">
        <v>4.03</v>
      </c>
      <c r="F229" s="497">
        <v>4.79</v>
      </c>
      <c r="G229" s="497">
        <v>5.69</v>
      </c>
      <c r="H229" s="497">
        <v>5.61</v>
      </c>
      <c r="I229" s="497">
        <v>5.84</v>
      </c>
      <c r="J229" s="497">
        <v>5.71</v>
      </c>
      <c r="K229" s="497">
        <v>5.61</v>
      </c>
      <c r="L229" s="497">
        <v>5.42</v>
      </c>
      <c r="M229" s="497">
        <v>4.88</v>
      </c>
      <c r="N229" s="497">
        <v>4.75</v>
      </c>
      <c r="O229" s="497">
        <v>4.38</v>
      </c>
      <c r="P229" s="497">
        <v>3.9</v>
      </c>
      <c r="Q229" s="202">
        <f t="shared" si="7"/>
        <v>5.0508333333333342</v>
      </c>
      <c r="R229" s="202" t="s">
        <v>984</v>
      </c>
    </row>
    <row r="230" spans="1:18" x14ac:dyDescent="0.15">
      <c r="A230" s="202" t="str">
        <f t="shared" si="6"/>
        <v>Monterrey_Optimal Summer_157.5</v>
      </c>
      <c r="B230" s="495" t="s">
        <v>887</v>
      </c>
      <c r="C230" s="495">
        <v>11</v>
      </c>
      <c r="D230" s="495">
        <v>157.5</v>
      </c>
      <c r="E230" s="497">
        <v>4.13</v>
      </c>
      <c r="F230" s="497">
        <v>4.91</v>
      </c>
      <c r="G230" s="497">
        <v>5.84</v>
      </c>
      <c r="H230" s="497">
        <v>5.76</v>
      </c>
      <c r="I230" s="497">
        <v>6</v>
      </c>
      <c r="J230" s="497">
        <v>5.86</v>
      </c>
      <c r="K230" s="497">
        <v>5.76</v>
      </c>
      <c r="L230" s="497">
        <v>5.57</v>
      </c>
      <c r="M230" s="497">
        <v>5.01</v>
      </c>
      <c r="N230" s="497">
        <v>4.88</v>
      </c>
      <c r="O230" s="497">
        <v>4.49</v>
      </c>
      <c r="P230" s="497">
        <v>4</v>
      </c>
      <c r="Q230" s="202">
        <f t="shared" si="7"/>
        <v>5.184166666666667</v>
      </c>
      <c r="R230" s="202" t="s">
        <v>984</v>
      </c>
    </row>
    <row r="231" spans="1:18" x14ac:dyDescent="0.15">
      <c r="A231" s="202" t="str">
        <f t="shared" si="6"/>
        <v>Monterrey_Optimal Summer_180</v>
      </c>
      <c r="B231" s="495" t="s">
        <v>887</v>
      </c>
      <c r="C231" s="495">
        <v>11</v>
      </c>
      <c r="D231" s="495">
        <v>180</v>
      </c>
      <c r="E231" s="497">
        <v>4.24</v>
      </c>
      <c r="F231" s="497">
        <v>5.04</v>
      </c>
      <c r="G231" s="497">
        <v>5.99</v>
      </c>
      <c r="H231" s="497">
        <v>5.91</v>
      </c>
      <c r="I231" s="497">
        <v>6.15</v>
      </c>
      <c r="J231" s="497">
        <v>6.01</v>
      </c>
      <c r="K231" s="497">
        <v>5.91</v>
      </c>
      <c r="L231" s="497">
        <v>5.71</v>
      </c>
      <c r="M231" s="497">
        <v>5.14</v>
      </c>
      <c r="N231" s="497">
        <v>5</v>
      </c>
      <c r="O231" s="497">
        <v>4.6100000000000003</v>
      </c>
      <c r="P231" s="497">
        <v>4.0999999999999996</v>
      </c>
      <c r="Q231" s="202">
        <f t="shared" si="7"/>
        <v>5.3174999999999999</v>
      </c>
      <c r="R231" s="202" t="s">
        <v>984</v>
      </c>
    </row>
    <row r="232" spans="1:18" x14ac:dyDescent="0.15">
      <c r="A232" s="202" t="str">
        <f t="shared" si="6"/>
        <v>Monterrey_Optimal Summer_202.5</v>
      </c>
      <c r="B232" s="495" t="s">
        <v>887</v>
      </c>
      <c r="C232" s="495">
        <v>11</v>
      </c>
      <c r="D232" s="495">
        <v>202.5</v>
      </c>
      <c r="E232" s="497">
        <v>4.13</v>
      </c>
      <c r="F232" s="497">
        <v>4.91</v>
      </c>
      <c r="G232" s="497">
        <v>5.84</v>
      </c>
      <c r="H232" s="497">
        <v>5.76</v>
      </c>
      <c r="I232" s="497">
        <v>6</v>
      </c>
      <c r="J232" s="497">
        <v>5.86</v>
      </c>
      <c r="K232" s="497">
        <v>5.76</v>
      </c>
      <c r="L232" s="497">
        <v>5.57</v>
      </c>
      <c r="M232" s="497">
        <v>5.01</v>
      </c>
      <c r="N232" s="497">
        <v>4.88</v>
      </c>
      <c r="O232" s="497">
        <v>4.49</v>
      </c>
      <c r="P232" s="497">
        <v>4</v>
      </c>
      <c r="Q232" s="202">
        <f t="shared" si="7"/>
        <v>5.184166666666667</v>
      </c>
      <c r="R232" s="202" t="s">
        <v>984</v>
      </c>
    </row>
    <row r="233" spans="1:18" x14ac:dyDescent="0.15">
      <c r="A233" s="202" t="str">
        <f t="shared" si="6"/>
        <v>Monterrey_Optimal Summer_225</v>
      </c>
      <c r="B233" s="495" t="s">
        <v>887</v>
      </c>
      <c r="C233" s="495">
        <v>11</v>
      </c>
      <c r="D233" s="495">
        <v>225</v>
      </c>
      <c r="E233" s="497">
        <v>4.03</v>
      </c>
      <c r="F233" s="497">
        <v>4.79</v>
      </c>
      <c r="G233" s="497">
        <v>5.69</v>
      </c>
      <c r="H233" s="497">
        <v>5.61</v>
      </c>
      <c r="I233" s="497">
        <v>5.84</v>
      </c>
      <c r="J233" s="497">
        <v>5.71</v>
      </c>
      <c r="K233" s="497">
        <v>5.61</v>
      </c>
      <c r="L233" s="497">
        <v>5.42</v>
      </c>
      <c r="M233" s="497">
        <v>4.88</v>
      </c>
      <c r="N233" s="497">
        <v>4.75</v>
      </c>
      <c r="O233" s="497">
        <v>4.38</v>
      </c>
      <c r="P233" s="497">
        <v>3.9</v>
      </c>
      <c r="Q233" s="202">
        <f t="shared" si="7"/>
        <v>5.0508333333333342</v>
      </c>
      <c r="R233" s="202" t="s">
        <v>984</v>
      </c>
    </row>
    <row r="234" spans="1:18" x14ac:dyDescent="0.15">
      <c r="A234" s="202" t="str">
        <f t="shared" si="6"/>
        <v>Monterrey_Optimal Summer_247.5</v>
      </c>
      <c r="B234" s="495" t="s">
        <v>887</v>
      </c>
      <c r="C234" s="495">
        <v>11</v>
      </c>
      <c r="D234" s="495">
        <v>247.5</v>
      </c>
      <c r="E234" s="495">
        <v>3.71</v>
      </c>
      <c r="F234" s="495">
        <v>4.41</v>
      </c>
      <c r="G234" s="495">
        <v>5.24</v>
      </c>
      <c r="H234" s="495">
        <v>5.17</v>
      </c>
      <c r="I234" s="495">
        <v>5.38</v>
      </c>
      <c r="J234" s="495">
        <v>5.26</v>
      </c>
      <c r="K234" s="495">
        <v>5.17</v>
      </c>
      <c r="L234" s="495">
        <v>5</v>
      </c>
      <c r="M234" s="495">
        <v>4.5</v>
      </c>
      <c r="N234" s="495">
        <v>4.38</v>
      </c>
      <c r="O234" s="495">
        <v>4.03</v>
      </c>
      <c r="P234" s="495">
        <v>3.59</v>
      </c>
      <c r="Q234" s="202">
        <f t="shared" si="7"/>
        <v>4.6533333333333333</v>
      </c>
      <c r="R234" s="202" t="s">
        <v>984</v>
      </c>
    </row>
    <row r="235" spans="1:18" x14ac:dyDescent="0.15">
      <c r="A235" s="202" t="str">
        <f t="shared" si="6"/>
        <v>Monterrey_Optimal Summer_270</v>
      </c>
      <c r="B235" s="495" t="s">
        <v>887</v>
      </c>
      <c r="C235" s="495">
        <v>11</v>
      </c>
      <c r="D235" s="495">
        <v>270</v>
      </c>
      <c r="E235" s="495">
        <v>3.39</v>
      </c>
      <c r="F235" s="495">
        <v>4.03</v>
      </c>
      <c r="G235" s="495">
        <v>4.79</v>
      </c>
      <c r="H235" s="495">
        <v>4.7300000000000004</v>
      </c>
      <c r="I235" s="495">
        <v>4.92</v>
      </c>
      <c r="J235" s="495">
        <v>4.8099999999999996</v>
      </c>
      <c r="K235" s="495">
        <v>4.7300000000000004</v>
      </c>
      <c r="L235" s="495">
        <v>4.57</v>
      </c>
      <c r="M235" s="495">
        <v>4.1100000000000003</v>
      </c>
      <c r="N235" s="495">
        <v>4</v>
      </c>
      <c r="O235" s="495">
        <v>3.69</v>
      </c>
      <c r="P235" s="495">
        <v>3.28</v>
      </c>
      <c r="Q235" s="202">
        <f t="shared" si="7"/>
        <v>4.2541666666666664</v>
      </c>
      <c r="R235" s="202" t="s">
        <v>984</v>
      </c>
    </row>
    <row r="236" spans="1:18" x14ac:dyDescent="0.15">
      <c r="A236" s="202" t="str">
        <f t="shared" si="6"/>
        <v>Monterrey_Optimal Year Round_90</v>
      </c>
      <c r="B236" s="495" t="s">
        <v>887</v>
      </c>
      <c r="C236" s="495">
        <v>26</v>
      </c>
      <c r="D236" s="495">
        <v>90</v>
      </c>
      <c r="E236" s="497">
        <v>3.86</v>
      </c>
      <c r="F236" s="497">
        <v>4.41</v>
      </c>
      <c r="G236" s="497">
        <v>4.9800000000000004</v>
      </c>
      <c r="H236" s="497">
        <v>4.6399999999999997</v>
      </c>
      <c r="I236" s="497">
        <v>4.62</v>
      </c>
      <c r="J236" s="497">
        <v>4.4400000000000004</v>
      </c>
      <c r="K236" s="497">
        <v>4.4000000000000004</v>
      </c>
      <c r="L236" s="497">
        <v>4.38</v>
      </c>
      <c r="M236" s="497">
        <v>4.1500000000000004</v>
      </c>
      <c r="N236" s="497">
        <v>4.2699999999999996</v>
      </c>
      <c r="O236" s="497">
        <v>4.16</v>
      </c>
      <c r="P236" s="497">
        <v>3.78</v>
      </c>
      <c r="Q236" s="202">
        <f t="shared" si="7"/>
        <v>4.3408333333333333</v>
      </c>
      <c r="R236" s="202" t="s">
        <v>1019</v>
      </c>
    </row>
    <row r="237" spans="1:18" x14ac:dyDescent="0.15">
      <c r="A237" s="202" t="str">
        <f t="shared" si="6"/>
        <v>Monterrey_Optimal Year Round_112.5</v>
      </c>
      <c r="B237" s="495" t="s">
        <v>887</v>
      </c>
      <c r="C237" s="495">
        <v>26</v>
      </c>
      <c r="D237" s="495">
        <v>112.5</v>
      </c>
      <c r="E237" s="497">
        <v>4.22</v>
      </c>
      <c r="F237" s="497">
        <v>4.82</v>
      </c>
      <c r="G237" s="497">
        <v>5.44</v>
      </c>
      <c r="H237" s="497">
        <v>5.08</v>
      </c>
      <c r="I237" s="497">
        <v>5.05</v>
      </c>
      <c r="J237" s="497">
        <v>4.8600000000000003</v>
      </c>
      <c r="K237" s="497">
        <v>4.8099999999999996</v>
      </c>
      <c r="L237" s="497">
        <v>4.8</v>
      </c>
      <c r="M237" s="497">
        <v>4.54</v>
      </c>
      <c r="N237" s="497">
        <v>4.67</v>
      </c>
      <c r="O237" s="497">
        <v>4.55</v>
      </c>
      <c r="P237" s="497">
        <v>4.1399999999999997</v>
      </c>
      <c r="Q237" s="202">
        <f t="shared" si="7"/>
        <v>4.7483333333333331</v>
      </c>
      <c r="R237" s="202" t="s">
        <v>1019</v>
      </c>
    </row>
    <row r="238" spans="1:18" x14ac:dyDescent="0.15">
      <c r="A238" s="202" t="str">
        <f t="shared" si="6"/>
        <v>Monterrey_Optimal Year Round_135</v>
      </c>
      <c r="B238" s="495" t="s">
        <v>887</v>
      </c>
      <c r="C238" s="495">
        <v>26</v>
      </c>
      <c r="D238" s="495">
        <v>135</v>
      </c>
      <c r="E238" s="497">
        <v>4.58</v>
      </c>
      <c r="F238" s="497">
        <v>5.23</v>
      </c>
      <c r="G238" s="497">
        <v>5.91</v>
      </c>
      <c r="H238" s="497">
        <v>5.51</v>
      </c>
      <c r="I238" s="497">
        <v>5.48</v>
      </c>
      <c r="J238" s="497">
        <v>5.27</v>
      </c>
      <c r="K238" s="497">
        <v>5.22</v>
      </c>
      <c r="L238" s="497">
        <v>5.21</v>
      </c>
      <c r="M238" s="497">
        <v>4.93</v>
      </c>
      <c r="N238" s="497">
        <v>5.07</v>
      </c>
      <c r="O238" s="497">
        <v>4.9400000000000004</v>
      </c>
      <c r="P238" s="497">
        <v>4.49</v>
      </c>
      <c r="Q238" s="202">
        <f t="shared" si="7"/>
        <v>5.1533333333333333</v>
      </c>
      <c r="R238" s="202" t="s">
        <v>1019</v>
      </c>
    </row>
    <row r="239" spans="1:18" x14ac:dyDescent="0.15">
      <c r="A239" s="202" t="str">
        <f t="shared" si="6"/>
        <v>Monterrey_Optimal Year Round_157.5</v>
      </c>
      <c r="B239" s="495" t="s">
        <v>887</v>
      </c>
      <c r="C239" s="495">
        <v>26</v>
      </c>
      <c r="D239" s="495">
        <v>157.5</v>
      </c>
      <c r="E239" s="497">
        <v>4.7</v>
      </c>
      <c r="F239" s="497">
        <v>5.37</v>
      </c>
      <c r="G239" s="497">
        <v>6.06</v>
      </c>
      <c r="H239" s="497">
        <v>5.66</v>
      </c>
      <c r="I239" s="497">
        <v>5.63</v>
      </c>
      <c r="J239" s="497">
        <v>5.41</v>
      </c>
      <c r="K239" s="497">
        <v>5.36</v>
      </c>
      <c r="L239" s="497">
        <v>5.34</v>
      </c>
      <c r="M239" s="497">
        <v>5.0599999999999996</v>
      </c>
      <c r="N239" s="497">
        <v>5.21</v>
      </c>
      <c r="O239" s="497">
        <v>5.07</v>
      </c>
      <c r="P239" s="497">
        <v>4.6100000000000003</v>
      </c>
      <c r="Q239" s="202">
        <f t="shared" si="7"/>
        <v>5.29</v>
      </c>
      <c r="R239" s="202" t="s">
        <v>1019</v>
      </c>
    </row>
    <row r="240" spans="1:18" x14ac:dyDescent="0.15">
      <c r="A240" s="202" t="str">
        <f t="shared" si="6"/>
        <v>Monterrey_Optimal Year Round_180</v>
      </c>
      <c r="B240" s="495" t="s">
        <v>887</v>
      </c>
      <c r="C240" s="495">
        <v>26</v>
      </c>
      <c r="D240" s="495">
        <v>180</v>
      </c>
      <c r="E240" s="497">
        <v>4.82</v>
      </c>
      <c r="F240" s="497">
        <v>5.51</v>
      </c>
      <c r="G240" s="497">
        <v>6.22</v>
      </c>
      <c r="H240" s="497">
        <v>5.8</v>
      </c>
      <c r="I240" s="497">
        <v>5.77</v>
      </c>
      <c r="J240" s="497">
        <v>5.55</v>
      </c>
      <c r="K240" s="497">
        <v>5.5</v>
      </c>
      <c r="L240" s="497">
        <v>5.48</v>
      </c>
      <c r="M240" s="497">
        <v>5.19</v>
      </c>
      <c r="N240" s="497">
        <v>5.34</v>
      </c>
      <c r="O240" s="497">
        <v>5.2</v>
      </c>
      <c r="P240" s="497">
        <v>4.7300000000000004</v>
      </c>
      <c r="Q240" s="202">
        <f t="shared" si="7"/>
        <v>5.4258333333333342</v>
      </c>
      <c r="R240" s="202" t="s">
        <v>1019</v>
      </c>
    </row>
    <row r="241" spans="1:18" x14ac:dyDescent="0.15">
      <c r="A241" s="202" t="str">
        <f t="shared" si="6"/>
        <v>Monterrey_Optimal Year Round_202.5</v>
      </c>
      <c r="B241" s="495" t="s">
        <v>887</v>
      </c>
      <c r="C241" s="495">
        <v>26</v>
      </c>
      <c r="D241" s="495">
        <v>202.5</v>
      </c>
      <c r="E241" s="497">
        <v>4.7</v>
      </c>
      <c r="F241" s="497">
        <v>5.37</v>
      </c>
      <c r="G241" s="497">
        <v>6.06</v>
      </c>
      <c r="H241" s="497">
        <v>5.66</v>
      </c>
      <c r="I241" s="497">
        <v>5.63</v>
      </c>
      <c r="J241" s="497">
        <v>5.41</v>
      </c>
      <c r="K241" s="497">
        <v>5.36</v>
      </c>
      <c r="L241" s="497">
        <v>5.34</v>
      </c>
      <c r="M241" s="497">
        <v>5.0599999999999996</v>
      </c>
      <c r="N241" s="497">
        <v>5.21</v>
      </c>
      <c r="O241" s="497">
        <v>5.07</v>
      </c>
      <c r="P241" s="497">
        <v>4.6100000000000003</v>
      </c>
      <c r="Q241" s="202">
        <f t="shared" si="7"/>
        <v>5.29</v>
      </c>
      <c r="R241" s="202" t="s">
        <v>1019</v>
      </c>
    </row>
    <row r="242" spans="1:18" x14ac:dyDescent="0.15">
      <c r="A242" s="202" t="str">
        <f t="shared" si="6"/>
        <v>Monterrey_Optimal Year Round_225</v>
      </c>
      <c r="B242" s="495" t="s">
        <v>887</v>
      </c>
      <c r="C242" s="495">
        <v>26</v>
      </c>
      <c r="D242" s="495">
        <v>225</v>
      </c>
      <c r="E242" s="495">
        <v>4.58</v>
      </c>
      <c r="F242" s="495">
        <v>5.23</v>
      </c>
      <c r="G242" s="495">
        <v>5.91</v>
      </c>
      <c r="H242" s="495">
        <v>5.51</v>
      </c>
      <c r="I242" s="495">
        <v>5.48</v>
      </c>
      <c r="J242" s="495">
        <v>5.27</v>
      </c>
      <c r="K242" s="495">
        <v>5.22</v>
      </c>
      <c r="L242" s="495">
        <v>5.21</v>
      </c>
      <c r="M242" s="495">
        <v>4.93</v>
      </c>
      <c r="N242" s="495">
        <v>5.07</v>
      </c>
      <c r="O242" s="495">
        <v>4.9400000000000004</v>
      </c>
      <c r="P242" s="495">
        <v>4.49</v>
      </c>
      <c r="Q242" s="202">
        <f t="shared" si="7"/>
        <v>5.1533333333333333</v>
      </c>
      <c r="R242" s="202" t="s">
        <v>1019</v>
      </c>
    </row>
    <row r="243" spans="1:18" x14ac:dyDescent="0.15">
      <c r="A243" s="202" t="str">
        <f t="shared" si="6"/>
        <v>Monterrey_Optimal Year Round_247.5</v>
      </c>
      <c r="B243" s="495" t="s">
        <v>887</v>
      </c>
      <c r="C243" s="495">
        <v>26</v>
      </c>
      <c r="D243" s="495">
        <v>247.5</v>
      </c>
      <c r="E243" s="495">
        <v>4.22</v>
      </c>
      <c r="F243" s="495">
        <v>4.82</v>
      </c>
      <c r="G243" s="495">
        <v>5.44</v>
      </c>
      <c r="H243" s="495">
        <v>5.08</v>
      </c>
      <c r="I243" s="495">
        <v>5.05</v>
      </c>
      <c r="J243" s="495">
        <v>4.8600000000000003</v>
      </c>
      <c r="K243" s="495">
        <v>4.8099999999999996</v>
      </c>
      <c r="L243" s="495">
        <v>4.8</v>
      </c>
      <c r="M243" s="495">
        <v>4.54</v>
      </c>
      <c r="N243" s="495">
        <v>4.67</v>
      </c>
      <c r="O243" s="495">
        <v>4.55</v>
      </c>
      <c r="P243" s="495">
        <v>4.1399999999999997</v>
      </c>
      <c r="Q243" s="202">
        <f t="shared" si="7"/>
        <v>4.7483333333333331</v>
      </c>
      <c r="R243" s="202" t="s">
        <v>1019</v>
      </c>
    </row>
    <row r="244" spans="1:18" x14ac:dyDescent="0.15">
      <c r="A244" s="202" t="str">
        <f t="shared" si="6"/>
        <v>Monterrey_Optimal Year Round_270</v>
      </c>
      <c r="B244" s="495" t="s">
        <v>887</v>
      </c>
      <c r="C244" s="495">
        <v>26</v>
      </c>
      <c r="D244" s="495">
        <v>270</v>
      </c>
      <c r="E244" s="495">
        <v>3.86</v>
      </c>
      <c r="F244" s="495">
        <v>4.41</v>
      </c>
      <c r="G244" s="495">
        <v>4.9800000000000004</v>
      </c>
      <c r="H244" s="495">
        <v>4.6399999999999997</v>
      </c>
      <c r="I244" s="495">
        <v>4.62</v>
      </c>
      <c r="J244" s="495">
        <v>4.4400000000000004</v>
      </c>
      <c r="K244" s="495">
        <v>4.4000000000000004</v>
      </c>
      <c r="L244" s="495">
        <v>4.38</v>
      </c>
      <c r="M244" s="495">
        <v>4.1500000000000004</v>
      </c>
      <c r="N244" s="495">
        <v>4.2699999999999996</v>
      </c>
      <c r="O244" s="495">
        <v>4.16</v>
      </c>
      <c r="P244" s="495">
        <v>3.78</v>
      </c>
      <c r="Q244" s="202">
        <f t="shared" si="7"/>
        <v>4.3408333333333333</v>
      </c>
      <c r="R244" s="202" t="s">
        <v>1019</v>
      </c>
    </row>
    <row r="245" spans="1:18" x14ac:dyDescent="0.15">
      <c r="A245" s="202" t="str">
        <f t="shared" si="6"/>
        <v>Morelia_Flat Surface_90</v>
      </c>
      <c r="B245" s="202" t="s">
        <v>1028</v>
      </c>
      <c r="C245" s="202">
        <v>0</v>
      </c>
      <c r="D245" s="202">
        <v>90</v>
      </c>
      <c r="E245" s="202">
        <v>4.8499999999999996</v>
      </c>
      <c r="F245" s="202">
        <v>5.81</v>
      </c>
      <c r="G245" s="202">
        <v>6.82</v>
      </c>
      <c r="H245" s="202">
        <v>6.93</v>
      </c>
      <c r="I245" s="202">
        <v>6.6</v>
      </c>
      <c r="J245" s="202">
        <v>5.58</v>
      </c>
      <c r="K245" s="202">
        <v>5.27</v>
      </c>
      <c r="L245" s="202">
        <v>5.14</v>
      </c>
      <c r="M245" s="202">
        <v>4.8</v>
      </c>
      <c r="N245" s="202">
        <v>4.8600000000000003</v>
      </c>
      <c r="O245" s="202">
        <v>4.99</v>
      </c>
      <c r="P245" s="202">
        <v>4.5199999999999996</v>
      </c>
      <c r="Q245" s="202">
        <f t="shared" si="7"/>
        <v>5.5141666666666671</v>
      </c>
      <c r="R245" s="202" t="s">
        <v>1020</v>
      </c>
    </row>
    <row r="246" spans="1:18" x14ac:dyDescent="0.15">
      <c r="A246" s="202" t="str">
        <f t="shared" si="6"/>
        <v>Morelia_Flat Surface_112.5</v>
      </c>
      <c r="B246" s="202" t="s">
        <v>1028</v>
      </c>
      <c r="C246" s="202">
        <v>0</v>
      </c>
      <c r="D246" s="202">
        <v>112.5</v>
      </c>
      <c r="E246" s="202">
        <v>4.8499999999999996</v>
      </c>
      <c r="F246" s="202">
        <v>5.81</v>
      </c>
      <c r="G246" s="202">
        <v>6.82</v>
      </c>
      <c r="H246" s="202">
        <v>6.93</v>
      </c>
      <c r="I246" s="202">
        <v>6.6</v>
      </c>
      <c r="J246" s="202">
        <v>5.58</v>
      </c>
      <c r="K246" s="202">
        <v>5.27</v>
      </c>
      <c r="L246" s="202">
        <v>5.14</v>
      </c>
      <c r="M246" s="202">
        <v>4.8</v>
      </c>
      <c r="N246" s="202">
        <v>4.8600000000000003</v>
      </c>
      <c r="O246" s="202">
        <v>4.99</v>
      </c>
      <c r="P246" s="202">
        <v>4.5199999999999996</v>
      </c>
      <c r="Q246" s="202">
        <f t="shared" si="7"/>
        <v>5.5141666666666671</v>
      </c>
      <c r="R246" s="202" t="s">
        <v>1020</v>
      </c>
    </row>
    <row r="247" spans="1:18" x14ac:dyDescent="0.15">
      <c r="A247" s="202" t="str">
        <f t="shared" si="6"/>
        <v>Morelia_Flat Surface_135</v>
      </c>
      <c r="B247" s="202" t="s">
        <v>1028</v>
      </c>
      <c r="C247" s="202">
        <v>0</v>
      </c>
      <c r="D247" s="202">
        <v>135</v>
      </c>
      <c r="E247" s="202">
        <v>4.8499999999999996</v>
      </c>
      <c r="F247" s="202">
        <v>5.81</v>
      </c>
      <c r="G247" s="202">
        <v>6.82</v>
      </c>
      <c r="H247" s="202">
        <v>6.93</v>
      </c>
      <c r="I247" s="202">
        <v>6.6</v>
      </c>
      <c r="J247" s="202">
        <v>5.58</v>
      </c>
      <c r="K247" s="202">
        <v>5.27</v>
      </c>
      <c r="L247" s="202">
        <v>5.14</v>
      </c>
      <c r="M247" s="202">
        <v>4.8</v>
      </c>
      <c r="N247" s="202">
        <v>4.8600000000000003</v>
      </c>
      <c r="O247" s="202">
        <v>4.99</v>
      </c>
      <c r="P247" s="202">
        <v>4.5199999999999996</v>
      </c>
      <c r="Q247" s="202">
        <f t="shared" si="7"/>
        <v>5.5141666666666671</v>
      </c>
      <c r="R247" s="202" t="s">
        <v>1020</v>
      </c>
    </row>
    <row r="248" spans="1:18" x14ac:dyDescent="0.15">
      <c r="A248" s="202" t="str">
        <f t="shared" si="6"/>
        <v>Morelia_Flat Surface_157.5</v>
      </c>
      <c r="B248" s="202" t="s">
        <v>1028</v>
      </c>
      <c r="C248" s="202">
        <v>0</v>
      </c>
      <c r="D248" s="202">
        <v>157.5</v>
      </c>
      <c r="E248" s="202">
        <v>4.8499999999999996</v>
      </c>
      <c r="F248" s="202">
        <v>5.81</v>
      </c>
      <c r="G248" s="202">
        <v>6.82</v>
      </c>
      <c r="H248" s="202">
        <v>6.93</v>
      </c>
      <c r="I248" s="202">
        <v>6.6</v>
      </c>
      <c r="J248" s="202">
        <v>5.58</v>
      </c>
      <c r="K248" s="202">
        <v>5.27</v>
      </c>
      <c r="L248" s="202">
        <v>5.14</v>
      </c>
      <c r="M248" s="202">
        <v>4.8</v>
      </c>
      <c r="N248" s="202">
        <v>4.8600000000000003</v>
      </c>
      <c r="O248" s="202">
        <v>4.99</v>
      </c>
      <c r="P248" s="202">
        <v>4.5199999999999996</v>
      </c>
      <c r="Q248" s="202">
        <f t="shared" si="7"/>
        <v>5.5141666666666671</v>
      </c>
      <c r="R248" s="202" t="s">
        <v>1020</v>
      </c>
    </row>
    <row r="249" spans="1:18" x14ac:dyDescent="0.15">
      <c r="A249" s="202" t="str">
        <f t="shared" si="6"/>
        <v>Morelia_Flat Surface_180</v>
      </c>
      <c r="B249" s="202" t="s">
        <v>1028</v>
      </c>
      <c r="C249" s="202">
        <v>0</v>
      </c>
      <c r="D249" s="202">
        <v>180</v>
      </c>
      <c r="E249" s="202">
        <v>4.8499999999999996</v>
      </c>
      <c r="F249" s="202">
        <v>5.81</v>
      </c>
      <c r="G249" s="202">
        <v>6.82</v>
      </c>
      <c r="H249" s="202">
        <v>6.93</v>
      </c>
      <c r="I249" s="202">
        <v>6.6</v>
      </c>
      <c r="J249" s="202">
        <v>5.58</v>
      </c>
      <c r="K249" s="202">
        <v>5.27</v>
      </c>
      <c r="L249" s="202">
        <v>5.14</v>
      </c>
      <c r="M249" s="202">
        <v>4.8</v>
      </c>
      <c r="N249" s="202">
        <v>4.8600000000000003</v>
      </c>
      <c r="O249" s="202">
        <v>4.99</v>
      </c>
      <c r="P249" s="202">
        <v>4.5199999999999996</v>
      </c>
      <c r="Q249" s="202">
        <f t="shared" si="7"/>
        <v>5.5141666666666671</v>
      </c>
      <c r="R249" s="202" t="s">
        <v>1020</v>
      </c>
    </row>
    <row r="250" spans="1:18" x14ac:dyDescent="0.15">
      <c r="A250" s="202" t="str">
        <f t="shared" si="6"/>
        <v>Morelia_Flat Surface_202.5</v>
      </c>
      <c r="B250" s="202" t="s">
        <v>1028</v>
      </c>
      <c r="C250" s="202">
        <v>0</v>
      </c>
      <c r="D250" s="202">
        <v>202.5</v>
      </c>
      <c r="E250" s="202">
        <v>4.8499999999999996</v>
      </c>
      <c r="F250" s="202">
        <v>5.81</v>
      </c>
      <c r="G250" s="202">
        <v>6.82</v>
      </c>
      <c r="H250" s="202">
        <v>6.93</v>
      </c>
      <c r="I250" s="202">
        <v>6.6</v>
      </c>
      <c r="J250" s="202">
        <v>5.58</v>
      </c>
      <c r="K250" s="202">
        <v>5.27</v>
      </c>
      <c r="L250" s="202">
        <v>5.14</v>
      </c>
      <c r="M250" s="202">
        <v>4.8</v>
      </c>
      <c r="N250" s="202">
        <v>4.8600000000000003</v>
      </c>
      <c r="O250" s="202">
        <v>4.99</v>
      </c>
      <c r="P250" s="202">
        <v>4.5199999999999996</v>
      </c>
      <c r="Q250" s="202">
        <f t="shared" si="7"/>
        <v>5.5141666666666671</v>
      </c>
      <c r="R250" s="202" t="s">
        <v>1020</v>
      </c>
    </row>
    <row r="251" spans="1:18" x14ac:dyDescent="0.15">
      <c r="A251" s="202" t="str">
        <f t="shared" si="6"/>
        <v>Morelia_Flat Surface_225</v>
      </c>
      <c r="B251" s="202" t="s">
        <v>1028</v>
      </c>
      <c r="C251" s="202">
        <v>0</v>
      </c>
      <c r="D251" s="202">
        <v>225</v>
      </c>
      <c r="E251" s="202">
        <v>4.8499999999999996</v>
      </c>
      <c r="F251" s="202">
        <v>5.81</v>
      </c>
      <c r="G251" s="202">
        <v>6.82</v>
      </c>
      <c r="H251" s="202">
        <v>6.93</v>
      </c>
      <c r="I251" s="202">
        <v>6.6</v>
      </c>
      <c r="J251" s="202">
        <v>5.58</v>
      </c>
      <c r="K251" s="202">
        <v>5.27</v>
      </c>
      <c r="L251" s="202">
        <v>5.14</v>
      </c>
      <c r="M251" s="202">
        <v>4.8</v>
      </c>
      <c r="N251" s="202">
        <v>4.8600000000000003</v>
      </c>
      <c r="O251" s="202">
        <v>4.99</v>
      </c>
      <c r="P251" s="202">
        <v>4.5199999999999996</v>
      </c>
      <c r="Q251" s="202">
        <f t="shared" si="7"/>
        <v>5.5141666666666671</v>
      </c>
      <c r="R251" s="202" t="s">
        <v>1020</v>
      </c>
    </row>
    <row r="252" spans="1:18" x14ac:dyDescent="0.15">
      <c r="A252" s="202" t="str">
        <f t="shared" si="6"/>
        <v>Morelia_Flat Surface_247.5</v>
      </c>
      <c r="B252" s="202" t="s">
        <v>1028</v>
      </c>
      <c r="C252" s="202">
        <v>0</v>
      </c>
      <c r="D252" s="202">
        <v>247.5</v>
      </c>
      <c r="E252" s="202">
        <v>4.8499999999999996</v>
      </c>
      <c r="F252" s="202">
        <v>5.81</v>
      </c>
      <c r="G252" s="202">
        <v>6.82</v>
      </c>
      <c r="H252" s="202">
        <v>6.93</v>
      </c>
      <c r="I252" s="202">
        <v>6.6</v>
      </c>
      <c r="J252" s="202">
        <v>5.58</v>
      </c>
      <c r="K252" s="202">
        <v>5.27</v>
      </c>
      <c r="L252" s="202">
        <v>5.14</v>
      </c>
      <c r="M252" s="202">
        <v>4.8</v>
      </c>
      <c r="N252" s="202">
        <v>4.8600000000000003</v>
      </c>
      <c r="O252" s="202">
        <v>4.99</v>
      </c>
      <c r="P252" s="202">
        <v>4.5199999999999996</v>
      </c>
      <c r="Q252" s="202">
        <f t="shared" si="7"/>
        <v>5.5141666666666671</v>
      </c>
      <c r="R252" s="202" t="s">
        <v>1020</v>
      </c>
    </row>
    <row r="253" spans="1:18" x14ac:dyDescent="0.15">
      <c r="A253" s="202" t="str">
        <f t="shared" si="6"/>
        <v>Morelia_Flat Surface_270</v>
      </c>
      <c r="B253" s="202" t="s">
        <v>1028</v>
      </c>
      <c r="C253" s="202">
        <v>0</v>
      </c>
      <c r="D253" s="202">
        <v>270</v>
      </c>
      <c r="E253" s="202">
        <v>4.8499999999999996</v>
      </c>
      <c r="F253" s="202">
        <v>5.81</v>
      </c>
      <c r="G253" s="202">
        <v>6.82</v>
      </c>
      <c r="H253" s="202">
        <v>6.93</v>
      </c>
      <c r="I253" s="202">
        <v>6.6</v>
      </c>
      <c r="J253" s="202">
        <v>5.58</v>
      </c>
      <c r="K253" s="202">
        <v>5.27</v>
      </c>
      <c r="L253" s="202">
        <v>5.14</v>
      </c>
      <c r="M253" s="202">
        <v>4.8</v>
      </c>
      <c r="N253" s="202">
        <v>4.8600000000000003</v>
      </c>
      <c r="O253" s="202">
        <v>4.99</v>
      </c>
      <c r="P253" s="202">
        <v>4.5199999999999996</v>
      </c>
      <c r="Q253" s="202">
        <f t="shared" si="7"/>
        <v>5.5141666666666671</v>
      </c>
      <c r="R253" s="202" t="s">
        <v>1020</v>
      </c>
    </row>
    <row r="254" spans="1:18" x14ac:dyDescent="0.15">
      <c r="A254" s="202" t="str">
        <f t="shared" si="6"/>
        <v>Morelia_Optimal Summer_90</v>
      </c>
      <c r="B254" s="202" t="s">
        <v>1028</v>
      </c>
      <c r="C254" s="202">
        <v>5</v>
      </c>
      <c r="D254" s="202">
        <v>90</v>
      </c>
      <c r="E254" s="202">
        <v>4.0999999999999996</v>
      </c>
      <c r="F254" s="202">
        <v>4.83</v>
      </c>
      <c r="G254" s="202">
        <v>5.58</v>
      </c>
      <c r="H254" s="202">
        <v>5.58</v>
      </c>
      <c r="I254" s="202">
        <v>5.24</v>
      </c>
      <c r="J254" s="202">
        <v>4.5</v>
      </c>
      <c r="K254" s="202">
        <v>4.24</v>
      </c>
      <c r="L254" s="202">
        <v>4.1100000000000003</v>
      </c>
      <c r="M254" s="202">
        <v>3.88</v>
      </c>
      <c r="N254" s="202">
        <v>4</v>
      </c>
      <c r="O254" s="202">
        <v>4.1900000000000004</v>
      </c>
      <c r="P254" s="202">
        <v>3.82</v>
      </c>
      <c r="Q254" s="202">
        <f t="shared" si="7"/>
        <v>4.5058333333333334</v>
      </c>
      <c r="R254" s="202" t="s">
        <v>984</v>
      </c>
    </row>
    <row r="255" spans="1:18" x14ac:dyDescent="0.15">
      <c r="A255" s="202" t="str">
        <f t="shared" si="6"/>
        <v>Morelia_Optimal Summer_112.5</v>
      </c>
      <c r="B255" s="202" t="s">
        <v>1028</v>
      </c>
      <c r="C255" s="202">
        <v>5</v>
      </c>
      <c r="D255" s="202">
        <v>112.5</v>
      </c>
      <c r="E255" s="202">
        <v>4.4800000000000004</v>
      </c>
      <c r="F255" s="202">
        <v>5.28</v>
      </c>
      <c r="G255" s="202">
        <v>6.1</v>
      </c>
      <c r="H255" s="202">
        <v>6.1</v>
      </c>
      <c r="I255" s="202">
        <v>5.73</v>
      </c>
      <c r="J255" s="202">
        <v>4.92</v>
      </c>
      <c r="K255" s="202">
        <v>4.6399999999999997</v>
      </c>
      <c r="L255" s="202">
        <v>4.5</v>
      </c>
      <c r="M255" s="202">
        <v>4.24</v>
      </c>
      <c r="N255" s="202">
        <v>4.38</v>
      </c>
      <c r="O255" s="202">
        <v>4.58</v>
      </c>
      <c r="P255" s="202">
        <v>4.18</v>
      </c>
      <c r="Q255" s="202">
        <f t="shared" si="7"/>
        <v>4.9275000000000002</v>
      </c>
      <c r="R255" s="202" t="s">
        <v>984</v>
      </c>
    </row>
    <row r="256" spans="1:18" x14ac:dyDescent="0.15">
      <c r="A256" s="202" t="str">
        <f t="shared" si="6"/>
        <v>Morelia_Optimal Summer_135</v>
      </c>
      <c r="B256" s="202" t="s">
        <v>1028</v>
      </c>
      <c r="C256" s="202">
        <v>5</v>
      </c>
      <c r="D256" s="202">
        <v>135</v>
      </c>
      <c r="E256" s="202">
        <v>4.8600000000000003</v>
      </c>
      <c r="F256" s="202">
        <v>5.74</v>
      </c>
      <c r="G256" s="202">
        <v>6.62</v>
      </c>
      <c r="H256" s="202">
        <v>6.62</v>
      </c>
      <c r="I256" s="202">
        <v>6.22</v>
      </c>
      <c r="J256" s="202">
        <v>5.34</v>
      </c>
      <c r="K256" s="202">
        <v>5.04</v>
      </c>
      <c r="L256" s="202">
        <v>4.88</v>
      </c>
      <c r="M256" s="202">
        <v>4.6100000000000003</v>
      </c>
      <c r="N256" s="202">
        <v>4.75</v>
      </c>
      <c r="O256" s="202">
        <v>4.9800000000000004</v>
      </c>
      <c r="P256" s="202">
        <v>4.54</v>
      </c>
      <c r="Q256" s="202">
        <f t="shared" si="7"/>
        <v>5.3500000000000014</v>
      </c>
      <c r="R256" s="202" t="s">
        <v>984</v>
      </c>
    </row>
    <row r="257" spans="1:18" x14ac:dyDescent="0.15">
      <c r="A257" s="202" t="str">
        <f t="shared" si="6"/>
        <v>Morelia_Optimal Summer_157.5</v>
      </c>
      <c r="B257" s="202" t="s">
        <v>1028</v>
      </c>
      <c r="C257" s="202">
        <v>5</v>
      </c>
      <c r="D257" s="202">
        <v>157.5</v>
      </c>
      <c r="E257" s="202">
        <v>4.99</v>
      </c>
      <c r="F257" s="202">
        <v>5.89</v>
      </c>
      <c r="G257" s="202">
        <v>6.8</v>
      </c>
      <c r="H257" s="202">
        <v>6.8</v>
      </c>
      <c r="I257" s="202">
        <v>6.39</v>
      </c>
      <c r="J257" s="202">
        <v>5.48</v>
      </c>
      <c r="K257" s="202">
        <v>5.17</v>
      </c>
      <c r="L257" s="202">
        <v>5.01</v>
      </c>
      <c r="M257" s="202">
        <v>4.7300000000000004</v>
      </c>
      <c r="N257" s="202">
        <v>4.88</v>
      </c>
      <c r="O257" s="202">
        <v>5.1100000000000003</v>
      </c>
      <c r="P257" s="202">
        <v>4.66</v>
      </c>
      <c r="Q257" s="202">
        <f t="shared" si="7"/>
        <v>5.4925000000000006</v>
      </c>
      <c r="R257" s="202" t="s">
        <v>984</v>
      </c>
    </row>
    <row r="258" spans="1:18" x14ac:dyDescent="0.15">
      <c r="A258" s="202" t="str">
        <f t="shared" ref="A258:A321" si="8">B258&amp;"_"&amp;R258&amp;"_"&amp;D258</f>
        <v>Morelia_Optimal Summer_180</v>
      </c>
      <c r="B258" s="202" t="s">
        <v>1028</v>
      </c>
      <c r="C258" s="202">
        <v>5</v>
      </c>
      <c r="D258" s="202">
        <v>180</v>
      </c>
      <c r="E258" s="202">
        <v>5.12</v>
      </c>
      <c r="F258" s="202">
        <v>6.04</v>
      </c>
      <c r="G258" s="202">
        <v>6.97</v>
      </c>
      <c r="H258" s="202">
        <v>6.97</v>
      </c>
      <c r="I258" s="202">
        <v>6.55</v>
      </c>
      <c r="J258" s="202">
        <v>5.62</v>
      </c>
      <c r="K258" s="202">
        <v>5.3</v>
      </c>
      <c r="L258" s="202">
        <v>5.14</v>
      </c>
      <c r="M258" s="202">
        <v>4.8499999999999996</v>
      </c>
      <c r="N258" s="202">
        <v>5</v>
      </c>
      <c r="O258" s="202">
        <v>5.24</v>
      </c>
      <c r="P258" s="202">
        <v>4.78</v>
      </c>
      <c r="Q258" s="202">
        <f t="shared" ref="Q258:Q321" si="9">AVERAGE(E258:P258)</f>
        <v>5.6316666666666668</v>
      </c>
      <c r="R258" s="202" t="s">
        <v>984</v>
      </c>
    </row>
    <row r="259" spans="1:18" x14ac:dyDescent="0.15">
      <c r="A259" s="202" t="str">
        <f t="shared" si="8"/>
        <v>Morelia_Optimal Summer_202.5</v>
      </c>
      <c r="B259" s="202" t="s">
        <v>1028</v>
      </c>
      <c r="C259" s="202">
        <v>5</v>
      </c>
      <c r="D259" s="202">
        <v>202.5</v>
      </c>
      <c r="E259" s="202">
        <v>4.99</v>
      </c>
      <c r="F259" s="202">
        <v>5.89</v>
      </c>
      <c r="G259" s="202">
        <v>6.8</v>
      </c>
      <c r="H259" s="202">
        <v>6.8</v>
      </c>
      <c r="I259" s="202">
        <v>6.39</v>
      </c>
      <c r="J259" s="202">
        <v>5.48</v>
      </c>
      <c r="K259" s="202">
        <v>5.17</v>
      </c>
      <c r="L259" s="202">
        <v>5.01</v>
      </c>
      <c r="M259" s="202">
        <v>4.7300000000000004</v>
      </c>
      <c r="N259" s="202">
        <v>4.88</v>
      </c>
      <c r="O259" s="202">
        <v>5.1100000000000003</v>
      </c>
      <c r="P259" s="202">
        <v>4.66</v>
      </c>
      <c r="Q259" s="202">
        <f t="shared" si="9"/>
        <v>5.4925000000000006</v>
      </c>
      <c r="R259" s="202" t="s">
        <v>984</v>
      </c>
    </row>
    <row r="260" spans="1:18" x14ac:dyDescent="0.15">
      <c r="A260" s="202" t="str">
        <f t="shared" si="8"/>
        <v>Morelia_Optimal Summer_225</v>
      </c>
      <c r="B260" s="202" t="s">
        <v>1028</v>
      </c>
      <c r="C260" s="202">
        <v>5</v>
      </c>
      <c r="D260" s="202">
        <v>225</v>
      </c>
      <c r="E260" s="202">
        <v>4.8600000000000003</v>
      </c>
      <c r="F260" s="202">
        <v>5.74</v>
      </c>
      <c r="G260" s="202">
        <v>6.62</v>
      </c>
      <c r="H260" s="202">
        <v>6.62</v>
      </c>
      <c r="I260" s="202">
        <v>6.22</v>
      </c>
      <c r="J260" s="202">
        <v>5.34</v>
      </c>
      <c r="K260" s="202">
        <v>5.04</v>
      </c>
      <c r="L260" s="202">
        <v>4.88</v>
      </c>
      <c r="M260" s="202">
        <v>4.6100000000000003</v>
      </c>
      <c r="N260" s="202">
        <v>4.75</v>
      </c>
      <c r="O260" s="202">
        <v>4.9800000000000004</v>
      </c>
      <c r="P260" s="202">
        <v>4.54</v>
      </c>
      <c r="Q260" s="202">
        <f t="shared" si="9"/>
        <v>5.3500000000000014</v>
      </c>
      <c r="R260" s="202" t="s">
        <v>984</v>
      </c>
    </row>
    <row r="261" spans="1:18" x14ac:dyDescent="0.15">
      <c r="A261" s="202" t="str">
        <f t="shared" si="8"/>
        <v>Morelia_Optimal Summer_247.5</v>
      </c>
      <c r="B261" s="202" t="s">
        <v>1028</v>
      </c>
      <c r="C261" s="202">
        <v>5</v>
      </c>
      <c r="D261" s="202">
        <v>247.5</v>
      </c>
      <c r="E261" s="202">
        <v>4.4800000000000004</v>
      </c>
      <c r="F261" s="202">
        <v>5.28</v>
      </c>
      <c r="G261" s="202">
        <v>6.1</v>
      </c>
      <c r="H261" s="202">
        <v>6.1</v>
      </c>
      <c r="I261" s="202">
        <v>5.73</v>
      </c>
      <c r="J261" s="202">
        <v>4.92</v>
      </c>
      <c r="K261" s="202">
        <v>4.6399999999999997</v>
      </c>
      <c r="L261" s="202">
        <v>4.5</v>
      </c>
      <c r="M261" s="202">
        <v>4.24</v>
      </c>
      <c r="N261" s="202">
        <v>4.38</v>
      </c>
      <c r="O261" s="202">
        <v>4.58</v>
      </c>
      <c r="P261" s="202">
        <v>4.18</v>
      </c>
      <c r="Q261" s="202">
        <f t="shared" si="9"/>
        <v>4.9275000000000002</v>
      </c>
      <c r="R261" s="202" t="s">
        <v>984</v>
      </c>
    </row>
    <row r="262" spans="1:18" x14ac:dyDescent="0.15">
      <c r="A262" s="202" t="str">
        <f t="shared" si="8"/>
        <v>Morelia_Optimal Summer_270</v>
      </c>
      <c r="B262" s="202" t="s">
        <v>1028</v>
      </c>
      <c r="C262" s="202">
        <v>5</v>
      </c>
      <c r="D262" s="202">
        <v>270</v>
      </c>
      <c r="E262" s="202">
        <v>4.0999999999999996</v>
      </c>
      <c r="F262" s="202">
        <v>4.83</v>
      </c>
      <c r="G262" s="202">
        <v>5.58</v>
      </c>
      <c r="H262" s="202">
        <v>5.58</v>
      </c>
      <c r="I262" s="202">
        <v>5.24</v>
      </c>
      <c r="J262" s="202">
        <v>4.5</v>
      </c>
      <c r="K262" s="202">
        <v>4.24</v>
      </c>
      <c r="L262" s="202">
        <v>4.1100000000000003</v>
      </c>
      <c r="M262" s="202">
        <v>3.88</v>
      </c>
      <c r="N262" s="202">
        <v>4</v>
      </c>
      <c r="O262" s="202">
        <v>4.1900000000000004</v>
      </c>
      <c r="P262" s="202">
        <v>3.82</v>
      </c>
      <c r="Q262" s="202">
        <f t="shared" si="9"/>
        <v>4.5058333333333334</v>
      </c>
      <c r="R262" s="202" t="s">
        <v>984</v>
      </c>
    </row>
    <row r="263" spans="1:18" x14ac:dyDescent="0.15">
      <c r="A263" s="202" t="str">
        <f t="shared" si="8"/>
        <v>Morelia_Optimal Year Round_90</v>
      </c>
      <c r="B263" s="202" t="s">
        <v>1028</v>
      </c>
      <c r="C263" s="202">
        <v>20</v>
      </c>
      <c r="D263" s="202">
        <v>90</v>
      </c>
      <c r="E263" s="202">
        <v>4.76</v>
      </c>
      <c r="F263" s="202">
        <v>5.35</v>
      </c>
      <c r="G263" s="202">
        <v>5.82</v>
      </c>
      <c r="H263" s="202">
        <v>5.48</v>
      </c>
      <c r="I263" s="202">
        <v>4.91</v>
      </c>
      <c r="J263" s="202">
        <v>4.47</v>
      </c>
      <c r="K263" s="202">
        <v>4.1900000000000004</v>
      </c>
      <c r="L263" s="202">
        <v>3.98</v>
      </c>
      <c r="M263" s="202">
        <v>3.91</v>
      </c>
      <c r="N263" s="202">
        <v>4.26</v>
      </c>
      <c r="O263" s="202">
        <v>4.8</v>
      </c>
      <c r="P263" s="202">
        <v>4.46</v>
      </c>
      <c r="Q263" s="202">
        <f t="shared" si="9"/>
        <v>4.6991666666666658</v>
      </c>
      <c r="R263" s="202" t="s">
        <v>1019</v>
      </c>
    </row>
    <row r="264" spans="1:18" x14ac:dyDescent="0.15">
      <c r="A264" s="202" t="str">
        <f t="shared" si="8"/>
        <v>Morelia_Optimal Year Round_112.5</v>
      </c>
      <c r="B264" s="202" t="s">
        <v>1028</v>
      </c>
      <c r="C264" s="202">
        <v>20</v>
      </c>
      <c r="D264" s="202">
        <v>112.5</v>
      </c>
      <c r="E264" s="202">
        <v>5.21</v>
      </c>
      <c r="F264" s="202">
        <v>5.85</v>
      </c>
      <c r="G264" s="202">
        <v>6.37</v>
      </c>
      <c r="H264" s="202">
        <v>5.99</v>
      </c>
      <c r="I264" s="202">
        <v>5.37</v>
      </c>
      <c r="J264" s="202">
        <v>4.8899999999999997</v>
      </c>
      <c r="K264" s="202">
        <v>4.58</v>
      </c>
      <c r="L264" s="202">
        <v>4.3600000000000003</v>
      </c>
      <c r="M264" s="202">
        <v>4.28</v>
      </c>
      <c r="N264" s="202">
        <v>4.66</v>
      </c>
      <c r="O264" s="202">
        <v>5.25</v>
      </c>
      <c r="P264" s="202">
        <v>4.87</v>
      </c>
      <c r="Q264" s="202">
        <f t="shared" si="9"/>
        <v>5.14</v>
      </c>
      <c r="R264" s="202" t="s">
        <v>1019</v>
      </c>
    </row>
    <row r="265" spans="1:18" x14ac:dyDescent="0.15">
      <c r="A265" s="202" t="str">
        <f t="shared" si="8"/>
        <v>Morelia_Optimal Year Round_135</v>
      </c>
      <c r="B265" s="202" t="s">
        <v>1028</v>
      </c>
      <c r="C265" s="202">
        <v>20</v>
      </c>
      <c r="D265" s="202">
        <v>135</v>
      </c>
      <c r="E265" s="202">
        <v>5.65</v>
      </c>
      <c r="F265" s="202">
        <v>6.36</v>
      </c>
      <c r="G265" s="202">
        <v>6.92</v>
      </c>
      <c r="H265" s="202">
        <v>6.51</v>
      </c>
      <c r="I265" s="202">
        <v>5.83</v>
      </c>
      <c r="J265" s="202">
        <v>5.31</v>
      </c>
      <c r="K265" s="202">
        <v>4.9800000000000004</v>
      </c>
      <c r="L265" s="202">
        <v>4.7300000000000004</v>
      </c>
      <c r="M265" s="202">
        <v>4.6500000000000004</v>
      </c>
      <c r="N265" s="202">
        <v>5.0599999999999996</v>
      </c>
      <c r="O265" s="202">
        <v>5.7</v>
      </c>
      <c r="P265" s="202">
        <v>5.29</v>
      </c>
      <c r="Q265" s="202">
        <f t="shared" si="9"/>
        <v>5.5825000000000005</v>
      </c>
      <c r="R265" s="202" t="s">
        <v>1019</v>
      </c>
    </row>
    <row r="266" spans="1:18" x14ac:dyDescent="0.15">
      <c r="A266" s="202" t="str">
        <f t="shared" si="8"/>
        <v>Morelia_Optimal Year Round_157.5</v>
      </c>
      <c r="B266" s="202" t="s">
        <v>1028</v>
      </c>
      <c r="C266" s="202">
        <v>20</v>
      </c>
      <c r="D266" s="202">
        <v>157.5</v>
      </c>
      <c r="E266" s="202">
        <v>5.8</v>
      </c>
      <c r="F266" s="202">
        <v>6.52</v>
      </c>
      <c r="G266" s="202">
        <v>7.1</v>
      </c>
      <c r="H266" s="202">
        <v>6.68</v>
      </c>
      <c r="I266" s="202">
        <v>5.99</v>
      </c>
      <c r="J266" s="202">
        <v>5.45</v>
      </c>
      <c r="K266" s="202">
        <v>5.1100000000000003</v>
      </c>
      <c r="L266" s="202">
        <v>4.8600000000000003</v>
      </c>
      <c r="M266" s="202">
        <v>4.7699999999999996</v>
      </c>
      <c r="N266" s="202">
        <v>5.2</v>
      </c>
      <c r="O266" s="202">
        <v>5.85</v>
      </c>
      <c r="P266" s="202">
        <v>5.43</v>
      </c>
      <c r="Q266" s="202">
        <f t="shared" si="9"/>
        <v>5.73</v>
      </c>
      <c r="R266" s="202" t="s">
        <v>1019</v>
      </c>
    </row>
    <row r="267" spans="1:18" x14ac:dyDescent="0.15">
      <c r="A267" s="202" t="str">
        <f t="shared" si="8"/>
        <v>Morelia_Optimal Year Round_180</v>
      </c>
      <c r="B267" s="202" t="s">
        <v>1028</v>
      </c>
      <c r="C267" s="202">
        <v>20</v>
      </c>
      <c r="D267" s="202">
        <v>180</v>
      </c>
      <c r="E267" s="202">
        <v>5.95</v>
      </c>
      <c r="F267" s="202">
        <v>6.69</v>
      </c>
      <c r="G267" s="202">
        <v>7.28</v>
      </c>
      <c r="H267" s="202">
        <v>6.85</v>
      </c>
      <c r="I267" s="202">
        <v>6.14</v>
      </c>
      <c r="J267" s="202">
        <v>5.59</v>
      </c>
      <c r="K267" s="202">
        <v>5.24</v>
      </c>
      <c r="L267" s="202">
        <v>4.9800000000000004</v>
      </c>
      <c r="M267" s="202">
        <v>4.8899999999999997</v>
      </c>
      <c r="N267" s="202">
        <v>5.33</v>
      </c>
      <c r="O267" s="202">
        <v>6</v>
      </c>
      <c r="P267" s="202">
        <v>5.57</v>
      </c>
      <c r="Q267" s="202">
        <f t="shared" si="9"/>
        <v>5.8758333333333326</v>
      </c>
      <c r="R267" s="202" t="s">
        <v>1019</v>
      </c>
    </row>
    <row r="268" spans="1:18" x14ac:dyDescent="0.15">
      <c r="A268" s="202" t="str">
        <f t="shared" si="8"/>
        <v>Morelia_Optimal Year Round_202.5</v>
      </c>
      <c r="B268" s="202" t="s">
        <v>1028</v>
      </c>
      <c r="C268" s="202">
        <v>20</v>
      </c>
      <c r="D268" s="202">
        <v>202.5</v>
      </c>
      <c r="E268" s="202">
        <v>5.8</v>
      </c>
      <c r="F268" s="202">
        <v>6.52</v>
      </c>
      <c r="G268" s="202">
        <v>7.1</v>
      </c>
      <c r="H268" s="202">
        <v>6.68</v>
      </c>
      <c r="I268" s="202">
        <v>5.99</v>
      </c>
      <c r="J268" s="202">
        <v>5.45</v>
      </c>
      <c r="K268" s="202">
        <v>5.1100000000000003</v>
      </c>
      <c r="L268" s="202">
        <v>4.8600000000000003</v>
      </c>
      <c r="M268" s="202">
        <v>4.7699999999999996</v>
      </c>
      <c r="N268" s="202">
        <v>5.2</v>
      </c>
      <c r="O268" s="202">
        <v>5.85</v>
      </c>
      <c r="P268" s="202">
        <v>5.43</v>
      </c>
      <c r="Q268" s="202">
        <f t="shared" si="9"/>
        <v>5.73</v>
      </c>
      <c r="R268" s="202" t="s">
        <v>1019</v>
      </c>
    </row>
    <row r="269" spans="1:18" x14ac:dyDescent="0.15">
      <c r="A269" s="202" t="str">
        <f t="shared" si="8"/>
        <v>Morelia_Optimal Year Round_225</v>
      </c>
      <c r="B269" s="202" t="s">
        <v>1028</v>
      </c>
      <c r="C269" s="202">
        <v>20</v>
      </c>
      <c r="D269" s="202">
        <v>225</v>
      </c>
      <c r="E269" s="202">
        <v>5.65</v>
      </c>
      <c r="F269" s="202">
        <v>6.36</v>
      </c>
      <c r="G269" s="202">
        <v>6.92</v>
      </c>
      <c r="H269" s="202">
        <v>6.51</v>
      </c>
      <c r="I269" s="202">
        <v>5.83</v>
      </c>
      <c r="J269" s="202">
        <v>5.31</v>
      </c>
      <c r="K269" s="202">
        <v>4.9800000000000004</v>
      </c>
      <c r="L269" s="202">
        <v>4.7300000000000004</v>
      </c>
      <c r="M269" s="202">
        <v>4.6500000000000004</v>
      </c>
      <c r="N269" s="202">
        <v>5.0599999999999996</v>
      </c>
      <c r="O269" s="202">
        <v>5.7</v>
      </c>
      <c r="P269" s="202">
        <v>5.29</v>
      </c>
      <c r="Q269" s="202">
        <f t="shared" si="9"/>
        <v>5.5825000000000005</v>
      </c>
      <c r="R269" s="202" t="s">
        <v>1019</v>
      </c>
    </row>
    <row r="270" spans="1:18" x14ac:dyDescent="0.15">
      <c r="A270" s="202" t="str">
        <f t="shared" si="8"/>
        <v>Morelia_Optimal Year Round_247.5</v>
      </c>
      <c r="B270" s="202" t="s">
        <v>1028</v>
      </c>
      <c r="C270" s="202">
        <v>20</v>
      </c>
      <c r="D270" s="202">
        <v>247.5</v>
      </c>
      <c r="E270" s="202">
        <v>5.21</v>
      </c>
      <c r="F270" s="202">
        <v>5.85</v>
      </c>
      <c r="G270" s="202">
        <v>6.37</v>
      </c>
      <c r="H270" s="202">
        <v>5.99</v>
      </c>
      <c r="I270" s="202">
        <v>5.37</v>
      </c>
      <c r="J270" s="202">
        <v>4.8899999999999997</v>
      </c>
      <c r="K270" s="202">
        <v>4.58</v>
      </c>
      <c r="L270" s="202">
        <v>4.3600000000000003</v>
      </c>
      <c r="M270" s="202">
        <v>4.28</v>
      </c>
      <c r="N270" s="202">
        <v>4.66</v>
      </c>
      <c r="O270" s="202">
        <v>5.25</v>
      </c>
      <c r="P270" s="202">
        <v>4.87</v>
      </c>
      <c r="Q270" s="202">
        <f t="shared" si="9"/>
        <v>5.14</v>
      </c>
      <c r="R270" s="202" t="s">
        <v>1019</v>
      </c>
    </row>
    <row r="271" spans="1:18" x14ac:dyDescent="0.15">
      <c r="A271" s="202" t="str">
        <f t="shared" si="8"/>
        <v>Morelia_Optimal Year Round_270</v>
      </c>
      <c r="B271" s="202" t="s">
        <v>1028</v>
      </c>
      <c r="C271" s="202">
        <v>20</v>
      </c>
      <c r="D271" s="202">
        <v>270</v>
      </c>
      <c r="E271" s="202">
        <v>4.76</v>
      </c>
      <c r="F271" s="202">
        <v>5.35</v>
      </c>
      <c r="G271" s="202">
        <v>5.82</v>
      </c>
      <c r="H271" s="202">
        <v>5.48</v>
      </c>
      <c r="I271" s="202">
        <v>4.91</v>
      </c>
      <c r="J271" s="202">
        <v>4.47</v>
      </c>
      <c r="K271" s="202">
        <v>4.1900000000000004</v>
      </c>
      <c r="L271" s="202">
        <v>3.98</v>
      </c>
      <c r="M271" s="202">
        <v>3.91</v>
      </c>
      <c r="N271" s="202">
        <v>4.26</v>
      </c>
      <c r="O271" s="202">
        <v>4.8</v>
      </c>
      <c r="P271" s="202">
        <v>4.46</v>
      </c>
      <c r="Q271" s="202">
        <f t="shared" si="9"/>
        <v>4.6991666666666658</v>
      </c>
      <c r="R271" s="202" t="s">
        <v>1019</v>
      </c>
    </row>
    <row r="272" spans="1:18" x14ac:dyDescent="0.15">
      <c r="A272" s="202" t="str">
        <f t="shared" si="8"/>
        <v>Naulcapan de Juarez_Flat Surface_90</v>
      </c>
      <c r="B272" s="202" t="s">
        <v>1029</v>
      </c>
      <c r="C272" s="202">
        <v>0</v>
      </c>
      <c r="D272" s="202">
        <v>90</v>
      </c>
      <c r="E272" s="202">
        <v>4.74</v>
      </c>
      <c r="F272" s="202">
        <v>5.68</v>
      </c>
      <c r="G272" s="202">
        <v>6.47</v>
      </c>
      <c r="H272" s="202">
        <v>6.38</v>
      </c>
      <c r="I272" s="202">
        <v>6.21</v>
      </c>
      <c r="J272" s="202">
        <v>5.57</v>
      </c>
      <c r="K272" s="202">
        <v>5.48</v>
      </c>
      <c r="L272" s="202">
        <v>5.31</v>
      </c>
      <c r="M272" s="202">
        <v>4.88</v>
      </c>
      <c r="N272" s="202">
        <v>4.87</v>
      </c>
      <c r="O272" s="202">
        <v>4.7699999999999996</v>
      </c>
      <c r="P272" s="202">
        <v>4.34</v>
      </c>
      <c r="Q272" s="202">
        <f t="shared" si="9"/>
        <v>5.3916666666666666</v>
      </c>
      <c r="R272" s="202" t="s">
        <v>1020</v>
      </c>
    </row>
    <row r="273" spans="1:18" x14ac:dyDescent="0.15">
      <c r="A273" s="202" t="str">
        <f t="shared" si="8"/>
        <v>Naulcapan de Juarez_Flat Surface_112.5</v>
      </c>
      <c r="B273" s="202" t="s">
        <v>1029</v>
      </c>
      <c r="C273" s="202">
        <v>0</v>
      </c>
      <c r="D273" s="202">
        <v>112.5</v>
      </c>
      <c r="E273" s="202">
        <v>4.74</v>
      </c>
      <c r="F273" s="202">
        <v>5.68</v>
      </c>
      <c r="G273" s="202">
        <v>6.47</v>
      </c>
      <c r="H273" s="202">
        <v>6.38</v>
      </c>
      <c r="I273" s="202">
        <v>6.21</v>
      </c>
      <c r="J273" s="202">
        <v>5.57</v>
      </c>
      <c r="K273" s="202">
        <v>5.48</v>
      </c>
      <c r="L273" s="202">
        <v>5.31</v>
      </c>
      <c r="M273" s="202">
        <v>4.88</v>
      </c>
      <c r="N273" s="202">
        <v>4.87</v>
      </c>
      <c r="O273" s="202">
        <v>4.7699999999999996</v>
      </c>
      <c r="P273" s="202">
        <v>4.34</v>
      </c>
      <c r="Q273" s="202">
        <f t="shared" si="9"/>
        <v>5.3916666666666666</v>
      </c>
      <c r="R273" s="202" t="s">
        <v>1020</v>
      </c>
    </row>
    <row r="274" spans="1:18" x14ac:dyDescent="0.15">
      <c r="A274" s="202" t="str">
        <f t="shared" si="8"/>
        <v>Naulcapan de Juarez_Flat Surface_135</v>
      </c>
      <c r="B274" s="202" t="s">
        <v>1029</v>
      </c>
      <c r="C274" s="202">
        <v>0</v>
      </c>
      <c r="D274" s="202">
        <v>135</v>
      </c>
      <c r="E274" s="202">
        <v>4.74</v>
      </c>
      <c r="F274" s="202">
        <v>5.68</v>
      </c>
      <c r="G274" s="202">
        <v>6.47</v>
      </c>
      <c r="H274" s="202">
        <v>6.38</v>
      </c>
      <c r="I274" s="202">
        <v>6.21</v>
      </c>
      <c r="J274" s="202">
        <v>5.57</v>
      </c>
      <c r="K274" s="202">
        <v>5.48</v>
      </c>
      <c r="L274" s="202">
        <v>5.31</v>
      </c>
      <c r="M274" s="202">
        <v>4.88</v>
      </c>
      <c r="N274" s="202">
        <v>4.87</v>
      </c>
      <c r="O274" s="202">
        <v>4.7699999999999996</v>
      </c>
      <c r="P274" s="202">
        <v>4.34</v>
      </c>
      <c r="Q274" s="202">
        <f t="shared" si="9"/>
        <v>5.3916666666666666</v>
      </c>
      <c r="R274" s="202" t="s">
        <v>1020</v>
      </c>
    </row>
    <row r="275" spans="1:18" x14ac:dyDescent="0.15">
      <c r="A275" s="202" t="str">
        <f t="shared" si="8"/>
        <v>Naulcapan de Juarez_Flat Surface_157.5</v>
      </c>
      <c r="B275" s="202" t="s">
        <v>1029</v>
      </c>
      <c r="C275" s="202">
        <v>0</v>
      </c>
      <c r="D275" s="202">
        <v>157.5</v>
      </c>
      <c r="E275" s="202">
        <v>4.74</v>
      </c>
      <c r="F275" s="202">
        <v>5.68</v>
      </c>
      <c r="G275" s="202">
        <v>6.47</v>
      </c>
      <c r="H275" s="202">
        <v>6.38</v>
      </c>
      <c r="I275" s="202">
        <v>6.21</v>
      </c>
      <c r="J275" s="202">
        <v>5.57</v>
      </c>
      <c r="K275" s="202">
        <v>5.48</v>
      </c>
      <c r="L275" s="202">
        <v>5.31</v>
      </c>
      <c r="M275" s="202">
        <v>4.88</v>
      </c>
      <c r="N275" s="202">
        <v>4.87</v>
      </c>
      <c r="O275" s="202">
        <v>4.7699999999999996</v>
      </c>
      <c r="P275" s="202">
        <v>4.34</v>
      </c>
      <c r="Q275" s="202">
        <f t="shared" si="9"/>
        <v>5.3916666666666666</v>
      </c>
      <c r="R275" s="202" t="s">
        <v>1020</v>
      </c>
    </row>
    <row r="276" spans="1:18" x14ac:dyDescent="0.15">
      <c r="A276" s="202" t="str">
        <f t="shared" si="8"/>
        <v>Naulcapan de Juarez_Flat Surface_180</v>
      </c>
      <c r="B276" s="202" t="s">
        <v>1029</v>
      </c>
      <c r="C276" s="202">
        <v>0</v>
      </c>
      <c r="D276" s="202">
        <v>180</v>
      </c>
      <c r="E276" s="202">
        <v>4.74</v>
      </c>
      <c r="F276" s="202">
        <v>5.68</v>
      </c>
      <c r="G276" s="202">
        <v>6.47</v>
      </c>
      <c r="H276" s="202">
        <v>6.38</v>
      </c>
      <c r="I276" s="202">
        <v>6.21</v>
      </c>
      <c r="J276" s="202">
        <v>5.57</v>
      </c>
      <c r="K276" s="202">
        <v>5.48</v>
      </c>
      <c r="L276" s="202">
        <v>5.31</v>
      </c>
      <c r="M276" s="202">
        <v>4.88</v>
      </c>
      <c r="N276" s="202">
        <v>4.87</v>
      </c>
      <c r="O276" s="202">
        <v>4.7699999999999996</v>
      </c>
      <c r="P276" s="202">
        <v>4.34</v>
      </c>
      <c r="Q276" s="202">
        <f t="shared" si="9"/>
        <v>5.3916666666666666</v>
      </c>
      <c r="R276" s="202" t="s">
        <v>1020</v>
      </c>
    </row>
    <row r="277" spans="1:18" x14ac:dyDescent="0.15">
      <c r="A277" s="202" t="str">
        <f t="shared" si="8"/>
        <v>Naulcapan de Juarez_Flat Surface_202.5</v>
      </c>
      <c r="B277" s="202" t="s">
        <v>1029</v>
      </c>
      <c r="C277" s="202">
        <v>0</v>
      </c>
      <c r="D277" s="202">
        <v>202.5</v>
      </c>
      <c r="E277" s="202">
        <v>4.74</v>
      </c>
      <c r="F277" s="202">
        <v>5.68</v>
      </c>
      <c r="G277" s="202">
        <v>6.47</v>
      </c>
      <c r="H277" s="202">
        <v>6.38</v>
      </c>
      <c r="I277" s="202">
        <v>6.21</v>
      </c>
      <c r="J277" s="202">
        <v>5.57</v>
      </c>
      <c r="K277" s="202">
        <v>5.48</v>
      </c>
      <c r="L277" s="202">
        <v>5.31</v>
      </c>
      <c r="M277" s="202">
        <v>4.88</v>
      </c>
      <c r="N277" s="202">
        <v>4.87</v>
      </c>
      <c r="O277" s="202">
        <v>4.7699999999999996</v>
      </c>
      <c r="P277" s="202">
        <v>4.34</v>
      </c>
      <c r="Q277" s="202">
        <f t="shared" si="9"/>
        <v>5.3916666666666666</v>
      </c>
      <c r="R277" s="202" t="s">
        <v>1020</v>
      </c>
    </row>
    <row r="278" spans="1:18" x14ac:dyDescent="0.15">
      <c r="A278" s="202" t="str">
        <f t="shared" si="8"/>
        <v>Naulcapan de Juarez_Flat Surface_225</v>
      </c>
      <c r="B278" s="202" t="s">
        <v>1029</v>
      </c>
      <c r="C278" s="202">
        <v>0</v>
      </c>
      <c r="D278" s="202">
        <v>225</v>
      </c>
      <c r="E278" s="202">
        <v>4.74</v>
      </c>
      <c r="F278" s="202">
        <v>5.68</v>
      </c>
      <c r="G278" s="202">
        <v>6.47</v>
      </c>
      <c r="H278" s="202">
        <v>6.38</v>
      </c>
      <c r="I278" s="202">
        <v>6.21</v>
      </c>
      <c r="J278" s="202">
        <v>5.57</v>
      </c>
      <c r="K278" s="202">
        <v>5.48</v>
      </c>
      <c r="L278" s="202">
        <v>5.31</v>
      </c>
      <c r="M278" s="202">
        <v>4.88</v>
      </c>
      <c r="N278" s="202">
        <v>4.87</v>
      </c>
      <c r="O278" s="202">
        <v>4.7699999999999996</v>
      </c>
      <c r="P278" s="202">
        <v>4.34</v>
      </c>
      <c r="Q278" s="202">
        <f t="shared" si="9"/>
        <v>5.3916666666666666</v>
      </c>
      <c r="R278" s="202" t="s">
        <v>1020</v>
      </c>
    </row>
    <row r="279" spans="1:18" x14ac:dyDescent="0.15">
      <c r="A279" s="202" t="str">
        <f t="shared" si="8"/>
        <v>Naulcapan de Juarez_Flat Surface_247.5</v>
      </c>
      <c r="B279" s="202" t="s">
        <v>1029</v>
      </c>
      <c r="C279" s="202">
        <v>0</v>
      </c>
      <c r="D279" s="202">
        <v>247.5</v>
      </c>
      <c r="E279" s="202">
        <v>4.74</v>
      </c>
      <c r="F279" s="202">
        <v>5.68</v>
      </c>
      <c r="G279" s="202">
        <v>6.47</v>
      </c>
      <c r="H279" s="202">
        <v>6.38</v>
      </c>
      <c r="I279" s="202">
        <v>6.21</v>
      </c>
      <c r="J279" s="202">
        <v>5.57</v>
      </c>
      <c r="K279" s="202">
        <v>5.48</v>
      </c>
      <c r="L279" s="202">
        <v>5.31</v>
      </c>
      <c r="M279" s="202">
        <v>4.88</v>
      </c>
      <c r="N279" s="202">
        <v>4.87</v>
      </c>
      <c r="O279" s="202">
        <v>4.7699999999999996</v>
      </c>
      <c r="P279" s="202">
        <v>4.34</v>
      </c>
      <c r="Q279" s="202">
        <f t="shared" si="9"/>
        <v>5.3916666666666666</v>
      </c>
      <c r="R279" s="202" t="s">
        <v>1020</v>
      </c>
    </row>
    <row r="280" spans="1:18" x14ac:dyDescent="0.15">
      <c r="A280" s="202" t="str">
        <f t="shared" si="8"/>
        <v>Naulcapan de Juarez_Flat Surface_270</v>
      </c>
      <c r="B280" s="202" t="s">
        <v>1029</v>
      </c>
      <c r="C280" s="202">
        <v>0</v>
      </c>
      <c r="D280" s="202">
        <v>270</v>
      </c>
      <c r="E280" s="202">
        <v>4.74</v>
      </c>
      <c r="F280" s="202">
        <v>5.68</v>
      </c>
      <c r="G280" s="202">
        <v>6.47</v>
      </c>
      <c r="H280" s="202">
        <v>6.38</v>
      </c>
      <c r="I280" s="202">
        <v>6.21</v>
      </c>
      <c r="J280" s="202">
        <v>5.57</v>
      </c>
      <c r="K280" s="202">
        <v>5.48</v>
      </c>
      <c r="L280" s="202">
        <v>5.31</v>
      </c>
      <c r="M280" s="202">
        <v>4.88</v>
      </c>
      <c r="N280" s="202">
        <v>4.87</v>
      </c>
      <c r="O280" s="202">
        <v>4.7699999999999996</v>
      </c>
      <c r="P280" s="202">
        <v>4.34</v>
      </c>
      <c r="Q280" s="202">
        <f t="shared" si="9"/>
        <v>5.3916666666666666</v>
      </c>
      <c r="R280" s="202" t="s">
        <v>1020</v>
      </c>
    </row>
    <row r="281" spans="1:18" x14ac:dyDescent="0.15">
      <c r="A281" s="202" t="str">
        <f t="shared" si="8"/>
        <v>Naulcapan de Juarez_Optimal Summer_90</v>
      </c>
      <c r="B281" s="202" t="s">
        <v>1029</v>
      </c>
      <c r="C281" s="202">
        <v>5</v>
      </c>
      <c r="D281" s="202">
        <v>90</v>
      </c>
      <c r="E281" s="202">
        <v>4</v>
      </c>
      <c r="F281" s="202">
        <v>4.72</v>
      </c>
      <c r="G281" s="202">
        <v>5.29</v>
      </c>
      <c r="H281" s="202">
        <v>5.13</v>
      </c>
      <c r="I281" s="202">
        <v>4.93</v>
      </c>
      <c r="J281" s="202">
        <v>4.49</v>
      </c>
      <c r="K281" s="202">
        <v>4.41</v>
      </c>
      <c r="L281" s="202">
        <v>4.25</v>
      </c>
      <c r="M281" s="202">
        <v>3.94</v>
      </c>
      <c r="N281" s="202">
        <v>4</v>
      </c>
      <c r="O281" s="202">
        <v>4</v>
      </c>
      <c r="P281" s="202">
        <v>3.66</v>
      </c>
      <c r="Q281" s="202">
        <f t="shared" si="9"/>
        <v>4.4016666666666664</v>
      </c>
      <c r="R281" s="202" t="s">
        <v>984</v>
      </c>
    </row>
    <row r="282" spans="1:18" x14ac:dyDescent="0.15">
      <c r="A282" s="202" t="str">
        <f t="shared" si="8"/>
        <v>Naulcapan de Juarez_Optimal Summer_112.5</v>
      </c>
      <c r="B282" s="202" t="s">
        <v>1029</v>
      </c>
      <c r="C282" s="202">
        <v>5</v>
      </c>
      <c r="D282" s="202">
        <v>112.5</v>
      </c>
      <c r="E282" s="202">
        <v>4.38</v>
      </c>
      <c r="F282" s="202">
        <v>5.16</v>
      </c>
      <c r="G282" s="202">
        <v>5.78</v>
      </c>
      <c r="H282" s="202">
        <v>5.61</v>
      </c>
      <c r="I282" s="202">
        <v>5.39</v>
      </c>
      <c r="J282" s="202">
        <v>4.91</v>
      </c>
      <c r="K282" s="202">
        <v>4.82</v>
      </c>
      <c r="L282" s="202">
        <v>4.6500000000000004</v>
      </c>
      <c r="M282" s="202">
        <v>4.3099999999999996</v>
      </c>
      <c r="N282" s="202">
        <v>4.38</v>
      </c>
      <c r="O282" s="202">
        <v>4.38</v>
      </c>
      <c r="P282" s="202">
        <v>4</v>
      </c>
      <c r="Q282" s="202">
        <f t="shared" si="9"/>
        <v>4.8141666666666669</v>
      </c>
      <c r="R282" s="202" t="s">
        <v>984</v>
      </c>
    </row>
    <row r="283" spans="1:18" x14ac:dyDescent="0.15">
      <c r="A283" s="202" t="str">
        <f t="shared" si="8"/>
        <v>Naulcapan de Juarez_Optimal Summer_135</v>
      </c>
      <c r="B283" s="202" t="s">
        <v>1029</v>
      </c>
      <c r="C283" s="202">
        <v>5</v>
      </c>
      <c r="D283" s="202">
        <v>135</v>
      </c>
      <c r="E283" s="202">
        <v>4.75</v>
      </c>
      <c r="F283" s="202">
        <v>5.6</v>
      </c>
      <c r="G283" s="202">
        <v>6.28</v>
      </c>
      <c r="H283" s="202">
        <v>6.09</v>
      </c>
      <c r="I283" s="202">
        <v>5.85</v>
      </c>
      <c r="J283" s="202">
        <v>5.33</v>
      </c>
      <c r="K283" s="202">
        <v>5.23</v>
      </c>
      <c r="L283" s="202">
        <v>5.04</v>
      </c>
      <c r="M283" s="202">
        <v>4.68</v>
      </c>
      <c r="N283" s="202">
        <v>4.75</v>
      </c>
      <c r="O283" s="202">
        <v>4.75</v>
      </c>
      <c r="P283" s="202">
        <v>4.34</v>
      </c>
      <c r="Q283" s="202">
        <f t="shared" si="9"/>
        <v>5.2241666666666662</v>
      </c>
      <c r="R283" s="202" t="s">
        <v>984</v>
      </c>
    </row>
    <row r="284" spans="1:18" x14ac:dyDescent="0.15">
      <c r="A284" s="202" t="str">
        <f t="shared" si="8"/>
        <v>Naulcapan de Juarez_Optimal Summer_157.5</v>
      </c>
      <c r="B284" s="202" t="s">
        <v>1029</v>
      </c>
      <c r="C284" s="202">
        <v>5</v>
      </c>
      <c r="D284" s="202">
        <v>157.5</v>
      </c>
      <c r="E284" s="202">
        <v>4.88</v>
      </c>
      <c r="F284" s="202">
        <v>5.75</v>
      </c>
      <c r="G284" s="202">
        <v>6.44</v>
      </c>
      <c r="H284" s="202">
        <v>6.25</v>
      </c>
      <c r="I284" s="202">
        <v>6.01</v>
      </c>
      <c r="J284" s="202">
        <v>5.47</v>
      </c>
      <c r="K284" s="202">
        <v>5.37</v>
      </c>
      <c r="L284" s="202">
        <v>5.18</v>
      </c>
      <c r="M284" s="202">
        <v>4.8099999999999996</v>
      </c>
      <c r="N284" s="202">
        <v>4.88</v>
      </c>
      <c r="O284" s="202">
        <v>4.88</v>
      </c>
      <c r="P284" s="202">
        <v>4.46</v>
      </c>
      <c r="Q284" s="202">
        <f t="shared" si="9"/>
        <v>5.3649999999999993</v>
      </c>
      <c r="R284" s="202" t="s">
        <v>984</v>
      </c>
    </row>
    <row r="285" spans="1:18" x14ac:dyDescent="0.15">
      <c r="A285" s="202" t="str">
        <f t="shared" si="8"/>
        <v>Naulcapan de Juarez_Optimal Summer_180</v>
      </c>
      <c r="B285" s="202" t="s">
        <v>1029</v>
      </c>
      <c r="C285" s="202">
        <v>5</v>
      </c>
      <c r="D285" s="202">
        <v>180</v>
      </c>
      <c r="E285" s="202">
        <v>5</v>
      </c>
      <c r="F285" s="202">
        <v>5.9</v>
      </c>
      <c r="G285" s="202">
        <v>6.61</v>
      </c>
      <c r="H285" s="202">
        <v>6.41</v>
      </c>
      <c r="I285" s="202">
        <v>6.16</v>
      </c>
      <c r="J285" s="202">
        <v>5.61</v>
      </c>
      <c r="K285" s="202">
        <v>5.51</v>
      </c>
      <c r="L285" s="202">
        <v>5.31</v>
      </c>
      <c r="M285" s="202">
        <v>4.93</v>
      </c>
      <c r="N285" s="202">
        <v>5</v>
      </c>
      <c r="O285" s="202">
        <v>5</v>
      </c>
      <c r="P285" s="202">
        <v>4.57</v>
      </c>
      <c r="Q285" s="202">
        <f t="shared" si="9"/>
        <v>5.5008333333333335</v>
      </c>
      <c r="R285" s="202" t="s">
        <v>984</v>
      </c>
    </row>
    <row r="286" spans="1:18" x14ac:dyDescent="0.15">
      <c r="A286" s="202" t="str">
        <f t="shared" si="8"/>
        <v>Naulcapan de Juarez_Optimal Summer_202.5</v>
      </c>
      <c r="B286" s="202" t="s">
        <v>1029</v>
      </c>
      <c r="C286" s="202">
        <v>5</v>
      </c>
      <c r="D286" s="202">
        <v>202.5</v>
      </c>
      <c r="E286" s="202">
        <v>4.88</v>
      </c>
      <c r="F286" s="202">
        <v>5.75</v>
      </c>
      <c r="G286" s="202">
        <v>6.44</v>
      </c>
      <c r="H286" s="202">
        <v>6.25</v>
      </c>
      <c r="I286" s="202">
        <v>6.01</v>
      </c>
      <c r="J286" s="202">
        <v>5.47</v>
      </c>
      <c r="K286" s="202">
        <v>5.37</v>
      </c>
      <c r="L286" s="202">
        <v>5.18</v>
      </c>
      <c r="M286" s="202">
        <v>4.8099999999999996</v>
      </c>
      <c r="N286" s="202">
        <v>4.88</v>
      </c>
      <c r="O286" s="202">
        <v>4.88</v>
      </c>
      <c r="P286" s="202">
        <v>4.46</v>
      </c>
      <c r="Q286" s="202">
        <f t="shared" si="9"/>
        <v>5.3649999999999993</v>
      </c>
      <c r="R286" s="202" t="s">
        <v>984</v>
      </c>
    </row>
    <row r="287" spans="1:18" x14ac:dyDescent="0.15">
      <c r="A287" s="202" t="str">
        <f t="shared" si="8"/>
        <v>Naulcapan de Juarez_Optimal Summer_225</v>
      </c>
      <c r="B287" s="202" t="s">
        <v>1029</v>
      </c>
      <c r="C287" s="202">
        <v>5</v>
      </c>
      <c r="D287" s="202">
        <v>225</v>
      </c>
      <c r="E287" s="202">
        <v>4.75</v>
      </c>
      <c r="F287" s="202">
        <v>5.6</v>
      </c>
      <c r="G287" s="202">
        <v>6.28</v>
      </c>
      <c r="H287" s="202">
        <v>6.09</v>
      </c>
      <c r="I287" s="202">
        <v>5.85</v>
      </c>
      <c r="J287" s="202">
        <v>5.33</v>
      </c>
      <c r="K287" s="202">
        <v>5.23</v>
      </c>
      <c r="L287" s="202">
        <v>5.04</v>
      </c>
      <c r="M287" s="202">
        <v>4.68</v>
      </c>
      <c r="N287" s="202">
        <v>4.75</v>
      </c>
      <c r="O287" s="202">
        <v>4.75</v>
      </c>
      <c r="P287" s="202">
        <v>4.34</v>
      </c>
      <c r="Q287" s="202">
        <f t="shared" si="9"/>
        <v>5.2241666666666662</v>
      </c>
      <c r="R287" s="202" t="s">
        <v>984</v>
      </c>
    </row>
    <row r="288" spans="1:18" x14ac:dyDescent="0.15">
      <c r="A288" s="202" t="str">
        <f t="shared" si="8"/>
        <v>Naulcapan de Juarez_Optimal Summer_247.5</v>
      </c>
      <c r="B288" s="202" t="s">
        <v>1029</v>
      </c>
      <c r="C288" s="202">
        <v>5</v>
      </c>
      <c r="D288" s="202">
        <v>247.5</v>
      </c>
      <c r="E288" s="202">
        <v>4.38</v>
      </c>
      <c r="F288" s="202">
        <v>5.16</v>
      </c>
      <c r="G288" s="202">
        <v>5.78</v>
      </c>
      <c r="H288" s="202">
        <v>5.61</v>
      </c>
      <c r="I288" s="202">
        <v>5.39</v>
      </c>
      <c r="J288" s="202">
        <v>4.91</v>
      </c>
      <c r="K288" s="202">
        <v>4.82</v>
      </c>
      <c r="L288" s="202">
        <v>4.6500000000000004</v>
      </c>
      <c r="M288" s="202">
        <v>4.3099999999999996</v>
      </c>
      <c r="N288" s="202">
        <v>4.38</v>
      </c>
      <c r="O288" s="202">
        <v>4.38</v>
      </c>
      <c r="P288" s="202">
        <v>4</v>
      </c>
      <c r="Q288" s="202">
        <f t="shared" si="9"/>
        <v>4.8141666666666669</v>
      </c>
      <c r="R288" s="202" t="s">
        <v>984</v>
      </c>
    </row>
    <row r="289" spans="1:18" x14ac:dyDescent="0.15">
      <c r="A289" s="202" t="str">
        <f t="shared" si="8"/>
        <v>Naulcapan de Juarez_Optimal Summer_270</v>
      </c>
      <c r="B289" s="202" t="s">
        <v>1029</v>
      </c>
      <c r="C289" s="202">
        <v>5</v>
      </c>
      <c r="D289" s="202">
        <v>270</v>
      </c>
      <c r="E289" s="202">
        <v>4</v>
      </c>
      <c r="F289" s="202">
        <v>4.72</v>
      </c>
      <c r="G289" s="202">
        <v>5.29</v>
      </c>
      <c r="H289" s="202">
        <v>5.13</v>
      </c>
      <c r="I289" s="202">
        <v>4.93</v>
      </c>
      <c r="J289" s="202">
        <v>4.49</v>
      </c>
      <c r="K289" s="202">
        <v>4.41</v>
      </c>
      <c r="L289" s="202">
        <v>4.25</v>
      </c>
      <c r="M289" s="202">
        <v>3.94</v>
      </c>
      <c r="N289" s="202">
        <v>4</v>
      </c>
      <c r="O289" s="202">
        <v>4</v>
      </c>
      <c r="P289" s="202">
        <v>3.66</v>
      </c>
      <c r="Q289" s="202">
        <f t="shared" si="9"/>
        <v>4.4016666666666664</v>
      </c>
      <c r="R289" s="202" t="s">
        <v>984</v>
      </c>
    </row>
    <row r="290" spans="1:18" x14ac:dyDescent="0.15">
      <c r="A290" s="202" t="str">
        <f t="shared" si="8"/>
        <v>Naulcapan de Juarez_Optimal Year Round_90</v>
      </c>
      <c r="B290" s="202" t="s">
        <v>1029</v>
      </c>
      <c r="C290" s="202">
        <v>20</v>
      </c>
      <c r="D290" s="202">
        <v>90</v>
      </c>
      <c r="E290" s="202">
        <v>4.62</v>
      </c>
      <c r="F290" s="202">
        <v>5.22</v>
      </c>
      <c r="G290" s="202">
        <v>5.5</v>
      </c>
      <c r="H290" s="202">
        <v>5.03</v>
      </c>
      <c r="I290" s="202">
        <v>4.63</v>
      </c>
      <c r="J290" s="202">
        <v>4.47</v>
      </c>
      <c r="K290" s="202">
        <v>4.37</v>
      </c>
      <c r="L290" s="202">
        <v>4.1100000000000003</v>
      </c>
      <c r="M290" s="202">
        <v>3.98</v>
      </c>
      <c r="N290" s="202">
        <v>4.26</v>
      </c>
      <c r="O290" s="202">
        <v>4.54</v>
      </c>
      <c r="P290" s="202">
        <v>4.2300000000000004</v>
      </c>
      <c r="Q290" s="202">
        <f t="shared" si="9"/>
        <v>4.5799999999999992</v>
      </c>
      <c r="R290" s="202" t="s">
        <v>1019</v>
      </c>
    </row>
    <row r="291" spans="1:18" x14ac:dyDescent="0.15">
      <c r="A291" s="202" t="str">
        <f t="shared" si="8"/>
        <v>Naulcapan de Juarez_Optimal Year Round_112.5</v>
      </c>
      <c r="B291" s="202" t="s">
        <v>1029</v>
      </c>
      <c r="C291" s="202">
        <v>20</v>
      </c>
      <c r="D291" s="202">
        <v>112.5</v>
      </c>
      <c r="E291" s="202">
        <v>5.0599999999999996</v>
      </c>
      <c r="F291" s="202">
        <v>5.7</v>
      </c>
      <c r="G291" s="202">
        <v>6.02</v>
      </c>
      <c r="H291" s="202">
        <v>5.5</v>
      </c>
      <c r="I291" s="202">
        <v>5.07</v>
      </c>
      <c r="J291" s="202">
        <v>4.8899999999999997</v>
      </c>
      <c r="K291" s="202">
        <v>4.78</v>
      </c>
      <c r="L291" s="202">
        <v>4.5</v>
      </c>
      <c r="M291" s="202">
        <v>4.3499999999999996</v>
      </c>
      <c r="N291" s="202">
        <v>4.66</v>
      </c>
      <c r="O291" s="202">
        <v>4.97</v>
      </c>
      <c r="P291" s="202">
        <v>4.63</v>
      </c>
      <c r="Q291" s="202">
        <f t="shared" si="9"/>
        <v>5.0108333333333333</v>
      </c>
      <c r="R291" s="202" t="s">
        <v>1019</v>
      </c>
    </row>
    <row r="292" spans="1:18" x14ac:dyDescent="0.15">
      <c r="A292" s="202" t="str">
        <f t="shared" si="8"/>
        <v>Naulcapan de Juarez_Optimal Year Round_135</v>
      </c>
      <c r="B292" s="202" t="s">
        <v>1029</v>
      </c>
      <c r="C292" s="202">
        <v>20</v>
      </c>
      <c r="D292" s="202">
        <v>135</v>
      </c>
      <c r="E292" s="202">
        <v>5.49</v>
      </c>
      <c r="F292" s="202">
        <v>6.19</v>
      </c>
      <c r="G292" s="202">
        <v>6.54</v>
      </c>
      <c r="H292" s="202">
        <v>5.98</v>
      </c>
      <c r="I292" s="202">
        <v>5.5</v>
      </c>
      <c r="J292" s="202">
        <v>5.31</v>
      </c>
      <c r="K292" s="202">
        <v>5.19</v>
      </c>
      <c r="L292" s="202">
        <v>4.88</v>
      </c>
      <c r="M292" s="202">
        <v>4.72</v>
      </c>
      <c r="N292" s="202">
        <v>5.0599999999999996</v>
      </c>
      <c r="O292" s="202">
        <v>5.4</v>
      </c>
      <c r="P292" s="202">
        <v>5.03</v>
      </c>
      <c r="Q292" s="202">
        <f t="shared" si="9"/>
        <v>5.440833333333333</v>
      </c>
      <c r="R292" s="202" t="s">
        <v>1019</v>
      </c>
    </row>
    <row r="293" spans="1:18" x14ac:dyDescent="0.15">
      <c r="A293" s="202" t="str">
        <f t="shared" si="8"/>
        <v>Naulcapan de Juarez_Optimal Year Round_157.5</v>
      </c>
      <c r="B293" s="202" t="s">
        <v>1029</v>
      </c>
      <c r="C293" s="202">
        <v>20</v>
      </c>
      <c r="D293" s="202">
        <v>157.5</v>
      </c>
      <c r="E293" s="202">
        <v>5.64</v>
      </c>
      <c r="F293" s="202">
        <v>6.36</v>
      </c>
      <c r="G293" s="202">
        <v>6.71</v>
      </c>
      <c r="H293" s="202">
        <v>6.13</v>
      </c>
      <c r="I293" s="202">
        <v>5.65</v>
      </c>
      <c r="J293" s="202">
        <v>5.45</v>
      </c>
      <c r="K293" s="202">
        <v>5.32</v>
      </c>
      <c r="L293" s="202">
        <v>5.01</v>
      </c>
      <c r="M293" s="202">
        <v>4.8499999999999996</v>
      </c>
      <c r="N293" s="202">
        <v>5.2</v>
      </c>
      <c r="O293" s="202">
        <v>5.54</v>
      </c>
      <c r="P293" s="202">
        <v>5.16</v>
      </c>
      <c r="Q293" s="202">
        <f t="shared" si="9"/>
        <v>5.5850000000000009</v>
      </c>
      <c r="R293" s="202" t="s">
        <v>1019</v>
      </c>
    </row>
    <row r="294" spans="1:18" x14ac:dyDescent="0.15">
      <c r="A294" s="202" t="str">
        <f t="shared" si="8"/>
        <v>Naulcapan de Juarez_Optimal Year Round_180</v>
      </c>
      <c r="B294" s="202" t="s">
        <v>1029</v>
      </c>
      <c r="C294" s="202">
        <v>20</v>
      </c>
      <c r="D294" s="202">
        <v>180</v>
      </c>
      <c r="E294" s="202">
        <v>5.78</v>
      </c>
      <c r="F294" s="202">
        <v>6.52</v>
      </c>
      <c r="G294" s="202">
        <v>6.88</v>
      </c>
      <c r="H294" s="202">
        <v>6.29</v>
      </c>
      <c r="I294" s="202">
        <v>5.79</v>
      </c>
      <c r="J294" s="202">
        <v>5.59</v>
      </c>
      <c r="K294" s="202">
        <v>5.46</v>
      </c>
      <c r="L294" s="202">
        <v>5.14</v>
      </c>
      <c r="M294" s="202">
        <v>4.97</v>
      </c>
      <c r="N294" s="202">
        <v>5.33</v>
      </c>
      <c r="O294" s="202">
        <v>5.68</v>
      </c>
      <c r="P294" s="202">
        <v>5.29</v>
      </c>
      <c r="Q294" s="202">
        <f t="shared" si="9"/>
        <v>5.7266666666666666</v>
      </c>
      <c r="R294" s="202" t="s">
        <v>1019</v>
      </c>
    </row>
    <row r="295" spans="1:18" x14ac:dyDescent="0.15">
      <c r="A295" s="202" t="str">
        <f t="shared" si="8"/>
        <v>Naulcapan de Juarez_Optimal Year Round_202.5</v>
      </c>
      <c r="B295" s="202" t="s">
        <v>1029</v>
      </c>
      <c r="C295" s="202">
        <v>20</v>
      </c>
      <c r="D295" s="202">
        <v>202.5</v>
      </c>
      <c r="E295" s="202">
        <v>5.64</v>
      </c>
      <c r="F295" s="202">
        <v>6.36</v>
      </c>
      <c r="G295" s="202">
        <v>6.71</v>
      </c>
      <c r="H295" s="202">
        <v>6.13</v>
      </c>
      <c r="I295" s="202">
        <v>5.65</v>
      </c>
      <c r="J295" s="202">
        <v>5.45</v>
      </c>
      <c r="K295" s="202">
        <v>5.32</v>
      </c>
      <c r="L295" s="202">
        <v>5.01</v>
      </c>
      <c r="M295" s="202">
        <v>4.8499999999999996</v>
      </c>
      <c r="N295" s="202">
        <v>5.2</v>
      </c>
      <c r="O295" s="202">
        <v>5.54</v>
      </c>
      <c r="P295" s="202">
        <v>5.16</v>
      </c>
      <c r="Q295" s="202">
        <f t="shared" si="9"/>
        <v>5.5850000000000009</v>
      </c>
      <c r="R295" s="202" t="s">
        <v>1019</v>
      </c>
    </row>
    <row r="296" spans="1:18" x14ac:dyDescent="0.15">
      <c r="A296" s="202" t="str">
        <f t="shared" si="8"/>
        <v>Naulcapan de Juarez_Optimal Year Round_225</v>
      </c>
      <c r="B296" s="202" t="s">
        <v>1029</v>
      </c>
      <c r="C296" s="202">
        <v>20</v>
      </c>
      <c r="D296" s="202">
        <v>225</v>
      </c>
      <c r="E296" s="202">
        <v>5.49</v>
      </c>
      <c r="F296" s="202">
        <v>6.19</v>
      </c>
      <c r="G296" s="202">
        <v>6.54</v>
      </c>
      <c r="H296" s="202">
        <v>5.98</v>
      </c>
      <c r="I296" s="202">
        <v>5.5</v>
      </c>
      <c r="J296" s="202">
        <v>5.31</v>
      </c>
      <c r="K296" s="202">
        <v>5.19</v>
      </c>
      <c r="L296" s="202">
        <v>4.88</v>
      </c>
      <c r="M296" s="202">
        <v>4.72</v>
      </c>
      <c r="N296" s="202">
        <v>5.0599999999999996</v>
      </c>
      <c r="O296" s="202">
        <v>5.4</v>
      </c>
      <c r="P296" s="202">
        <v>5.03</v>
      </c>
      <c r="Q296" s="202">
        <f t="shared" si="9"/>
        <v>5.440833333333333</v>
      </c>
      <c r="R296" s="202" t="s">
        <v>1019</v>
      </c>
    </row>
    <row r="297" spans="1:18" x14ac:dyDescent="0.15">
      <c r="A297" s="202" t="str">
        <f t="shared" si="8"/>
        <v>Naulcapan de Juarez_Optimal Year Round_247.5</v>
      </c>
      <c r="B297" s="202" t="s">
        <v>1029</v>
      </c>
      <c r="C297" s="202">
        <v>20</v>
      </c>
      <c r="D297" s="202">
        <v>247.5</v>
      </c>
      <c r="E297" s="202">
        <v>5.0599999999999996</v>
      </c>
      <c r="F297" s="202">
        <v>5.7</v>
      </c>
      <c r="G297" s="202">
        <v>6.02</v>
      </c>
      <c r="H297" s="202">
        <v>5.5</v>
      </c>
      <c r="I297" s="202">
        <v>5.07</v>
      </c>
      <c r="J297" s="202">
        <v>4.8899999999999997</v>
      </c>
      <c r="K297" s="202">
        <v>4.78</v>
      </c>
      <c r="L297" s="202">
        <v>4.5</v>
      </c>
      <c r="M297" s="202">
        <v>4.3499999999999996</v>
      </c>
      <c r="N297" s="202">
        <v>4.66</v>
      </c>
      <c r="O297" s="202">
        <v>4.97</v>
      </c>
      <c r="P297" s="202">
        <v>4.63</v>
      </c>
      <c r="Q297" s="202">
        <f t="shared" si="9"/>
        <v>5.0108333333333333</v>
      </c>
      <c r="R297" s="202" t="s">
        <v>1019</v>
      </c>
    </row>
    <row r="298" spans="1:18" x14ac:dyDescent="0.15">
      <c r="A298" s="202" t="str">
        <f t="shared" si="8"/>
        <v>Naulcapan de Juarez_Optimal Year Round_270</v>
      </c>
      <c r="B298" s="202" t="s">
        <v>1029</v>
      </c>
      <c r="C298" s="202">
        <v>20</v>
      </c>
      <c r="D298" s="202">
        <v>270</v>
      </c>
      <c r="E298" s="202">
        <v>4.62</v>
      </c>
      <c r="F298" s="202">
        <v>5.22</v>
      </c>
      <c r="G298" s="202">
        <v>5.5</v>
      </c>
      <c r="H298" s="202">
        <v>5.03</v>
      </c>
      <c r="I298" s="202">
        <v>4.63</v>
      </c>
      <c r="J298" s="202">
        <v>4.47</v>
      </c>
      <c r="K298" s="202">
        <v>4.37</v>
      </c>
      <c r="L298" s="202">
        <v>4.1100000000000003</v>
      </c>
      <c r="M298" s="202">
        <v>3.98</v>
      </c>
      <c r="N298" s="202">
        <v>4.26</v>
      </c>
      <c r="O298" s="202">
        <v>4.54</v>
      </c>
      <c r="P298" s="202">
        <v>4.2300000000000004</v>
      </c>
      <c r="Q298" s="202">
        <f t="shared" si="9"/>
        <v>4.5799999999999992</v>
      </c>
      <c r="R298" s="202" t="s">
        <v>1019</v>
      </c>
    </row>
    <row r="299" spans="1:18" x14ac:dyDescent="0.15">
      <c r="A299" s="202" t="str">
        <f t="shared" si="8"/>
        <v>Nuevo Laredo_Flat Surface_90</v>
      </c>
      <c r="B299" s="202" t="s">
        <v>1030</v>
      </c>
      <c r="C299" s="202">
        <v>0</v>
      </c>
      <c r="D299" s="202">
        <v>90</v>
      </c>
      <c r="E299" s="202">
        <v>3.07</v>
      </c>
      <c r="F299" s="202">
        <v>3.83</v>
      </c>
      <c r="G299" s="202">
        <v>4.91</v>
      </c>
      <c r="H299" s="202">
        <v>5.49</v>
      </c>
      <c r="I299" s="202">
        <v>6.04</v>
      </c>
      <c r="J299" s="202">
        <v>6.59</v>
      </c>
      <c r="K299" s="202">
        <v>6.72</v>
      </c>
      <c r="L299" s="202">
        <v>6.14</v>
      </c>
      <c r="M299" s="202">
        <v>5.16</v>
      </c>
      <c r="N299" s="202">
        <v>4.37</v>
      </c>
      <c r="O299" s="202">
        <v>3.41</v>
      </c>
      <c r="P299" s="202">
        <v>2.93</v>
      </c>
      <c r="Q299" s="202">
        <f t="shared" si="9"/>
        <v>4.8883333333333336</v>
      </c>
      <c r="R299" s="202" t="s">
        <v>1020</v>
      </c>
    </row>
    <row r="300" spans="1:18" x14ac:dyDescent="0.15">
      <c r="A300" s="202" t="str">
        <f t="shared" si="8"/>
        <v>Nuevo Laredo_Flat Surface_112.5</v>
      </c>
      <c r="B300" s="202" t="s">
        <v>1030</v>
      </c>
      <c r="C300" s="202">
        <v>0</v>
      </c>
      <c r="D300" s="202">
        <v>112.5</v>
      </c>
      <c r="E300" s="202">
        <v>3.07</v>
      </c>
      <c r="F300" s="202">
        <v>3.83</v>
      </c>
      <c r="G300" s="202">
        <v>4.91</v>
      </c>
      <c r="H300" s="202">
        <v>5.49</v>
      </c>
      <c r="I300" s="202">
        <v>6.04</v>
      </c>
      <c r="J300" s="202">
        <v>6.59</v>
      </c>
      <c r="K300" s="202">
        <v>6.72</v>
      </c>
      <c r="L300" s="202">
        <v>6.14</v>
      </c>
      <c r="M300" s="202">
        <v>5.16</v>
      </c>
      <c r="N300" s="202">
        <v>4.37</v>
      </c>
      <c r="O300" s="202">
        <v>3.41</v>
      </c>
      <c r="P300" s="202">
        <v>2.93</v>
      </c>
      <c r="Q300" s="202">
        <f t="shared" si="9"/>
        <v>4.8883333333333336</v>
      </c>
      <c r="R300" s="202" t="s">
        <v>1020</v>
      </c>
    </row>
    <row r="301" spans="1:18" x14ac:dyDescent="0.15">
      <c r="A301" s="202" t="str">
        <f t="shared" si="8"/>
        <v>Nuevo Laredo_Flat Surface_135</v>
      </c>
      <c r="B301" s="202" t="s">
        <v>1030</v>
      </c>
      <c r="C301" s="202">
        <v>0</v>
      </c>
      <c r="D301" s="202">
        <v>135</v>
      </c>
      <c r="E301" s="202">
        <v>3.07</v>
      </c>
      <c r="F301" s="202">
        <v>3.83</v>
      </c>
      <c r="G301" s="202">
        <v>4.91</v>
      </c>
      <c r="H301" s="202">
        <v>5.49</v>
      </c>
      <c r="I301" s="202">
        <v>6.04</v>
      </c>
      <c r="J301" s="202">
        <v>6.59</v>
      </c>
      <c r="K301" s="202">
        <v>6.72</v>
      </c>
      <c r="L301" s="202">
        <v>6.14</v>
      </c>
      <c r="M301" s="202">
        <v>5.16</v>
      </c>
      <c r="N301" s="202">
        <v>4.37</v>
      </c>
      <c r="O301" s="202">
        <v>3.41</v>
      </c>
      <c r="P301" s="202">
        <v>2.93</v>
      </c>
      <c r="Q301" s="202">
        <f t="shared" si="9"/>
        <v>4.8883333333333336</v>
      </c>
      <c r="R301" s="202" t="s">
        <v>1020</v>
      </c>
    </row>
    <row r="302" spans="1:18" x14ac:dyDescent="0.15">
      <c r="A302" s="202" t="str">
        <f t="shared" si="8"/>
        <v>Nuevo Laredo_Flat Surface_157.5</v>
      </c>
      <c r="B302" s="202" t="s">
        <v>1030</v>
      </c>
      <c r="C302" s="202">
        <v>0</v>
      </c>
      <c r="D302" s="202">
        <v>157.5</v>
      </c>
      <c r="E302" s="202">
        <v>3.07</v>
      </c>
      <c r="F302" s="202">
        <v>3.83</v>
      </c>
      <c r="G302" s="202">
        <v>4.91</v>
      </c>
      <c r="H302" s="202">
        <v>5.49</v>
      </c>
      <c r="I302" s="202">
        <v>6.04</v>
      </c>
      <c r="J302" s="202">
        <v>6.59</v>
      </c>
      <c r="K302" s="202">
        <v>6.72</v>
      </c>
      <c r="L302" s="202">
        <v>6.14</v>
      </c>
      <c r="M302" s="202">
        <v>5.16</v>
      </c>
      <c r="N302" s="202">
        <v>4.37</v>
      </c>
      <c r="O302" s="202">
        <v>3.41</v>
      </c>
      <c r="P302" s="202">
        <v>2.93</v>
      </c>
      <c r="Q302" s="202">
        <f t="shared" si="9"/>
        <v>4.8883333333333336</v>
      </c>
      <c r="R302" s="202" t="s">
        <v>1020</v>
      </c>
    </row>
    <row r="303" spans="1:18" x14ac:dyDescent="0.15">
      <c r="A303" s="202" t="str">
        <f t="shared" si="8"/>
        <v>Nuevo Laredo_Flat Surface_180</v>
      </c>
      <c r="B303" s="202" t="s">
        <v>1030</v>
      </c>
      <c r="C303" s="202">
        <v>0</v>
      </c>
      <c r="D303" s="202">
        <v>180</v>
      </c>
      <c r="E303" s="202">
        <v>3.07</v>
      </c>
      <c r="F303" s="202">
        <v>3.83</v>
      </c>
      <c r="G303" s="202">
        <v>4.91</v>
      </c>
      <c r="H303" s="202">
        <v>5.49</v>
      </c>
      <c r="I303" s="202">
        <v>6.04</v>
      </c>
      <c r="J303" s="202">
        <v>6.59</v>
      </c>
      <c r="K303" s="202">
        <v>6.72</v>
      </c>
      <c r="L303" s="202">
        <v>6.14</v>
      </c>
      <c r="M303" s="202">
        <v>5.16</v>
      </c>
      <c r="N303" s="202">
        <v>4.37</v>
      </c>
      <c r="O303" s="202">
        <v>3.41</v>
      </c>
      <c r="P303" s="202">
        <v>2.93</v>
      </c>
      <c r="Q303" s="202">
        <f t="shared" si="9"/>
        <v>4.8883333333333336</v>
      </c>
      <c r="R303" s="202" t="s">
        <v>1020</v>
      </c>
    </row>
    <row r="304" spans="1:18" x14ac:dyDescent="0.15">
      <c r="A304" s="202" t="str">
        <f t="shared" si="8"/>
        <v>Nuevo Laredo_Flat Surface_202.5</v>
      </c>
      <c r="B304" s="202" t="s">
        <v>1030</v>
      </c>
      <c r="C304" s="202">
        <v>0</v>
      </c>
      <c r="D304" s="202">
        <v>202.5</v>
      </c>
      <c r="E304" s="202">
        <v>3.07</v>
      </c>
      <c r="F304" s="202">
        <v>3.83</v>
      </c>
      <c r="G304" s="202">
        <v>4.91</v>
      </c>
      <c r="H304" s="202">
        <v>5.49</v>
      </c>
      <c r="I304" s="202">
        <v>6.04</v>
      </c>
      <c r="J304" s="202">
        <v>6.59</v>
      </c>
      <c r="K304" s="202">
        <v>6.72</v>
      </c>
      <c r="L304" s="202">
        <v>6.14</v>
      </c>
      <c r="M304" s="202">
        <v>5.16</v>
      </c>
      <c r="N304" s="202">
        <v>4.37</v>
      </c>
      <c r="O304" s="202">
        <v>3.41</v>
      </c>
      <c r="P304" s="202">
        <v>2.93</v>
      </c>
      <c r="Q304" s="202">
        <f t="shared" si="9"/>
        <v>4.8883333333333336</v>
      </c>
      <c r="R304" s="202" t="s">
        <v>1020</v>
      </c>
    </row>
    <row r="305" spans="1:18" x14ac:dyDescent="0.15">
      <c r="A305" s="202" t="str">
        <f t="shared" si="8"/>
        <v>Nuevo Laredo_Flat Surface_225</v>
      </c>
      <c r="B305" s="202" t="s">
        <v>1030</v>
      </c>
      <c r="C305" s="202">
        <v>0</v>
      </c>
      <c r="D305" s="202">
        <v>225</v>
      </c>
      <c r="E305" s="202">
        <v>3.07</v>
      </c>
      <c r="F305" s="202">
        <v>3.83</v>
      </c>
      <c r="G305" s="202">
        <v>4.91</v>
      </c>
      <c r="H305" s="202">
        <v>5.49</v>
      </c>
      <c r="I305" s="202">
        <v>6.04</v>
      </c>
      <c r="J305" s="202">
        <v>6.59</v>
      </c>
      <c r="K305" s="202">
        <v>6.72</v>
      </c>
      <c r="L305" s="202">
        <v>6.14</v>
      </c>
      <c r="M305" s="202">
        <v>5.16</v>
      </c>
      <c r="N305" s="202">
        <v>4.37</v>
      </c>
      <c r="O305" s="202">
        <v>3.41</v>
      </c>
      <c r="P305" s="202">
        <v>2.93</v>
      </c>
      <c r="Q305" s="202">
        <f t="shared" si="9"/>
        <v>4.8883333333333336</v>
      </c>
      <c r="R305" s="202" t="s">
        <v>1020</v>
      </c>
    </row>
    <row r="306" spans="1:18" x14ac:dyDescent="0.15">
      <c r="A306" s="202" t="str">
        <f t="shared" si="8"/>
        <v>Nuevo Laredo_Flat Surface_247.5</v>
      </c>
      <c r="B306" s="202" t="s">
        <v>1030</v>
      </c>
      <c r="C306" s="202">
        <v>0</v>
      </c>
      <c r="D306" s="202">
        <v>247.5</v>
      </c>
      <c r="E306" s="202">
        <v>3.07</v>
      </c>
      <c r="F306" s="202">
        <v>3.83</v>
      </c>
      <c r="G306" s="202">
        <v>4.91</v>
      </c>
      <c r="H306" s="202">
        <v>5.49</v>
      </c>
      <c r="I306" s="202">
        <v>6.04</v>
      </c>
      <c r="J306" s="202">
        <v>6.59</v>
      </c>
      <c r="K306" s="202">
        <v>6.72</v>
      </c>
      <c r="L306" s="202">
        <v>6.14</v>
      </c>
      <c r="M306" s="202">
        <v>5.16</v>
      </c>
      <c r="N306" s="202">
        <v>4.37</v>
      </c>
      <c r="O306" s="202">
        <v>3.41</v>
      </c>
      <c r="P306" s="202">
        <v>2.93</v>
      </c>
      <c r="Q306" s="202">
        <f t="shared" si="9"/>
        <v>4.8883333333333336</v>
      </c>
      <c r="R306" s="202" t="s">
        <v>1020</v>
      </c>
    </row>
    <row r="307" spans="1:18" x14ac:dyDescent="0.15">
      <c r="A307" s="202" t="str">
        <f t="shared" si="8"/>
        <v>Nuevo Laredo_Flat Surface_270</v>
      </c>
      <c r="B307" s="202" t="s">
        <v>1030</v>
      </c>
      <c r="C307" s="202">
        <v>0</v>
      </c>
      <c r="D307" s="202">
        <v>270</v>
      </c>
      <c r="E307" s="202">
        <v>3.07</v>
      </c>
      <c r="F307" s="202">
        <v>3.83</v>
      </c>
      <c r="G307" s="202">
        <v>4.91</v>
      </c>
      <c r="H307" s="202">
        <v>5.49</v>
      </c>
      <c r="I307" s="202">
        <v>6.04</v>
      </c>
      <c r="J307" s="202">
        <v>6.59</v>
      </c>
      <c r="K307" s="202">
        <v>6.72</v>
      </c>
      <c r="L307" s="202">
        <v>6.14</v>
      </c>
      <c r="M307" s="202">
        <v>5.16</v>
      </c>
      <c r="N307" s="202">
        <v>4.37</v>
      </c>
      <c r="O307" s="202">
        <v>3.41</v>
      </c>
      <c r="P307" s="202">
        <v>2.93</v>
      </c>
      <c r="Q307" s="202">
        <f t="shared" si="9"/>
        <v>4.8883333333333336</v>
      </c>
      <c r="R307" s="202" t="s">
        <v>1020</v>
      </c>
    </row>
    <row r="308" spans="1:18" x14ac:dyDescent="0.15">
      <c r="A308" s="202" t="str">
        <f t="shared" si="8"/>
        <v>Nuevo Laredo_Optimal Summer_90</v>
      </c>
      <c r="B308" s="202" t="s">
        <v>1030</v>
      </c>
      <c r="C308" s="202">
        <v>13</v>
      </c>
      <c r="D308" s="202">
        <v>90</v>
      </c>
      <c r="E308" s="202">
        <v>2.83</v>
      </c>
      <c r="F308" s="202">
        <v>3.4</v>
      </c>
      <c r="G308" s="202">
        <v>4.18</v>
      </c>
      <c r="H308" s="202">
        <v>4.4800000000000004</v>
      </c>
      <c r="I308" s="202">
        <v>4.76</v>
      </c>
      <c r="J308" s="202">
        <v>5.1100000000000003</v>
      </c>
      <c r="K308" s="202">
        <v>5.25</v>
      </c>
      <c r="L308" s="202">
        <v>4.92</v>
      </c>
      <c r="M308" s="202">
        <v>4.32</v>
      </c>
      <c r="N308" s="202">
        <v>3.85</v>
      </c>
      <c r="O308" s="202">
        <v>3.13</v>
      </c>
      <c r="P308" s="202">
        <v>2.74</v>
      </c>
      <c r="Q308" s="202">
        <f t="shared" si="9"/>
        <v>4.0808333333333335</v>
      </c>
      <c r="R308" s="202" t="s">
        <v>984</v>
      </c>
    </row>
    <row r="309" spans="1:18" x14ac:dyDescent="0.15">
      <c r="A309" s="202" t="str">
        <f t="shared" si="8"/>
        <v>Nuevo Laredo_Optimal Summer_112.5</v>
      </c>
      <c r="B309" s="202" t="s">
        <v>1030</v>
      </c>
      <c r="C309" s="202">
        <v>13</v>
      </c>
      <c r="D309" s="202">
        <v>112.5</v>
      </c>
      <c r="E309" s="202">
        <v>3.1</v>
      </c>
      <c r="F309" s="202">
        <v>3.72</v>
      </c>
      <c r="G309" s="202">
        <v>4.58</v>
      </c>
      <c r="H309" s="202">
        <v>4.9000000000000004</v>
      </c>
      <c r="I309" s="202">
        <v>5.21</v>
      </c>
      <c r="J309" s="202">
        <v>5.59</v>
      </c>
      <c r="K309" s="202">
        <v>5.74</v>
      </c>
      <c r="L309" s="202">
        <v>5.38</v>
      </c>
      <c r="M309" s="202">
        <v>4.72</v>
      </c>
      <c r="N309" s="202">
        <v>4.21</v>
      </c>
      <c r="O309" s="202">
        <v>3.42</v>
      </c>
      <c r="P309" s="202">
        <v>3</v>
      </c>
      <c r="Q309" s="202">
        <f t="shared" si="9"/>
        <v>4.4641666666666673</v>
      </c>
      <c r="R309" s="202" t="s">
        <v>984</v>
      </c>
    </row>
    <row r="310" spans="1:18" x14ac:dyDescent="0.15">
      <c r="A310" s="202" t="str">
        <f t="shared" si="8"/>
        <v>Nuevo Laredo_Optimal Summer_135</v>
      </c>
      <c r="B310" s="202" t="s">
        <v>1030</v>
      </c>
      <c r="C310" s="202">
        <v>13</v>
      </c>
      <c r="D310" s="202">
        <v>135</v>
      </c>
      <c r="E310" s="202">
        <v>3.36</v>
      </c>
      <c r="F310" s="202">
        <v>4.04</v>
      </c>
      <c r="G310" s="202">
        <v>4.97</v>
      </c>
      <c r="H310" s="202">
        <v>5.32</v>
      </c>
      <c r="I310" s="202">
        <v>5.65</v>
      </c>
      <c r="J310" s="202">
        <v>6.07</v>
      </c>
      <c r="K310" s="202">
        <v>6.23</v>
      </c>
      <c r="L310" s="202">
        <v>5.84</v>
      </c>
      <c r="M310" s="202">
        <v>5.13</v>
      </c>
      <c r="N310" s="202">
        <v>4.57</v>
      </c>
      <c r="O310" s="202">
        <v>3.71</v>
      </c>
      <c r="P310" s="202">
        <v>3.26</v>
      </c>
      <c r="Q310" s="202">
        <f t="shared" si="9"/>
        <v>4.8458333333333341</v>
      </c>
      <c r="R310" s="202" t="s">
        <v>984</v>
      </c>
    </row>
    <row r="311" spans="1:18" x14ac:dyDescent="0.15">
      <c r="A311" s="202" t="str">
        <f t="shared" si="8"/>
        <v>Nuevo Laredo_Optimal Summer_157.5</v>
      </c>
      <c r="B311" s="202" t="s">
        <v>1030</v>
      </c>
      <c r="C311" s="202">
        <v>13</v>
      </c>
      <c r="D311" s="202">
        <v>157.5</v>
      </c>
      <c r="E311" s="202">
        <v>3.45</v>
      </c>
      <c r="F311" s="202">
        <v>4.1399999999999997</v>
      </c>
      <c r="G311" s="202">
        <v>5.0999999999999996</v>
      </c>
      <c r="H311" s="202">
        <v>5.46</v>
      </c>
      <c r="I311" s="202">
        <v>5.8</v>
      </c>
      <c r="J311" s="202">
        <v>6.23</v>
      </c>
      <c r="K311" s="202">
        <v>6.4</v>
      </c>
      <c r="L311" s="202">
        <v>6</v>
      </c>
      <c r="M311" s="202">
        <v>5.26</v>
      </c>
      <c r="N311" s="202">
        <v>4.6900000000000004</v>
      </c>
      <c r="O311" s="202">
        <v>3.81</v>
      </c>
      <c r="P311" s="202">
        <v>3.34</v>
      </c>
      <c r="Q311" s="202">
        <f t="shared" si="9"/>
        <v>4.9733333333333327</v>
      </c>
      <c r="R311" s="202" t="s">
        <v>984</v>
      </c>
    </row>
    <row r="312" spans="1:18" x14ac:dyDescent="0.15">
      <c r="A312" s="202" t="str">
        <f t="shared" si="8"/>
        <v>Nuevo Laredo_Optimal Summer_180</v>
      </c>
      <c r="B312" s="202" t="s">
        <v>1030</v>
      </c>
      <c r="C312" s="202">
        <v>13</v>
      </c>
      <c r="D312" s="202">
        <v>180</v>
      </c>
      <c r="E312" s="202">
        <v>3.54</v>
      </c>
      <c r="F312" s="202">
        <v>4.25</v>
      </c>
      <c r="G312" s="202">
        <v>5.23</v>
      </c>
      <c r="H312" s="202">
        <v>5.6</v>
      </c>
      <c r="I312" s="202">
        <v>5.95</v>
      </c>
      <c r="J312" s="202">
        <v>6.39</v>
      </c>
      <c r="K312" s="202">
        <v>6.56</v>
      </c>
      <c r="L312" s="202">
        <v>6.15</v>
      </c>
      <c r="M312" s="202">
        <v>5.4</v>
      </c>
      <c r="N312" s="202">
        <v>4.8099999999999996</v>
      </c>
      <c r="O312" s="202">
        <v>3.91</v>
      </c>
      <c r="P312" s="202">
        <v>3.43</v>
      </c>
      <c r="Q312" s="202">
        <f t="shared" si="9"/>
        <v>5.1016666666666657</v>
      </c>
      <c r="R312" s="202" t="s">
        <v>984</v>
      </c>
    </row>
    <row r="313" spans="1:18" x14ac:dyDescent="0.15">
      <c r="A313" s="202" t="str">
        <f t="shared" si="8"/>
        <v>Nuevo Laredo_Optimal Summer_202.5</v>
      </c>
      <c r="B313" s="202" t="s">
        <v>1030</v>
      </c>
      <c r="C313" s="202">
        <v>13</v>
      </c>
      <c r="D313" s="202">
        <v>202.5</v>
      </c>
      <c r="E313" s="202">
        <v>3.45</v>
      </c>
      <c r="F313" s="202">
        <v>4.1399999999999997</v>
      </c>
      <c r="G313" s="202">
        <v>5.0999999999999996</v>
      </c>
      <c r="H313" s="202">
        <v>5.46</v>
      </c>
      <c r="I313" s="202">
        <v>5.8</v>
      </c>
      <c r="J313" s="202">
        <v>6.23</v>
      </c>
      <c r="K313" s="202">
        <v>6.4</v>
      </c>
      <c r="L313" s="202">
        <v>6</v>
      </c>
      <c r="M313" s="202">
        <v>5.26</v>
      </c>
      <c r="N313" s="202">
        <v>4.6900000000000004</v>
      </c>
      <c r="O313" s="202">
        <v>3.81</v>
      </c>
      <c r="P313" s="202">
        <v>3.34</v>
      </c>
      <c r="Q313" s="202">
        <f t="shared" si="9"/>
        <v>4.9733333333333327</v>
      </c>
      <c r="R313" s="202" t="s">
        <v>984</v>
      </c>
    </row>
    <row r="314" spans="1:18" x14ac:dyDescent="0.15">
      <c r="A314" s="202" t="str">
        <f t="shared" si="8"/>
        <v>Nuevo Laredo_Optimal Summer_225</v>
      </c>
      <c r="B314" s="202" t="s">
        <v>1030</v>
      </c>
      <c r="C314" s="202">
        <v>13</v>
      </c>
      <c r="D314" s="202">
        <v>225</v>
      </c>
      <c r="E314" s="202">
        <v>3.36</v>
      </c>
      <c r="F314" s="202">
        <v>4.04</v>
      </c>
      <c r="G314" s="202">
        <v>4.97</v>
      </c>
      <c r="H314" s="202">
        <v>5.32</v>
      </c>
      <c r="I314" s="202">
        <v>5.65</v>
      </c>
      <c r="J314" s="202">
        <v>6.07</v>
      </c>
      <c r="K314" s="202">
        <v>6.23</v>
      </c>
      <c r="L314" s="202">
        <v>5.84</v>
      </c>
      <c r="M314" s="202">
        <v>5.13</v>
      </c>
      <c r="N314" s="202">
        <v>4.57</v>
      </c>
      <c r="O314" s="202">
        <v>3.71</v>
      </c>
      <c r="P314" s="202">
        <v>3.26</v>
      </c>
      <c r="Q314" s="202">
        <f t="shared" si="9"/>
        <v>4.8458333333333341</v>
      </c>
      <c r="R314" s="202" t="s">
        <v>984</v>
      </c>
    </row>
    <row r="315" spans="1:18" x14ac:dyDescent="0.15">
      <c r="A315" s="202" t="str">
        <f t="shared" si="8"/>
        <v>Nuevo Laredo_Optimal Summer_247.5</v>
      </c>
      <c r="B315" s="202" t="s">
        <v>1030</v>
      </c>
      <c r="C315" s="202">
        <v>13</v>
      </c>
      <c r="D315" s="202">
        <v>247.5</v>
      </c>
      <c r="E315" s="202">
        <v>3.1</v>
      </c>
      <c r="F315" s="202">
        <v>3.72</v>
      </c>
      <c r="G315" s="202">
        <v>4.58</v>
      </c>
      <c r="H315" s="202">
        <v>4.9000000000000004</v>
      </c>
      <c r="I315" s="202">
        <v>5.21</v>
      </c>
      <c r="J315" s="202">
        <v>5.59</v>
      </c>
      <c r="K315" s="202">
        <v>5.74</v>
      </c>
      <c r="L315" s="202">
        <v>5.38</v>
      </c>
      <c r="M315" s="202">
        <v>4.72</v>
      </c>
      <c r="N315" s="202">
        <v>4.21</v>
      </c>
      <c r="O315" s="202">
        <v>3.42</v>
      </c>
      <c r="P315" s="202">
        <v>3</v>
      </c>
      <c r="Q315" s="202">
        <f t="shared" si="9"/>
        <v>4.4641666666666673</v>
      </c>
      <c r="R315" s="202" t="s">
        <v>984</v>
      </c>
    </row>
    <row r="316" spans="1:18" x14ac:dyDescent="0.15">
      <c r="A316" s="202" t="str">
        <f t="shared" si="8"/>
        <v>Nuevo Laredo_Optimal Summer_270</v>
      </c>
      <c r="B316" s="202" t="s">
        <v>1030</v>
      </c>
      <c r="C316" s="202">
        <v>13</v>
      </c>
      <c r="D316" s="202">
        <v>270</v>
      </c>
      <c r="E316" s="202">
        <v>2.83</v>
      </c>
      <c r="F316" s="202">
        <v>3.4</v>
      </c>
      <c r="G316" s="202">
        <v>4.18</v>
      </c>
      <c r="H316" s="202">
        <v>4.4800000000000004</v>
      </c>
      <c r="I316" s="202">
        <v>4.76</v>
      </c>
      <c r="J316" s="202">
        <v>5.1100000000000003</v>
      </c>
      <c r="K316" s="202">
        <v>5.25</v>
      </c>
      <c r="L316" s="202">
        <v>4.92</v>
      </c>
      <c r="M316" s="202">
        <v>4.32</v>
      </c>
      <c r="N316" s="202">
        <v>3.85</v>
      </c>
      <c r="O316" s="202">
        <v>3.13</v>
      </c>
      <c r="P316" s="202">
        <v>2.74</v>
      </c>
      <c r="Q316" s="202">
        <f t="shared" si="9"/>
        <v>4.0808333333333335</v>
      </c>
      <c r="R316" s="202" t="s">
        <v>984</v>
      </c>
    </row>
    <row r="317" spans="1:18" x14ac:dyDescent="0.15">
      <c r="A317" s="202" t="str">
        <f t="shared" si="8"/>
        <v>Nuevo Laredo_Optimal Year Round_90</v>
      </c>
      <c r="B317" s="202" t="s">
        <v>1030</v>
      </c>
      <c r="C317" s="202">
        <v>28</v>
      </c>
      <c r="D317" s="202">
        <v>90</v>
      </c>
      <c r="E317" s="202">
        <v>3.17</v>
      </c>
      <c r="F317" s="202">
        <v>3.67</v>
      </c>
      <c r="G317" s="202">
        <v>4.3</v>
      </c>
      <c r="H317" s="202">
        <v>4.38</v>
      </c>
      <c r="I317" s="202">
        <v>4.46</v>
      </c>
      <c r="J317" s="202">
        <v>4.7</v>
      </c>
      <c r="K317" s="202">
        <v>4.8499999999999996</v>
      </c>
      <c r="L317" s="202">
        <v>4.71</v>
      </c>
      <c r="M317" s="202">
        <v>4.3600000000000003</v>
      </c>
      <c r="N317" s="202">
        <v>4.0999999999999996</v>
      </c>
      <c r="O317" s="202">
        <v>3.48</v>
      </c>
      <c r="P317" s="202">
        <v>3.11</v>
      </c>
      <c r="Q317" s="202">
        <f t="shared" si="9"/>
        <v>4.1074999999999999</v>
      </c>
      <c r="R317" s="202" t="s">
        <v>1019</v>
      </c>
    </row>
    <row r="318" spans="1:18" x14ac:dyDescent="0.15">
      <c r="A318" s="202" t="str">
        <f t="shared" si="8"/>
        <v>Nuevo Laredo_Optimal Year Round_112.5</v>
      </c>
      <c r="B318" s="202" t="s">
        <v>1030</v>
      </c>
      <c r="C318" s="202">
        <v>28</v>
      </c>
      <c r="D318" s="202">
        <v>112.5</v>
      </c>
      <c r="E318" s="202">
        <v>3.46</v>
      </c>
      <c r="F318" s="202">
        <v>4.0199999999999996</v>
      </c>
      <c r="G318" s="202">
        <v>4.71</v>
      </c>
      <c r="H318" s="202">
        <v>4.8</v>
      </c>
      <c r="I318" s="202">
        <v>4.88</v>
      </c>
      <c r="J318" s="202">
        <v>5.14</v>
      </c>
      <c r="K318" s="202">
        <v>5.3</v>
      </c>
      <c r="L318" s="202">
        <v>5.15</v>
      </c>
      <c r="M318" s="202">
        <v>4.7699999999999996</v>
      </c>
      <c r="N318" s="202">
        <v>4.49</v>
      </c>
      <c r="O318" s="202">
        <v>3.81</v>
      </c>
      <c r="P318" s="202">
        <v>3.4</v>
      </c>
      <c r="Q318" s="202">
        <f t="shared" si="9"/>
        <v>4.4941666666666658</v>
      </c>
      <c r="R318" s="202" t="s">
        <v>1019</v>
      </c>
    </row>
    <row r="319" spans="1:18" x14ac:dyDescent="0.15">
      <c r="A319" s="202" t="str">
        <f t="shared" si="8"/>
        <v>Nuevo Laredo_Optimal Year Round_135</v>
      </c>
      <c r="B319" s="202" t="s">
        <v>1030</v>
      </c>
      <c r="C319" s="202">
        <v>28</v>
      </c>
      <c r="D319" s="202">
        <v>135</v>
      </c>
      <c r="E319" s="202">
        <v>3.76</v>
      </c>
      <c r="F319" s="202">
        <v>4.3600000000000003</v>
      </c>
      <c r="G319" s="202">
        <v>5.1100000000000003</v>
      </c>
      <c r="H319" s="202">
        <v>5.21</v>
      </c>
      <c r="I319" s="202">
        <v>5.3</v>
      </c>
      <c r="J319" s="202">
        <v>5.58</v>
      </c>
      <c r="K319" s="202">
        <v>5.76</v>
      </c>
      <c r="L319" s="202">
        <v>5.6</v>
      </c>
      <c r="M319" s="202">
        <v>5.18</v>
      </c>
      <c r="N319" s="202">
        <v>4.87</v>
      </c>
      <c r="O319" s="202">
        <v>4.13</v>
      </c>
      <c r="P319" s="202">
        <v>3.7</v>
      </c>
      <c r="Q319" s="202">
        <f t="shared" si="9"/>
        <v>4.88</v>
      </c>
      <c r="R319" s="202" t="s">
        <v>1019</v>
      </c>
    </row>
    <row r="320" spans="1:18" x14ac:dyDescent="0.15">
      <c r="A320" s="202" t="str">
        <f t="shared" si="8"/>
        <v>Nuevo Laredo_Optimal Year Round_157.5</v>
      </c>
      <c r="B320" s="202" t="s">
        <v>1030</v>
      </c>
      <c r="C320" s="202">
        <v>28</v>
      </c>
      <c r="D320" s="202">
        <v>157.5</v>
      </c>
      <c r="E320" s="202">
        <v>3.86</v>
      </c>
      <c r="F320" s="202">
        <v>4.4800000000000004</v>
      </c>
      <c r="G320" s="202">
        <v>5.25</v>
      </c>
      <c r="H320" s="202">
        <v>5.34</v>
      </c>
      <c r="I320" s="202">
        <v>5.44</v>
      </c>
      <c r="J320" s="202">
        <v>5.72</v>
      </c>
      <c r="K320" s="202">
        <v>5.91</v>
      </c>
      <c r="L320" s="202">
        <v>5.74</v>
      </c>
      <c r="M320" s="202">
        <v>5.31</v>
      </c>
      <c r="N320" s="202">
        <v>5</v>
      </c>
      <c r="O320" s="202">
        <v>4.24</v>
      </c>
      <c r="P320" s="202">
        <v>3.79</v>
      </c>
      <c r="Q320" s="202">
        <f t="shared" si="9"/>
        <v>5.0066666666666668</v>
      </c>
      <c r="R320" s="202" t="s">
        <v>1019</v>
      </c>
    </row>
    <row r="321" spans="1:18" x14ac:dyDescent="0.15">
      <c r="A321" s="202" t="str">
        <f t="shared" si="8"/>
        <v>Nuevo Laredo_Optimal Year Round_180</v>
      </c>
      <c r="B321" s="202" t="s">
        <v>1030</v>
      </c>
      <c r="C321" s="202">
        <v>28</v>
      </c>
      <c r="D321" s="202">
        <v>180</v>
      </c>
      <c r="E321" s="202">
        <v>3.96</v>
      </c>
      <c r="F321" s="202">
        <v>4.59</v>
      </c>
      <c r="G321" s="202">
        <v>5.38</v>
      </c>
      <c r="H321" s="202">
        <v>5.48</v>
      </c>
      <c r="I321" s="202">
        <v>5.58</v>
      </c>
      <c r="J321" s="202">
        <v>5.87</v>
      </c>
      <c r="K321" s="202">
        <v>6.06</v>
      </c>
      <c r="L321" s="202">
        <v>5.89</v>
      </c>
      <c r="M321" s="202">
        <v>5.45</v>
      </c>
      <c r="N321" s="202">
        <v>5.13</v>
      </c>
      <c r="O321" s="202">
        <v>4.3499999999999996</v>
      </c>
      <c r="P321" s="202">
        <v>3.89</v>
      </c>
      <c r="Q321" s="202">
        <f t="shared" si="9"/>
        <v>5.1358333333333341</v>
      </c>
      <c r="R321" s="202" t="s">
        <v>1019</v>
      </c>
    </row>
    <row r="322" spans="1:18" x14ac:dyDescent="0.15">
      <c r="A322" s="202" t="str">
        <f t="shared" ref="A322:A385" si="10">B322&amp;"_"&amp;R322&amp;"_"&amp;D322</f>
        <v>Nuevo Laredo_Optimal Year Round_202.5</v>
      </c>
      <c r="B322" s="202" t="s">
        <v>1030</v>
      </c>
      <c r="C322" s="202">
        <v>28</v>
      </c>
      <c r="D322" s="202">
        <v>202.5</v>
      </c>
      <c r="E322" s="202">
        <v>3.86</v>
      </c>
      <c r="F322" s="202">
        <v>4.4800000000000004</v>
      </c>
      <c r="G322" s="202">
        <v>5.25</v>
      </c>
      <c r="H322" s="202">
        <v>5.34</v>
      </c>
      <c r="I322" s="202">
        <v>5.44</v>
      </c>
      <c r="J322" s="202">
        <v>5.72</v>
      </c>
      <c r="K322" s="202">
        <v>5.91</v>
      </c>
      <c r="L322" s="202">
        <v>5.74</v>
      </c>
      <c r="M322" s="202">
        <v>5.31</v>
      </c>
      <c r="N322" s="202">
        <v>5</v>
      </c>
      <c r="O322" s="202">
        <v>4.24</v>
      </c>
      <c r="P322" s="202">
        <v>3.79</v>
      </c>
      <c r="Q322" s="202">
        <f t="shared" ref="Q322:Q385" si="11">AVERAGE(E322:P322)</f>
        <v>5.0066666666666668</v>
      </c>
      <c r="R322" s="202" t="s">
        <v>1019</v>
      </c>
    </row>
    <row r="323" spans="1:18" x14ac:dyDescent="0.15">
      <c r="A323" s="202" t="str">
        <f t="shared" si="10"/>
        <v>Nuevo Laredo_Optimal Year Round_225</v>
      </c>
      <c r="B323" s="202" t="s">
        <v>1030</v>
      </c>
      <c r="C323" s="202">
        <v>28</v>
      </c>
      <c r="D323" s="202">
        <v>225</v>
      </c>
      <c r="E323" s="202">
        <v>3.76</v>
      </c>
      <c r="F323" s="202">
        <v>4.3600000000000003</v>
      </c>
      <c r="G323" s="202">
        <v>5.1100000000000003</v>
      </c>
      <c r="H323" s="202">
        <v>5.21</v>
      </c>
      <c r="I323" s="202">
        <v>5.3</v>
      </c>
      <c r="J323" s="202">
        <v>5.58</v>
      </c>
      <c r="K323" s="202">
        <v>5.76</v>
      </c>
      <c r="L323" s="202">
        <v>5.6</v>
      </c>
      <c r="M323" s="202">
        <v>5.18</v>
      </c>
      <c r="N323" s="202">
        <v>4.87</v>
      </c>
      <c r="O323" s="202">
        <v>4.13</v>
      </c>
      <c r="P323" s="202">
        <v>3.7</v>
      </c>
      <c r="Q323" s="202">
        <f t="shared" si="11"/>
        <v>4.88</v>
      </c>
      <c r="R323" s="202" t="s">
        <v>1019</v>
      </c>
    </row>
    <row r="324" spans="1:18" x14ac:dyDescent="0.15">
      <c r="A324" s="202" t="str">
        <f t="shared" si="10"/>
        <v>Nuevo Laredo_Optimal Year Round_247.5</v>
      </c>
      <c r="B324" s="202" t="s">
        <v>1030</v>
      </c>
      <c r="C324" s="202">
        <v>28</v>
      </c>
      <c r="D324" s="202">
        <v>247.5</v>
      </c>
      <c r="E324" s="202">
        <v>3.46</v>
      </c>
      <c r="F324" s="202">
        <v>4.0199999999999996</v>
      </c>
      <c r="G324" s="202">
        <v>4.71</v>
      </c>
      <c r="H324" s="202">
        <v>4.8</v>
      </c>
      <c r="I324" s="202">
        <v>4.88</v>
      </c>
      <c r="J324" s="202">
        <v>5.14</v>
      </c>
      <c r="K324" s="202">
        <v>5.3</v>
      </c>
      <c r="L324" s="202">
        <v>5.15</v>
      </c>
      <c r="M324" s="202">
        <v>4.7699999999999996</v>
      </c>
      <c r="N324" s="202">
        <v>4.49</v>
      </c>
      <c r="O324" s="202">
        <v>3.81</v>
      </c>
      <c r="P324" s="202">
        <v>3.4</v>
      </c>
      <c r="Q324" s="202">
        <f t="shared" si="11"/>
        <v>4.4941666666666658</v>
      </c>
      <c r="R324" s="202" t="s">
        <v>1019</v>
      </c>
    </row>
    <row r="325" spans="1:18" x14ac:dyDescent="0.15">
      <c r="A325" s="202" t="str">
        <f t="shared" si="10"/>
        <v>Nuevo Laredo_Optimal Year Round_270</v>
      </c>
      <c r="B325" s="202" t="s">
        <v>1030</v>
      </c>
      <c r="C325" s="202">
        <v>28</v>
      </c>
      <c r="D325" s="202">
        <v>270</v>
      </c>
      <c r="E325" s="202">
        <v>3.17</v>
      </c>
      <c r="F325" s="202">
        <v>3.67</v>
      </c>
      <c r="G325" s="202">
        <v>4.3</v>
      </c>
      <c r="H325" s="202">
        <v>4.38</v>
      </c>
      <c r="I325" s="202">
        <v>4.46</v>
      </c>
      <c r="J325" s="202">
        <v>4.7</v>
      </c>
      <c r="K325" s="202">
        <v>4.8499999999999996</v>
      </c>
      <c r="L325" s="202">
        <v>4.71</v>
      </c>
      <c r="M325" s="202">
        <v>4.3600000000000003</v>
      </c>
      <c r="N325" s="202">
        <v>4.0999999999999996</v>
      </c>
      <c r="O325" s="202">
        <v>3.48</v>
      </c>
      <c r="P325" s="202">
        <v>3.11</v>
      </c>
      <c r="Q325" s="202">
        <f t="shared" si="11"/>
        <v>4.1074999999999999</v>
      </c>
      <c r="R325" s="202" t="s">
        <v>1019</v>
      </c>
    </row>
    <row r="326" spans="1:18" x14ac:dyDescent="0.15">
      <c r="A326" s="202" t="str">
        <f t="shared" si="10"/>
        <v>Oaxaca de Juarez_Flat Surface_90</v>
      </c>
      <c r="B326" s="202" t="s">
        <v>1031</v>
      </c>
      <c r="C326" s="202">
        <v>0</v>
      </c>
      <c r="D326" s="202">
        <v>90</v>
      </c>
      <c r="E326" s="202">
        <v>4.66</v>
      </c>
      <c r="F326" s="202">
        <v>5.25</v>
      </c>
      <c r="G326" s="202">
        <v>6.04</v>
      </c>
      <c r="H326" s="202">
        <v>6.27</v>
      </c>
      <c r="I326" s="202">
        <v>5.94</v>
      </c>
      <c r="J326" s="202">
        <v>5.3</v>
      </c>
      <c r="K326" s="202">
        <v>5.31</v>
      </c>
      <c r="L326" s="202">
        <v>5.18</v>
      </c>
      <c r="M326" s="202">
        <v>4.63</v>
      </c>
      <c r="N326" s="202">
        <v>4.66</v>
      </c>
      <c r="O326" s="202">
        <v>4.59</v>
      </c>
      <c r="P326" s="202">
        <v>4.5</v>
      </c>
      <c r="Q326" s="202">
        <f t="shared" si="11"/>
        <v>5.1941666666666677</v>
      </c>
      <c r="R326" s="202" t="s">
        <v>1020</v>
      </c>
    </row>
    <row r="327" spans="1:18" x14ac:dyDescent="0.15">
      <c r="A327" s="202" t="str">
        <f t="shared" si="10"/>
        <v>Oaxaca de Juarez_Flat Surface_112.5</v>
      </c>
      <c r="B327" s="202" t="s">
        <v>1031</v>
      </c>
      <c r="C327" s="202">
        <v>0</v>
      </c>
      <c r="D327" s="202">
        <v>112.5</v>
      </c>
      <c r="E327" s="202">
        <v>4.66</v>
      </c>
      <c r="F327" s="202">
        <v>5.25</v>
      </c>
      <c r="G327" s="202">
        <v>6.04</v>
      </c>
      <c r="H327" s="202">
        <v>6.27</v>
      </c>
      <c r="I327" s="202">
        <v>5.94</v>
      </c>
      <c r="J327" s="202">
        <v>5.3</v>
      </c>
      <c r="K327" s="202">
        <v>5.31</v>
      </c>
      <c r="L327" s="202">
        <v>5.18</v>
      </c>
      <c r="M327" s="202">
        <v>4.63</v>
      </c>
      <c r="N327" s="202">
        <v>4.66</v>
      </c>
      <c r="O327" s="202">
        <v>4.59</v>
      </c>
      <c r="P327" s="202">
        <v>4.5</v>
      </c>
      <c r="Q327" s="202">
        <f t="shared" si="11"/>
        <v>5.1941666666666677</v>
      </c>
      <c r="R327" s="202" t="s">
        <v>1020</v>
      </c>
    </row>
    <row r="328" spans="1:18" x14ac:dyDescent="0.15">
      <c r="A328" s="202" t="str">
        <f t="shared" si="10"/>
        <v>Oaxaca de Juarez_Flat Surface_135</v>
      </c>
      <c r="B328" s="202" t="s">
        <v>1031</v>
      </c>
      <c r="C328" s="202">
        <v>0</v>
      </c>
      <c r="D328" s="202">
        <v>135</v>
      </c>
      <c r="E328" s="202">
        <v>4.66</v>
      </c>
      <c r="F328" s="202">
        <v>5.25</v>
      </c>
      <c r="G328" s="202">
        <v>6.04</v>
      </c>
      <c r="H328" s="202">
        <v>6.27</v>
      </c>
      <c r="I328" s="202">
        <v>5.94</v>
      </c>
      <c r="J328" s="202">
        <v>5.3</v>
      </c>
      <c r="K328" s="202">
        <v>5.31</v>
      </c>
      <c r="L328" s="202">
        <v>5.18</v>
      </c>
      <c r="M328" s="202">
        <v>4.63</v>
      </c>
      <c r="N328" s="202">
        <v>4.66</v>
      </c>
      <c r="O328" s="202">
        <v>4.59</v>
      </c>
      <c r="P328" s="202">
        <v>4.5</v>
      </c>
      <c r="Q328" s="202">
        <f t="shared" si="11"/>
        <v>5.1941666666666677</v>
      </c>
      <c r="R328" s="202" t="s">
        <v>1020</v>
      </c>
    </row>
    <row r="329" spans="1:18" x14ac:dyDescent="0.15">
      <c r="A329" s="202" t="str">
        <f t="shared" si="10"/>
        <v>Oaxaca de Juarez_Flat Surface_157.5</v>
      </c>
      <c r="B329" s="202" t="s">
        <v>1031</v>
      </c>
      <c r="C329" s="202">
        <v>0</v>
      </c>
      <c r="D329" s="202">
        <v>157.5</v>
      </c>
      <c r="E329" s="202">
        <v>4.66</v>
      </c>
      <c r="F329" s="202">
        <v>5.25</v>
      </c>
      <c r="G329" s="202">
        <v>6.04</v>
      </c>
      <c r="H329" s="202">
        <v>6.27</v>
      </c>
      <c r="I329" s="202">
        <v>5.94</v>
      </c>
      <c r="J329" s="202">
        <v>5.3</v>
      </c>
      <c r="K329" s="202">
        <v>5.31</v>
      </c>
      <c r="L329" s="202">
        <v>5.18</v>
      </c>
      <c r="M329" s="202">
        <v>4.63</v>
      </c>
      <c r="N329" s="202">
        <v>4.66</v>
      </c>
      <c r="O329" s="202">
        <v>4.59</v>
      </c>
      <c r="P329" s="202">
        <v>4.5</v>
      </c>
      <c r="Q329" s="202">
        <f t="shared" si="11"/>
        <v>5.1941666666666677</v>
      </c>
      <c r="R329" s="202" t="s">
        <v>1020</v>
      </c>
    </row>
    <row r="330" spans="1:18" x14ac:dyDescent="0.15">
      <c r="A330" s="202" t="str">
        <f t="shared" si="10"/>
        <v>Oaxaca de Juarez_Flat Surface_180</v>
      </c>
      <c r="B330" s="202" t="s">
        <v>1031</v>
      </c>
      <c r="C330" s="202">
        <v>0</v>
      </c>
      <c r="D330" s="202">
        <v>180</v>
      </c>
      <c r="E330" s="202">
        <v>4.66</v>
      </c>
      <c r="F330" s="202">
        <v>5.25</v>
      </c>
      <c r="G330" s="202">
        <v>6.04</v>
      </c>
      <c r="H330" s="202">
        <v>6.27</v>
      </c>
      <c r="I330" s="202">
        <v>5.94</v>
      </c>
      <c r="J330" s="202">
        <v>5.3</v>
      </c>
      <c r="K330" s="202">
        <v>5.31</v>
      </c>
      <c r="L330" s="202">
        <v>5.18</v>
      </c>
      <c r="M330" s="202">
        <v>4.63</v>
      </c>
      <c r="N330" s="202">
        <v>4.66</v>
      </c>
      <c r="O330" s="202">
        <v>4.59</v>
      </c>
      <c r="P330" s="202">
        <v>4.5</v>
      </c>
      <c r="Q330" s="202">
        <f t="shared" si="11"/>
        <v>5.1941666666666677</v>
      </c>
      <c r="R330" s="202" t="s">
        <v>1020</v>
      </c>
    </row>
    <row r="331" spans="1:18" x14ac:dyDescent="0.15">
      <c r="A331" s="202" t="str">
        <f t="shared" si="10"/>
        <v>Oaxaca de Juarez_Flat Surface_202.5</v>
      </c>
      <c r="B331" s="202" t="s">
        <v>1031</v>
      </c>
      <c r="C331" s="202">
        <v>0</v>
      </c>
      <c r="D331" s="202">
        <v>202.5</v>
      </c>
      <c r="E331" s="202">
        <v>4.66</v>
      </c>
      <c r="F331" s="202">
        <v>5.25</v>
      </c>
      <c r="G331" s="202">
        <v>6.04</v>
      </c>
      <c r="H331" s="202">
        <v>6.27</v>
      </c>
      <c r="I331" s="202">
        <v>5.94</v>
      </c>
      <c r="J331" s="202">
        <v>5.3</v>
      </c>
      <c r="K331" s="202">
        <v>5.31</v>
      </c>
      <c r="L331" s="202">
        <v>5.18</v>
      </c>
      <c r="M331" s="202">
        <v>4.63</v>
      </c>
      <c r="N331" s="202">
        <v>4.66</v>
      </c>
      <c r="O331" s="202">
        <v>4.59</v>
      </c>
      <c r="P331" s="202">
        <v>4.5</v>
      </c>
      <c r="Q331" s="202">
        <f t="shared" si="11"/>
        <v>5.1941666666666677</v>
      </c>
      <c r="R331" s="202" t="s">
        <v>1020</v>
      </c>
    </row>
    <row r="332" spans="1:18" x14ac:dyDescent="0.15">
      <c r="A332" s="202" t="str">
        <f t="shared" si="10"/>
        <v>Oaxaca de Juarez_Flat Surface_225</v>
      </c>
      <c r="B332" s="202" t="s">
        <v>1031</v>
      </c>
      <c r="C332" s="202">
        <v>0</v>
      </c>
      <c r="D332" s="202">
        <v>225</v>
      </c>
      <c r="E332" s="202">
        <v>4.66</v>
      </c>
      <c r="F332" s="202">
        <v>5.25</v>
      </c>
      <c r="G332" s="202">
        <v>6.04</v>
      </c>
      <c r="H332" s="202">
        <v>6.27</v>
      </c>
      <c r="I332" s="202">
        <v>5.94</v>
      </c>
      <c r="J332" s="202">
        <v>5.3</v>
      </c>
      <c r="K332" s="202">
        <v>5.31</v>
      </c>
      <c r="L332" s="202">
        <v>5.18</v>
      </c>
      <c r="M332" s="202">
        <v>4.63</v>
      </c>
      <c r="N332" s="202">
        <v>4.66</v>
      </c>
      <c r="O332" s="202">
        <v>4.59</v>
      </c>
      <c r="P332" s="202">
        <v>4.5</v>
      </c>
      <c r="Q332" s="202">
        <f t="shared" si="11"/>
        <v>5.1941666666666677</v>
      </c>
      <c r="R332" s="202" t="s">
        <v>1020</v>
      </c>
    </row>
    <row r="333" spans="1:18" x14ac:dyDescent="0.15">
      <c r="A333" s="202" t="str">
        <f t="shared" si="10"/>
        <v>Oaxaca de Juarez_Flat Surface_247.5</v>
      </c>
      <c r="B333" s="202" t="s">
        <v>1031</v>
      </c>
      <c r="C333" s="202">
        <v>0</v>
      </c>
      <c r="D333" s="202">
        <v>247.5</v>
      </c>
      <c r="E333" s="202">
        <v>4.66</v>
      </c>
      <c r="F333" s="202">
        <v>5.25</v>
      </c>
      <c r="G333" s="202">
        <v>6.04</v>
      </c>
      <c r="H333" s="202">
        <v>6.27</v>
      </c>
      <c r="I333" s="202">
        <v>5.94</v>
      </c>
      <c r="J333" s="202">
        <v>5.3</v>
      </c>
      <c r="K333" s="202">
        <v>5.31</v>
      </c>
      <c r="L333" s="202">
        <v>5.18</v>
      </c>
      <c r="M333" s="202">
        <v>4.63</v>
      </c>
      <c r="N333" s="202">
        <v>4.66</v>
      </c>
      <c r="O333" s="202">
        <v>4.59</v>
      </c>
      <c r="P333" s="202">
        <v>4.5</v>
      </c>
      <c r="Q333" s="202">
        <f t="shared" si="11"/>
        <v>5.1941666666666677</v>
      </c>
      <c r="R333" s="202" t="s">
        <v>1020</v>
      </c>
    </row>
    <row r="334" spans="1:18" x14ac:dyDescent="0.15">
      <c r="A334" s="202" t="str">
        <f t="shared" si="10"/>
        <v>Oaxaca de Juarez_Flat Surface_270</v>
      </c>
      <c r="B334" s="202" t="s">
        <v>1031</v>
      </c>
      <c r="C334" s="202">
        <v>0</v>
      </c>
      <c r="D334" s="202">
        <v>270</v>
      </c>
      <c r="E334" s="202">
        <v>4.66</v>
      </c>
      <c r="F334" s="202">
        <v>5.25</v>
      </c>
      <c r="G334" s="202">
        <v>6.04</v>
      </c>
      <c r="H334" s="202">
        <v>6.27</v>
      </c>
      <c r="I334" s="202">
        <v>5.94</v>
      </c>
      <c r="J334" s="202">
        <v>5.3</v>
      </c>
      <c r="K334" s="202">
        <v>5.31</v>
      </c>
      <c r="L334" s="202">
        <v>5.18</v>
      </c>
      <c r="M334" s="202">
        <v>4.63</v>
      </c>
      <c r="N334" s="202">
        <v>4.66</v>
      </c>
      <c r="O334" s="202">
        <v>4.59</v>
      </c>
      <c r="P334" s="202">
        <v>4.5</v>
      </c>
      <c r="Q334" s="202">
        <f t="shared" si="11"/>
        <v>5.1941666666666677</v>
      </c>
      <c r="R334" s="202" t="s">
        <v>1020</v>
      </c>
    </row>
    <row r="335" spans="1:18" x14ac:dyDescent="0.15">
      <c r="A335" s="202" t="str">
        <f t="shared" si="10"/>
        <v>Oaxaca de Juarez_Optimal Summer_90</v>
      </c>
      <c r="B335" s="202" t="s">
        <v>1031</v>
      </c>
      <c r="C335" s="202">
        <v>2</v>
      </c>
      <c r="D335" s="202">
        <v>90</v>
      </c>
      <c r="E335" s="202">
        <v>3.82</v>
      </c>
      <c r="F335" s="202">
        <v>4.2699999999999996</v>
      </c>
      <c r="G335" s="202">
        <v>4.87</v>
      </c>
      <c r="H335" s="202">
        <v>5.0199999999999996</v>
      </c>
      <c r="I335" s="202">
        <v>4.7699999999999996</v>
      </c>
      <c r="J335" s="202">
        <v>4.26</v>
      </c>
      <c r="K335" s="202">
        <v>4.26</v>
      </c>
      <c r="L335" s="202">
        <v>4.1399999999999997</v>
      </c>
      <c r="M335" s="202">
        <v>3.72</v>
      </c>
      <c r="N335" s="202">
        <v>3.78</v>
      </c>
      <c r="O335" s="202">
        <v>3.75</v>
      </c>
      <c r="P335" s="202">
        <v>3.69</v>
      </c>
      <c r="Q335" s="202">
        <f t="shared" si="11"/>
        <v>4.1958333333333329</v>
      </c>
      <c r="R335" s="202" t="s">
        <v>984</v>
      </c>
    </row>
    <row r="336" spans="1:18" x14ac:dyDescent="0.15">
      <c r="A336" s="202" t="str">
        <f t="shared" si="10"/>
        <v>Oaxaca de Juarez_Optimal Summer_112.5</v>
      </c>
      <c r="B336" s="202" t="s">
        <v>1031</v>
      </c>
      <c r="C336" s="202">
        <v>2</v>
      </c>
      <c r="D336" s="202">
        <v>112.5</v>
      </c>
      <c r="E336" s="202">
        <v>4.17</v>
      </c>
      <c r="F336" s="202">
        <v>4.67</v>
      </c>
      <c r="G336" s="202">
        <v>5.33</v>
      </c>
      <c r="H336" s="202">
        <v>5.5</v>
      </c>
      <c r="I336" s="202">
        <v>5.22</v>
      </c>
      <c r="J336" s="202">
        <v>4.66</v>
      </c>
      <c r="K336" s="202">
        <v>4.66</v>
      </c>
      <c r="L336" s="202">
        <v>4.5199999999999996</v>
      </c>
      <c r="M336" s="202">
        <v>4.07</v>
      </c>
      <c r="N336" s="202">
        <v>4.13</v>
      </c>
      <c r="O336" s="202">
        <v>4.0999999999999996</v>
      </c>
      <c r="P336" s="202">
        <v>4.03</v>
      </c>
      <c r="Q336" s="202">
        <f t="shared" si="11"/>
        <v>4.5883333333333338</v>
      </c>
      <c r="R336" s="202" t="s">
        <v>984</v>
      </c>
    </row>
    <row r="337" spans="1:18" x14ac:dyDescent="0.15">
      <c r="A337" s="202" t="str">
        <f t="shared" si="10"/>
        <v>Oaxaca de Juarez_Optimal Summer_135</v>
      </c>
      <c r="B337" s="202" t="s">
        <v>1031</v>
      </c>
      <c r="C337" s="202">
        <v>2</v>
      </c>
      <c r="D337" s="202">
        <v>135</v>
      </c>
      <c r="E337" s="202">
        <v>4.53</v>
      </c>
      <c r="F337" s="202">
        <v>5.07</v>
      </c>
      <c r="G337" s="202">
        <v>5.79</v>
      </c>
      <c r="H337" s="202">
        <v>5.97</v>
      </c>
      <c r="I337" s="202">
        <v>5.66</v>
      </c>
      <c r="J337" s="202">
        <v>5.05</v>
      </c>
      <c r="K337" s="202">
        <v>5.0599999999999996</v>
      </c>
      <c r="L337" s="202">
        <v>4.91</v>
      </c>
      <c r="M337" s="202">
        <v>4.42</v>
      </c>
      <c r="N337" s="202">
        <v>4.4800000000000004</v>
      </c>
      <c r="O337" s="202">
        <v>4.46</v>
      </c>
      <c r="P337" s="202">
        <v>4.38</v>
      </c>
      <c r="Q337" s="202">
        <f t="shared" si="11"/>
        <v>4.9816666666666682</v>
      </c>
      <c r="R337" s="202" t="s">
        <v>984</v>
      </c>
    </row>
    <row r="338" spans="1:18" x14ac:dyDescent="0.15">
      <c r="A338" s="202" t="str">
        <f t="shared" si="10"/>
        <v>Oaxaca de Juarez_Optimal Summer_157.5</v>
      </c>
      <c r="B338" s="202" t="s">
        <v>1031</v>
      </c>
      <c r="C338" s="202">
        <v>2</v>
      </c>
      <c r="D338" s="202">
        <v>157.5</v>
      </c>
      <c r="E338" s="202">
        <v>4.6500000000000004</v>
      </c>
      <c r="F338" s="202">
        <v>5.21</v>
      </c>
      <c r="G338" s="202">
        <v>5.94</v>
      </c>
      <c r="H338" s="202">
        <v>6.12</v>
      </c>
      <c r="I338" s="202">
        <v>5.81</v>
      </c>
      <c r="J338" s="202">
        <v>5.19</v>
      </c>
      <c r="K338" s="202">
        <v>5.2</v>
      </c>
      <c r="L338" s="202">
        <v>5.04</v>
      </c>
      <c r="M338" s="202">
        <v>4.53</v>
      </c>
      <c r="N338" s="202">
        <v>4.5999999999999996</v>
      </c>
      <c r="O338" s="202">
        <v>4.57</v>
      </c>
      <c r="P338" s="202">
        <v>4.49</v>
      </c>
      <c r="Q338" s="202">
        <f t="shared" si="11"/>
        <v>5.1125000000000007</v>
      </c>
      <c r="R338" s="202" t="s">
        <v>984</v>
      </c>
    </row>
    <row r="339" spans="1:18" x14ac:dyDescent="0.15">
      <c r="A339" s="202" t="str">
        <f t="shared" si="10"/>
        <v>Oaxaca de Juarez_Optimal Summer_180</v>
      </c>
      <c r="B339" s="202" t="s">
        <v>1031</v>
      </c>
      <c r="C339" s="202">
        <v>2</v>
      </c>
      <c r="D339" s="202">
        <v>180</v>
      </c>
      <c r="E339" s="202">
        <v>4.7699999999999996</v>
      </c>
      <c r="F339" s="202">
        <v>5.34</v>
      </c>
      <c r="G339" s="202">
        <v>6.09</v>
      </c>
      <c r="H339" s="202">
        <v>6.28</v>
      </c>
      <c r="I339" s="202">
        <v>5.96</v>
      </c>
      <c r="J339" s="202">
        <v>5.32</v>
      </c>
      <c r="K339" s="202">
        <v>5.33</v>
      </c>
      <c r="L339" s="202">
        <v>5.17</v>
      </c>
      <c r="M339" s="202">
        <v>4.6500000000000004</v>
      </c>
      <c r="N339" s="202">
        <v>4.72</v>
      </c>
      <c r="O339" s="202">
        <v>4.6900000000000004</v>
      </c>
      <c r="P339" s="202">
        <v>4.6100000000000003</v>
      </c>
      <c r="Q339" s="202">
        <f t="shared" si="11"/>
        <v>5.2441666666666666</v>
      </c>
      <c r="R339" s="202" t="s">
        <v>984</v>
      </c>
    </row>
    <row r="340" spans="1:18" x14ac:dyDescent="0.15">
      <c r="A340" s="202" t="str">
        <f t="shared" si="10"/>
        <v>Oaxaca de Juarez_Optimal Summer_202.5</v>
      </c>
      <c r="B340" s="202" t="s">
        <v>1031</v>
      </c>
      <c r="C340" s="202">
        <v>2</v>
      </c>
      <c r="D340" s="202">
        <v>202.5</v>
      </c>
      <c r="E340" s="202">
        <v>4.6500000000000004</v>
      </c>
      <c r="F340" s="202">
        <v>5.21</v>
      </c>
      <c r="G340" s="202">
        <v>5.94</v>
      </c>
      <c r="H340" s="202">
        <v>6.12</v>
      </c>
      <c r="I340" s="202">
        <v>5.81</v>
      </c>
      <c r="J340" s="202">
        <v>5.19</v>
      </c>
      <c r="K340" s="202">
        <v>5.2</v>
      </c>
      <c r="L340" s="202">
        <v>5.04</v>
      </c>
      <c r="M340" s="202">
        <v>4.53</v>
      </c>
      <c r="N340" s="202">
        <v>4.5999999999999996</v>
      </c>
      <c r="O340" s="202">
        <v>4.57</v>
      </c>
      <c r="P340" s="202">
        <v>4.49</v>
      </c>
      <c r="Q340" s="202">
        <f t="shared" si="11"/>
        <v>5.1125000000000007</v>
      </c>
      <c r="R340" s="202" t="s">
        <v>984</v>
      </c>
    </row>
    <row r="341" spans="1:18" x14ac:dyDescent="0.15">
      <c r="A341" s="202" t="str">
        <f t="shared" si="10"/>
        <v>Oaxaca de Juarez_Optimal Summer_225</v>
      </c>
      <c r="B341" s="202" t="s">
        <v>1031</v>
      </c>
      <c r="C341" s="202">
        <v>2</v>
      </c>
      <c r="D341" s="202">
        <v>225</v>
      </c>
      <c r="E341" s="202">
        <v>4.53</v>
      </c>
      <c r="F341" s="202">
        <v>5.07</v>
      </c>
      <c r="G341" s="202">
        <v>5.79</v>
      </c>
      <c r="H341" s="202">
        <v>5.97</v>
      </c>
      <c r="I341" s="202">
        <v>5.66</v>
      </c>
      <c r="J341" s="202">
        <v>5.05</v>
      </c>
      <c r="K341" s="202">
        <v>5.0599999999999996</v>
      </c>
      <c r="L341" s="202">
        <v>4.91</v>
      </c>
      <c r="M341" s="202">
        <v>4.42</v>
      </c>
      <c r="N341" s="202">
        <v>4.4800000000000004</v>
      </c>
      <c r="O341" s="202">
        <v>4.46</v>
      </c>
      <c r="P341" s="202">
        <v>4.38</v>
      </c>
      <c r="Q341" s="202">
        <f t="shared" si="11"/>
        <v>4.9816666666666682</v>
      </c>
      <c r="R341" s="202" t="s">
        <v>984</v>
      </c>
    </row>
    <row r="342" spans="1:18" x14ac:dyDescent="0.15">
      <c r="A342" s="202" t="str">
        <f t="shared" si="10"/>
        <v>Oaxaca de Juarez_Optimal Summer_247.5</v>
      </c>
      <c r="B342" s="202" t="s">
        <v>1031</v>
      </c>
      <c r="C342" s="202">
        <v>2</v>
      </c>
      <c r="D342" s="202">
        <v>247.5</v>
      </c>
      <c r="E342" s="202">
        <v>4.17</v>
      </c>
      <c r="F342" s="202">
        <v>4.67</v>
      </c>
      <c r="G342" s="202">
        <v>5.33</v>
      </c>
      <c r="H342" s="202">
        <v>5.5</v>
      </c>
      <c r="I342" s="202">
        <v>5.22</v>
      </c>
      <c r="J342" s="202">
        <v>4.66</v>
      </c>
      <c r="K342" s="202">
        <v>4.66</v>
      </c>
      <c r="L342" s="202">
        <v>4.5199999999999996</v>
      </c>
      <c r="M342" s="202">
        <v>4.07</v>
      </c>
      <c r="N342" s="202">
        <v>4.13</v>
      </c>
      <c r="O342" s="202">
        <v>4.0999999999999996</v>
      </c>
      <c r="P342" s="202">
        <v>4.03</v>
      </c>
      <c r="Q342" s="202">
        <f t="shared" si="11"/>
        <v>4.5883333333333338</v>
      </c>
      <c r="R342" s="202" t="s">
        <v>984</v>
      </c>
    </row>
    <row r="343" spans="1:18" x14ac:dyDescent="0.15">
      <c r="A343" s="202" t="str">
        <f t="shared" si="10"/>
        <v>Oaxaca de Juarez_Optimal Summer_270</v>
      </c>
      <c r="B343" s="202" t="s">
        <v>1031</v>
      </c>
      <c r="C343" s="202">
        <v>2</v>
      </c>
      <c r="D343" s="202">
        <v>270</v>
      </c>
      <c r="E343" s="202">
        <v>3.82</v>
      </c>
      <c r="F343" s="202">
        <v>4.2699999999999996</v>
      </c>
      <c r="G343" s="202">
        <v>4.87</v>
      </c>
      <c r="H343" s="202">
        <v>5.0199999999999996</v>
      </c>
      <c r="I343" s="202">
        <v>4.7699999999999996</v>
      </c>
      <c r="J343" s="202">
        <v>4.26</v>
      </c>
      <c r="K343" s="202">
        <v>4.26</v>
      </c>
      <c r="L343" s="202">
        <v>4.1399999999999997</v>
      </c>
      <c r="M343" s="202">
        <v>3.72</v>
      </c>
      <c r="N343" s="202">
        <v>3.78</v>
      </c>
      <c r="O343" s="202">
        <v>3.75</v>
      </c>
      <c r="P343" s="202">
        <v>3.69</v>
      </c>
      <c r="Q343" s="202">
        <f t="shared" si="11"/>
        <v>4.1958333333333329</v>
      </c>
      <c r="R343" s="202" t="s">
        <v>984</v>
      </c>
    </row>
    <row r="344" spans="1:18" x14ac:dyDescent="0.15">
      <c r="A344" s="202" t="str">
        <f t="shared" si="10"/>
        <v>Oaxaca de Juarez_Optimal Year Round_90</v>
      </c>
      <c r="B344" s="202" t="s">
        <v>1031</v>
      </c>
      <c r="C344" s="202">
        <v>17</v>
      </c>
      <c r="D344" s="202">
        <v>90</v>
      </c>
      <c r="E344" s="202">
        <v>4.37</v>
      </c>
      <c r="F344" s="202">
        <v>4.66</v>
      </c>
      <c r="G344" s="202">
        <v>5.04</v>
      </c>
      <c r="H344" s="202">
        <v>4.93</v>
      </c>
      <c r="I344" s="202">
        <v>4.72</v>
      </c>
      <c r="J344" s="202">
        <v>4.28</v>
      </c>
      <c r="K344" s="202">
        <v>4.26</v>
      </c>
      <c r="L344" s="202">
        <v>4.01</v>
      </c>
      <c r="M344" s="202">
        <v>3.74</v>
      </c>
      <c r="N344" s="202">
        <v>3.99</v>
      </c>
      <c r="O344" s="202">
        <v>4.21</v>
      </c>
      <c r="P344" s="202">
        <v>4.28</v>
      </c>
      <c r="Q344" s="202">
        <f t="shared" si="11"/>
        <v>4.3741666666666665</v>
      </c>
      <c r="R344" s="202" t="s">
        <v>1019</v>
      </c>
    </row>
    <row r="345" spans="1:18" x14ac:dyDescent="0.15">
      <c r="A345" s="202" t="str">
        <f t="shared" si="10"/>
        <v>Oaxaca de Juarez_Optimal Year Round_112.5</v>
      </c>
      <c r="B345" s="202" t="s">
        <v>1031</v>
      </c>
      <c r="C345" s="202">
        <v>17</v>
      </c>
      <c r="D345" s="202">
        <v>112.5</v>
      </c>
      <c r="E345" s="202">
        <v>4.78</v>
      </c>
      <c r="F345" s="202">
        <v>5.09</v>
      </c>
      <c r="G345" s="202">
        <v>5.51</v>
      </c>
      <c r="H345" s="202">
        <v>5.39</v>
      </c>
      <c r="I345" s="202">
        <v>5.16</v>
      </c>
      <c r="J345" s="202">
        <v>4.68</v>
      </c>
      <c r="K345" s="202">
        <v>4.66</v>
      </c>
      <c r="L345" s="202">
        <v>4.38</v>
      </c>
      <c r="M345" s="202">
        <v>4.0999999999999996</v>
      </c>
      <c r="N345" s="202">
        <v>4.37</v>
      </c>
      <c r="O345" s="202">
        <v>4.5999999999999996</v>
      </c>
      <c r="P345" s="202">
        <v>4.68</v>
      </c>
      <c r="Q345" s="202">
        <f t="shared" si="11"/>
        <v>4.7833333333333332</v>
      </c>
      <c r="R345" s="202" t="s">
        <v>1019</v>
      </c>
    </row>
    <row r="346" spans="1:18" x14ac:dyDescent="0.15">
      <c r="A346" s="202" t="str">
        <f t="shared" si="10"/>
        <v>Oaxaca de Juarez_Optimal Year Round_135</v>
      </c>
      <c r="B346" s="202" t="s">
        <v>1031</v>
      </c>
      <c r="C346" s="202">
        <v>17</v>
      </c>
      <c r="D346" s="202">
        <v>135</v>
      </c>
      <c r="E346" s="202">
        <v>5.19</v>
      </c>
      <c r="F346" s="202">
        <v>5.53</v>
      </c>
      <c r="G346" s="202">
        <v>5.98</v>
      </c>
      <c r="H346" s="202">
        <v>5.85</v>
      </c>
      <c r="I346" s="202">
        <v>5.6</v>
      </c>
      <c r="J346" s="202">
        <v>5.08</v>
      </c>
      <c r="K346" s="202">
        <v>5.0599999999999996</v>
      </c>
      <c r="L346" s="202">
        <v>4.76</v>
      </c>
      <c r="M346" s="202">
        <v>4.45</v>
      </c>
      <c r="N346" s="202">
        <v>4.74</v>
      </c>
      <c r="O346" s="202">
        <v>5</v>
      </c>
      <c r="P346" s="202">
        <v>5.08</v>
      </c>
      <c r="Q346" s="202">
        <f t="shared" si="11"/>
        <v>5.1933333333333342</v>
      </c>
      <c r="R346" s="202" t="s">
        <v>1019</v>
      </c>
    </row>
    <row r="347" spans="1:18" x14ac:dyDescent="0.15">
      <c r="A347" s="202" t="str">
        <f t="shared" si="10"/>
        <v>Oaxaca de Juarez_Optimal Year Round_157.5</v>
      </c>
      <c r="B347" s="202" t="s">
        <v>1031</v>
      </c>
      <c r="C347" s="202">
        <v>17</v>
      </c>
      <c r="D347" s="202">
        <v>157.5</v>
      </c>
      <c r="E347" s="202">
        <v>5.32</v>
      </c>
      <c r="F347" s="202">
        <v>5.67</v>
      </c>
      <c r="G347" s="202">
        <v>6.14</v>
      </c>
      <c r="H347" s="202">
        <v>6.01</v>
      </c>
      <c r="I347" s="202">
        <v>5.75</v>
      </c>
      <c r="J347" s="202">
        <v>5.22</v>
      </c>
      <c r="K347" s="202">
        <v>5.2</v>
      </c>
      <c r="L347" s="202">
        <v>4.88</v>
      </c>
      <c r="M347" s="202">
        <v>4.5599999999999996</v>
      </c>
      <c r="N347" s="202">
        <v>4.87</v>
      </c>
      <c r="O347" s="202">
        <v>5.13</v>
      </c>
      <c r="P347" s="202">
        <v>5.22</v>
      </c>
      <c r="Q347" s="202">
        <f t="shared" si="11"/>
        <v>5.3308333333333335</v>
      </c>
      <c r="R347" s="202" t="s">
        <v>1019</v>
      </c>
    </row>
    <row r="348" spans="1:18" x14ac:dyDescent="0.15">
      <c r="A348" s="202" t="str">
        <f t="shared" si="10"/>
        <v>Oaxaca de Juarez_Optimal Year Round_180</v>
      </c>
      <c r="B348" s="202" t="s">
        <v>1031</v>
      </c>
      <c r="C348" s="202">
        <v>17</v>
      </c>
      <c r="D348" s="202">
        <v>180</v>
      </c>
      <c r="E348" s="202">
        <v>5.46</v>
      </c>
      <c r="F348" s="202">
        <v>5.82</v>
      </c>
      <c r="G348" s="202">
        <v>6.3</v>
      </c>
      <c r="H348" s="202">
        <v>6.16</v>
      </c>
      <c r="I348" s="202">
        <v>5.9</v>
      </c>
      <c r="J348" s="202">
        <v>5.35</v>
      </c>
      <c r="K348" s="202">
        <v>5.33</v>
      </c>
      <c r="L348" s="202">
        <v>5.01</v>
      </c>
      <c r="M348" s="202">
        <v>4.68</v>
      </c>
      <c r="N348" s="202">
        <v>4.99</v>
      </c>
      <c r="O348" s="202">
        <v>5.26</v>
      </c>
      <c r="P348" s="202">
        <v>5.35</v>
      </c>
      <c r="Q348" s="202">
        <f t="shared" si="11"/>
        <v>5.4675000000000002</v>
      </c>
      <c r="R348" s="202" t="s">
        <v>1019</v>
      </c>
    </row>
    <row r="349" spans="1:18" x14ac:dyDescent="0.15">
      <c r="A349" s="202" t="str">
        <f t="shared" si="10"/>
        <v>Oaxaca de Juarez_Optimal Year Round_202.5</v>
      </c>
      <c r="B349" s="202" t="s">
        <v>1031</v>
      </c>
      <c r="C349" s="202">
        <v>17</v>
      </c>
      <c r="D349" s="202">
        <v>202.5</v>
      </c>
      <c r="E349" s="202">
        <v>5.32</v>
      </c>
      <c r="F349" s="202">
        <v>5.67</v>
      </c>
      <c r="G349" s="202">
        <v>6.14</v>
      </c>
      <c r="H349" s="202">
        <v>6.01</v>
      </c>
      <c r="I349" s="202">
        <v>5.75</v>
      </c>
      <c r="J349" s="202">
        <v>5.22</v>
      </c>
      <c r="K349" s="202">
        <v>5.2</v>
      </c>
      <c r="L349" s="202">
        <v>4.88</v>
      </c>
      <c r="M349" s="202">
        <v>4.5599999999999996</v>
      </c>
      <c r="N349" s="202">
        <v>4.87</v>
      </c>
      <c r="O349" s="202">
        <v>5.13</v>
      </c>
      <c r="P349" s="202">
        <v>5.22</v>
      </c>
      <c r="Q349" s="202">
        <f t="shared" si="11"/>
        <v>5.3308333333333335</v>
      </c>
      <c r="R349" s="202" t="s">
        <v>1019</v>
      </c>
    </row>
    <row r="350" spans="1:18" x14ac:dyDescent="0.15">
      <c r="A350" s="202" t="str">
        <f t="shared" si="10"/>
        <v>Oaxaca de Juarez_Optimal Year Round_225</v>
      </c>
      <c r="B350" s="202" t="s">
        <v>1031</v>
      </c>
      <c r="C350" s="202">
        <v>17</v>
      </c>
      <c r="D350" s="202">
        <v>225</v>
      </c>
      <c r="E350" s="202">
        <v>5.19</v>
      </c>
      <c r="F350" s="202">
        <v>5.53</v>
      </c>
      <c r="G350" s="202">
        <v>5.98</v>
      </c>
      <c r="H350" s="202">
        <v>5.85</v>
      </c>
      <c r="I350" s="202">
        <v>5.6</v>
      </c>
      <c r="J350" s="202">
        <v>5.08</v>
      </c>
      <c r="K350" s="202">
        <v>5.0599999999999996</v>
      </c>
      <c r="L350" s="202">
        <v>4.76</v>
      </c>
      <c r="M350" s="202">
        <v>4.45</v>
      </c>
      <c r="N350" s="202">
        <v>4.74</v>
      </c>
      <c r="O350" s="202">
        <v>5</v>
      </c>
      <c r="P350" s="202">
        <v>5.08</v>
      </c>
      <c r="Q350" s="202">
        <f t="shared" si="11"/>
        <v>5.1933333333333342</v>
      </c>
      <c r="R350" s="202" t="s">
        <v>1019</v>
      </c>
    </row>
    <row r="351" spans="1:18" x14ac:dyDescent="0.15">
      <c r="A351" s="202" t="str">
        <f t="shared" si="10"/>
        <v>Oaxaca de Juarez_Optimal Year Round_247.5</v>
      </c>
      <c r="B351" s="202" t="s">
        <v>1031</v>
      </c>
      <c r="C351" s="202">
        <v>17</v>
      </c>
      <c r="D351" s="202">
        <v>247.5</v>
      </c>
      <c r="E351" s="202">
        <v>4.78</v>
      </c>
      <c r="F351" s="202">
        <v>5.09</v>
      </c>
      <c r="G351" s="202">
        <v>5.51</v>
      </c>
      <c r="H351" s="202">
        <v>5.39</v>
      </c>
      <c r="I351" s="202">
        <v>5.16</v>
      </c>
      <c r="J351" s="202">
        <v>4.68</v>
      </c>
      <c r="K351" s="202">
        <v>4.66</v>
      </c>
      <c r="L351" s="202">
        <v>4.38</v>
      </c>
      <c r="M351" s="202">
        <v>4.0999999999999996</v>
      </c>
      <c r="N351" s="202">
        <v>4.37</v>
      </c>
      <c r="O351" s="202">
        <v>4.5999999999999996</v>
      </c>
      <c r="P351" s="202">
        <v>4.68</v>
      </c>
      <c r="Q351" s="202">
        <f t="shared" si="11"/>
        <v>4.7833333333333332</v>
      </c>
      <c r="R351" s="202" t="s">
        <v>1019</v>
      </c>
    </row>
    <row r="352" spans="1:18" x14ac:dyDescent="0.15">
      <c r="A352" s="202" t="str">
        <f t="shared" si="10"/>
        <v>Oaxaca de Juarez_Optimal Year Round_270</v>
      </c>
      <c r="B352" s="202" t="s">
        <v>1031</v>
      </c>
      <c r="C352" s="202">
        <v>17</v>
      </c>
      <c r="D352" s="202">
        <v>270</v>
      </c>
      <c r="E352" s="202">
        <v>4.37</v>
      </c>
      <c r="F352" s="202">
        <v>4.66</v>
      </c>
      <c r="G352" s="202">
        <v>5.04</v>
      </c>
      <c r="H352" s="202">
        <v>4.93</v>
      </c>
      <c r="I352" s="202">
        <v>4.72</v>
      </c>
      <c r="J352" s="202">
        <v>4.28</v>
      </c>
      <c r="K352" s="202">
        <v>4.26</v>
      </c>
      <c r="L352" s="202">
        <v>4.01</v>
      </c>
      <c r="M352" s="202">
        <v>3.74</v>
      </c>
      <c r="N352" s="202">
        <v>3.99</v>
      </c>
      <c r="O352" s="202">
        <v>4.21</v>
      </c>
      <c r="P352" s="202">
        <v>4.28</v>
      </c>
      <c r="Q352" s="202">
        <f t="shared" si="11"/>
        <v>4.3741666666666665</v>
      </c>
      <c r="R352" s="202" t="s">
        <v>1019</v>
      </c>
    </row>
    <row r="353" spans="1:18" x14ac:dyDescent="0.15">
      <c r="A353" s="202" t="str">
        <f t="shared" si="10"/>
        <v>Pachuca de Soto_Flat Surface_90</v>
      </c>
      <c r="B353" s="202" t="s">
        <v>1032</v>
      </c>
      <c r="C353" s="202">
        <v>0</v>
      </c>
      <c r="D353" s="202">
        <v>90</v>
      </c>
      <c r="E353" s="202">
        <v>4.1399999999999997</v>
      </c>
      <c r="F353" s="202">
        <v>4.96</v>
      </c>
      <c r="G353" s="202">
        <v>5.78</v>
      </c>
      <c r="H353" s="202">
        <v>6.04</v>
      </c>
      <c r="I353" s="202">
        <v>6.23</v>
      </c>
      <c r="J353" s="202">
        <v>5.7</v>
      </c>
      <c r="K353" s="202">
        <v>5.55</v>
      </c>
      <c r="L353" s="202">
        <v>5.41</v>
      </c>
      <c r="M353" s="202">
        <v>4.68</v>
      </c>
      <c r="N353" s="202">
        <v>4.4800000000000004</v>
      </c>
      <c r="O353" s="202">
        <v>4.32</v>
      </c>
      <c r="P353" s="202">
        <v>3.87</v>
      </c>
      <c r="Q353" s="202">
        <f t="shared" si="11"/>
        <v>5.0966666666666667</v>
      </c>
      <c r="R353" s="202" t="s">
        <v>1020</v>
      </c>
    </row>
    <row r="354" spans="1:18" x14ac:dyDescent="0.15">
      <c r="A354" s="202" t="str">
        <f t="shared" si="10"/>
        <v>Pachuca de Soto_Flat Surface_112.5</v>
      </c>
      <c r="B354" s="202" t="s">
        <v>1032</v>
      </c>
      <c r="C354" s="202">
        <v>0</v>
      </c>
      <c r="D354" s="202">
        <v>112.5</v>
      </c>
      <c r="E354" s="202">
        <v>4.1399999999999997</v>
      </c>
      <c r="F354" s="202">
        <v>4.96</v>
      </c>
      <c r="G354" s="202">
        <v>5.78</v>
      </c>
      <c r="H354" s="202">
        <v>6.04</v>
      </c>
      <c r="I354" s="202">
        <v>6.23</v>
      </c>
      <c r="J354" s="202">
        <v>5.7</v>
      </c>
      <c r="K354" s="202">
        <v>5.55</v>
      </c>
      <c r="L354" s="202">
        <v>5.41</v>
      </c>
      <c r="M354" s="202">
        <v>4.68</v>
      </c>
      <c r="N354" s="202">
        <v>4.4800000000000004</v>
      </c>
      <c r="O354" s="202">
        <v>4.32</v>
      </c>
      <c r="P354" s="202">
        <v>3.87</v>
      </c>
      <c r="Q354" s="202">
        <f t="shared" si="11"/>
        <v>5.0966666666666667</v>
      </c>
      <c r="R354" s="202" t="s">
        <v>1020</v>
      </c>
    </row>
    <row r="355" spans="1:18" x14ac:dyDescent="0.15">
      <c r="A355" s="202" t="str">
        <f t="shared" si="10"/>
        <v>Pachuca de Soto_Flat Surface_135</v>
      </c>
      <c r="B355" s="202" t="s">
        <v>1032</v>
      </c>
      <c r="C355" s="202">
        <v>0</v>
      </c>
      <c r="D355" s="202">
        <v>135</v>
      </c>
      <c r="E355" s="202">
        <v>4.1399999999999997</v>
      </c>
      <c r="F355" s="202">
        <v>4.96</v>
      </c>
      <c r="G355" s="202">
        <v>5.78</v>
      </c>
      <c r="H355" s="202">
        <v>6.04</v>
      </c>
      <c r="I355" s="202">
        <v>6.23</v>
      </c>
      <c r="J355" s="202">
        <v>5.7</v>
      </c>
      <c r="K355" s="202">
        <v>5.55</v>
      </c>
      <c r="L355" s="202">
        <v>5.41</v>
      </c>
      <c r="M355" s="202">
        <v>4.68</v>
      </c>
      <c r="N355" s="202">
        <v>4.4800000000000004</v>
      </c>
      <c r="O355" s="202">
        <v>4.32</v>
      </c>
      <c r="P355" s="202">
        <v>3.87</v>
      </c>
      <c r="Q355" s="202">
        <f t="shared" si="11"/>
        <v>5.0966666666666667</v>
      </c>
      <c r="R355" s="202" t="s">
        <v>1020</v>
      </c>
    </row>
    <row r="356" spans="1:18" x14ac:dyDescent="0.15">
      <c r="A356" s="202" t="str">
        <f t="shared" si="10"/>
        <v>Pachuca de Soto_Flat Surface_157.5</v>
      </c>
      <c r="B356" s="202" t="s">
        <v>1032</v>
      </c>
      <c r="C356" s="202">
        <v>0</v>
      </c>
      <c r="D356" s="202">
        <v>157.5</v>
      </c>
      <c r="E356" s="202">
        <v>4.1399999999999997</v>
      </c>
      <c r="F356" s="202">
        <v>4.96</v>
      </c>
      <c r="G356" s="202">
        <v>5.78</v>
      </c>
      <c r="H356" s="202">
        <v>6.04</v>
      </c>
      <c r="I356" s="202">
        <v>6.23</v>
      </c>
      <c r="J356" s="202">
        <v>5.7</v>
      </c>
      <c r="K356" s="202">
        <v>5.55</v>
      </c>
      <c r="L356" s="202">
        <v>5.41</v>
      </c>
      <c r="M356" s="202">
        <v>4.68</v>
      </c>
      <c r="N356" s="202">
        <v>4.4800000000000004</v>
      </c>
      <c r="O356" s="202">
        <v>4.32</v>
      </c>
      <c r="P356" s="202">
        <v>3.87</v>
      </c>
      <c r="Q356" s="202">
        <f t="shared" si="11"/>
        <v>5.0966666666666667</v>
      </c>
      <c r="R356" s="202" t="s">
        <v>1020</v>
      </c>
    </row>
    <row r="357" spans="1:18" x14ac:dyDescent="0.15">
      <c r="A357" s="202" t="str">
        <f t="shared" si="10"/>
        <v>Pachuca de Soto_Flat Surface_180</v>
      </c>
      <c r="B357" s="202" t="s">
        <v>1032</v>
      </c>
      <c r="C357" s="202">
        <v>0</v>
      </c>
      <c r="D357" s="202">
        <v>180</v>
      </c>
      <c r="E357" s="202">
        <v>4.1399999999999997</v>
      </c>
      <c r="F357" s="202">
        <v>4.96</v>
      </c>
      <c r="G357" s="202">
        <v>5.78</v>
      </c>
      <c r="H357" s="202">
        <v>6.04</v>
      </c>
      <c r="I357" s="202">
        <v>6.23</v>
      </c>
      <c r="J357" s="202">
        <v>5.7</v>
      </c>
      <c r="K357" s="202">
        <v>5.55</v>
      </c>
      <c r="L357" s="202">
        <v>5.41</v>
      </c>
      <c r="M357" s="202">
        <v>4.68</v>
      </c>
      <c r="N357" s="202">
        <v>4.4800000000000004</v>
      </c>
      <c r="O357" s="202">
        <v>4.32</v>
      </c>
      <c r="P357" s="202">
        <v>3.87</v>
      </c>
      <c r="Q357" s="202">
        <f t="shared" si="11"/>
        <v>5.0966666666666667</v>
      </c>
      <c r="R357" s="202" t="s">
        <v>1020</v>
      </c>
    </row>
    <row r="358" spans="1:18" x14ac:dyDescent="0.15">
      <c r="A358" s="202" t="str">
        <f t="shared" si="10"/>
        <v>Pachuca de Soto_Flat Surface_202.5</v>
      </c>
      <c r="B358" s="202" t="s">
        <v>1032</v>
      </c>
      <c r="C358" s="202">
        <v>0</v>
      </c>
      <c r="D358" s="202">
        <v>202.5</v>
      </c>
      <c r="E358" s="202">
        <v>4.1399999999999997</v>
      </c>
      <c r="F358" s="202">
        <v>4.96</v>
      </c>
      <c r="G358" s="202">
        <v>5.78</v>
      </c>
      <c r="H358" s="202">
        <v>6.04</v>
      </c>
      <c r="I358" s="202">
        <v>6.23</v>
      </c>
      <c r="J358" s="202">
        <v>5.7</v>
      </c>
      <c r="K358" s="202">
        <v>5.55</v>
      </c>
      <c r="L358" s="202">
        <v>5.41</v>
      </c>
      <c r="M358" s="202">
        <v>4.68</v>
      </c>
      <c r="N358" s="202">
        <v>4.4800000000000004</v>
      </c>
      <c r="O358" s="202">
        <v>4.32</v>
      </c>
      <c r="P358" s="202">
        <v>3.87</v>
      </c>
      <c r="Q358" s="202">
        <f t="shared" si="11"/>
        <v>5.0966666666666667</v>
      </c>
      <c r="R358" s="202" t="s">
        <v>1020</v>
      </c>
    </row>
    <row r="359" spans="1:18" x14ac:dyDescent="0.15">
      <c r="A359" s="202" t="str">
        <f t="shared" si="10"/>
        <v>Pachuca de Soto_Flat Surface_225</v>
      </c>
      <c r="B359" s="202" t="s">
        <v>1032</v>
      </c>
      <c r="C359" s="202">
        <v>0</v>
      </c>
      <c r="D359" s="202">
        <v>225</v>
      </c>
      <c r="E359" s="202">
        <v>4.1399999999999997</v>
      </c>
      <c r="F359" s="202">
        <v>4.96</v>
      </c>
      <c r="G359" s="202">
        <v>5.78</v>
      </c>
      <c r="H359" s="202">
        <v>6.04</v>
      </c>
      <c r="I359" s="202">
        <v>6.23</v>
      </c>
      <c r="J359" s="202">
        <v>5.7</v>
      </c>
      <c r="K359" s="202">
        <v>5.55</v>
      </c>
      <c r="L359" s="202">
        <v>5.41</v>
      </c>
      <c r="M359" s="202">
        <v>4.68</v>
      </c>
      <c r="N359" s="202">
        <v>4.4800000000000004</v>
      </c>
      <c r="O359" s="202">
        <v>4.32</v>
      </c>
      <c r="P359" s="202">
        <v>3.87</v>
      </c>
      <c r="Q359" s="202">
        <f t="shared" si="11"/>
        <v>5.0966666666666667</v>
      </c>
      <c r="R359" s="202" t="s">
        <v>1020</v>
      </c>
    </row>
    <row r="360" spans="1:18" x14ac:dyDescent="0.15">
      <c r="A360" s="202" t="str">
        <f t="shared" si="10"/>
        <v>Pachuca de Soto_Flat Surface_247.5</v>
      </c>
      <c r="B360" s="202" t="s">
        <v>1032</v>
      </c>
      <c r="C360" s="202">
        <v>0</v>
      </c>
      <c r="D360" s="202">
        <v>247.5</v>
      </c>
      <c r="E360" s="202">
        <v>4.1399999999999997</v>
      </c>
      <c r="F360" s="202">
        <v>4.96</v>
      </c>
      <c r="G360" s="202">
        <v>5.78</v>
      </c>
      <c r="H360" s="202">
        <v>6.04</v>
      </c>
      <c r="I360" s="202">
        <v>6.23</v>
      </c>
      <c r="J360" s="202">
        <v>5.7</v>
      </c>
      <c r="K360" s="202">
        <v>5.55</v>
      </c>
      <c r="L360" s="202">
        <v>5.41</v>
      </c>
      <c r="M360" s="202">
        <v>4.68</v>
      </c>
      <c r="N360" s="202">
        <v>4.4800000000000004</v>
      </c>
      <c r="O360" s="202">
        <v>4.32</v>
      </c>
      <c r="P360" s="202">
        <v>3.87</v>
      </c>
      <c r="Q360" s="202">
        <f t="shared" si="11"/>
        <v>5.0966666666666667</v>
      </c>
      <c r="R360" s="202" t="s">
        <v>1020</v>
      </c>
    </row>
    <row r="361" spans="1:18" x14ac:dyDescent="0.15">
      <c r="A361" s="202" t="str">
        <f t="shared" si="10"/>
        <v>Pachuca de Soto_Flat Surface_270</v>
      </c>
      <c r="B361" s="202" t="s">
        <v>1032</v>
      </c>
      <c r="C361" s="202">
        <v>0</v>
      </c>
      <c r="D361" s="202">
        <v>270</v>
      </c>
      <c r="E361" s="202">
        <v>4.1399999999999997</v>
      </c>
      <c r="F361" s="202">
        <v>4.96</v>
      </c>
      <c r="G361" s="202">
        <v>5.78</v>
      </c>
      <c r="H361" s="202">
        <v>6.04</v>
      </c>
      <c r="I361" s="202">
        <v>6.23</v>
      </c>
      <c r="J361" s="202">
        <v>5.7</v>
      </c>
      <c r="K361" s="202">
        <v>5.55</v>
      </c>
      <c r="L361" s="202">
        <v>5.41</v>
      </c>
      <c r="M361" s="202">
        <v>4.68</v>
      </c>
      <c r="N361" s="202">
        <v>4.4800000000000004</v>
      </c>
      <c r="O361" s="202">
        <v>4.32</v>
      </c>
      <c r="P361" s="202">
        <v>3.87</v>
      </c>
      <c r="Q361" s="202">
        <f t="shared" si="11"/>
        <v>5.0966666666666667</v>
      </c>
      <c r="R361" s="202" t="s">
        <v>1020</v>
      </c>
    </row>
    <row r="362" spans="1:18" x14ac:dyDescent="0.15">
      <c r="A362" s="202" t="str">
        <f t="shared" si="10"/>
        <v>Pachuca de Soto_Optimal Summer_90</v>
      </c>
      <c r="B362" s="202" t="s">
        <v>1032</v>
      </c>
      <c r="C362" s="202">
        <v>5</v>
      </c>
      <c r="D362" s="202">
        <v>90</v>
      </c>
      <c r="E362" s="202">
        <v>3.51</v>
      </c>
      <c r="F362" s="202">
        <v>4.1399999999999997</v>
      </c>
      <c r="G362" s="202">
        <v>4.74</v>
      </c>
      <c r="H362" s="202">
        <v>4.8600000000000003</v>
      </c>
      <c r="I362" s="202">
        <v>4.9400000000000004</v>
      </c>
      <c r="J362" s="202">
        <v>4.5999999999999996</v>
      </c>
      <c r="K362" s="202">
        <v>4.46</v>
      </c>
      <c r="L362" s="202">
        <v>4.33</v>
      </c>
      <c r="M362" s="202">
        <v>3.79</v>
      </c>
      <c r="N362" s="202">
        <v>3.7</v>
      </c>
      <c r="O362" s="202">
        <v>3.65</v>
      </c>
      <c r="P362" s="202">
        <v>3.29</v>
      </c>
      <c r="Q362" s="202">
        <f t="shared" si="11"/>
        <v>4.1674999999999995</v>
      </c>
      <c r="R362" s="202" t="s">
        <v>984</v>
      </c>
    </row>
    <row r="363" spans="1:18" x14ac:dyDescent="0.15">
      <c r="A363" s="202" t="str">
        <f t="shared" si="10"/>
        <v>Pachuca de Soto_Optimal Summer_112.5</v>
      </c>
      <c r="B363" s="202" t="s">
        <v>1032</v>
      </c>
      <c r="C363" s="202">
        <v>5</v>
      </c>
      <c r="D363" s="202">
        <v>112.5</v>
      </c>
      <c r="E363" s="202">
        <v>3.84</v>
      </c>
      <c r="F363" s="202">
        <v>4.5199999999999996</v>
      </c>
      <c r="G363" s="202">
        <v>5.18</v>
      </c>
      <c r="H363" s="202">
        <v>5.31</v>
      </c>
      <c r="I363" s="202">
        <v>5.4</v>
      </c>
      <c r="J363" s="202">
        <v>5.03</v>
      </c>
      <c r="K363" s="202">
        <v>4.88</v>
      </c>
      <c r="L363" s="202">
        <v>4.7300000000000004</v>
      </c>
      <c r="M363" s="202">
        <v>4.1500000000000004</v>
      </c>
      <c r="N363" s="202">
        <v>4.04</v>
      </c>
      <c r="O363" s="202">
        <v>3.99</v>
      </c>
      <c r="P363" s="202">
        <v>3.6</v>
      </c>
      <c r="Q363" s="202">
        <f t="shared" si="11"/>
        <v>4.5558333333333332</v>
      </c>
      <c r="R363" s="202" t="s">
        <v>984</v>
      </c>
    </row>
    <row r="364" spans="1:18" x14ac:dyDescent="0.15">
      <c r="A364" s="202" t="str">
        <f t="shared" si="10"/>
        <v>Pachuca de Soto_Optimal Summer_135</v>
      </c>
      <c r="B364" s="202" t="s">
        <v>1032</v>
      </c>
      <c r="C364" s="202">
        <v>5</v>
      </c>
      <c r="D364" s="202">
        <v>135</v>
      </c>
      <c r="E364" s="202">
        <v>4.17</v>
      </c>
      <c r="F364" s="202">
        <v>4.91</v>
      </c>
      <c r="G364" s="202">
        <v>5.62</v>
      </c>
      <c r="H364" s="202">
        <v>5.77</v>
      </c>
      <c r="I364" s="202">
        <v>5.86</v>
      </c>
      <c r="J364" s="202">
        <v>5.46</v>
      </c>
      <c r="K364" s="202">
        <v>5.3</v>
      </c>
      <c r="L364" s="202">
        <v>5.14</v>
      </c>
      <c r="M364" s="202">
        <v>4.5</v>
      </c>
      <c r="N364" s="202">
        <v>4.3899999999999997</v>
      </c>
      <c r="O364" s="202">
        <v>4.33</v>
      </c>
      <c r="P364" s="202">
        <v>3.9</v>
      </c>
      <c r="Q364" s="202">
        <f t="shared" si="11"/>
        <v>4.9458333333333329</v>
      </c>
      <c r="R364" s="202" t="s">
        <v>984</v>
      </c>
    </row>
    <row r="365" spans="1:18" x14ac:dyDescent="0.15">
      <c r="A365" s="202" t="str">
        <f t="shared" si="10"/>
        <v>Pachuca de Soto_Optimal Summer_157.5</v>
      </c>
      <c r="B365" s="202" t="s">
        <v>1032</v>
      </c>
      <c r="C365" s="202">
        <v>5</v>
      </c>
      <c r="D365" s="202">
        <v>157.5</v>
      </c>
      <c r="E365" s="202">
        <v>4.28</v>
      </c>
      <c r="F365" s="202">
        <v>5.04</v>
      </c>
      <c r="G365" s="202">
        <v>5.77</v>
      </c>
      <c r="H365" s="202">
        <v>5.92</v>
      </c>
      <c r="I365" s="202">
        <v>6.02</v>
      </c>
      <c r="J365" s="202">
        <v>5.61</v>
      </c>
      <c r="K365" s="202">
        <v>5.44</v>
      </c>
      <c r="L365" s="202">
        <v>5.27</v>
      </c>
      <c r="M365" s="202">
        <v>4.62</v>
      </c>
      <c r="N365" s="202">
        <v>4.5</v>
      </c>
      <c r="O365" s="202">
        <v>4.45</v>
      </c>
      <c r="P365" s="202">
        <v>4.01</v>
      </c>
      <c r="Q365" s="202">
        <f t="shared" si="11"/>
        <v>5.0774999999999997</v>
      </c>
      <c r="R365" s="202" t="s">
        <v>984</v>
      </c>
    </row>
    <row r="366" spans="1:18" x14ac:dyDescent="0.15">
      <c r="A366" s="202" t="str">
        <f t="shared" si="10"/>
        <v>Pachuca de Soto_Optimal Summer_180</v>
      </c>
      <c r="B366" s="202" t="s">
        <v>1032</v>
      </c>
      <c r="C366" s="202">
        <v>5</v>
      </c>
      <c r="D366" s="202">
        <v>180</v>
      </c>
      <c r="E366" s="202">
        <v>4.3899999999999997</v>
      </c>
      <c r="F366" s="202">
        <v>5.17</v>
      </c>
      <c r="G366" s="202">
        <v>5.92</v>
      </c>
      <c r="H366" s="202">
        <v>6.07</v>
      </c>
      <c r="I366" s="202">
        <v>6.17</v>
      </c>
      <c r="J366" s="202">
        <v>5.75</v>
      </c>
      <c r="K366" s="202">
        <v>5.58</v>
      </c>
      <c r="L366" s="202">
        <v>5.41</v>
      </c>
      <c r="M366" s="202">
        <v>4.74</v>
      </c>
      <c r="N366" s="202">
        <v>4.62</v>
      </c>
      <c r="O366" s="202">
        <v>4.5599999999999996</v>
      </c>
      <c r="P366" s="202">
        <v>4.1100000000000003</v>
      </c>
      <c r="Q366" s="202">
        <f t="shared" si="11"/>
        <v>5.2074999999999996</v>
      </c>
      <c r="R366" s="202" t="s">
        <v>984</v>
      </c>
    </row>
    <row r="367" spans="1:18" x14ac:dyDescent="0.15">
      <c r="A367" s="202" t="str">
        <f t="shared" si="10"/>
        <v>Pachuca de Soto_Optimal Summer_202.5</v>
      </c>
      <c r="B367" s="202" t="s">
        <v>1032</v>
      </c>
      <c r="C367" s="202">
        <v>5</v>
      </c>
      <c r="D367" s="202">
        <v>202.5</v>
      </c>
      <c r="E367" s="202">
        <v>4.28</v>
      </c>
      <c r="F367" s="202">
        <v>5.04</v>
      </c>
      <c r="G367" s="202">
        <v>5.77</v>
      </c>
      <c r="H367" s="202">
        <v>5.92</v>
      </c>
      <c r="I367" s="202">
        <v>6.02</v>
      </c>
      <c r="J367" s="202">
        <v>5.61</v>
      </c>
      <c r="K367" s="202">
        <v>5.44</v>
      </c>
      <c r="L367" s="202">
        <v>5.27</v>
      </c>
      <c r="M367" s="202">
        <v>4.62</v>
      </c>
      <c r="N367" s="202">
        <v>4.5</v>
      </c>
      <c r="O367" s="202">
        <v>4.45</v>
      </c>
      <c r="P367" s="202">
        <v>4.01</v>
      </c>
      <c r="Q367" s="202">
        <f t="shared" si="11"/>
        <v>5.0774999999999997</v>
      </c>
      <c r="R367" s="202" t="s">
        <v>984</v>
      </c>
    </row>
    <row r="368" spans="1:18" x14ac:dyDescent="0.15">
      <c r="A368" s="202" t="str">
        <f t="shared" si="10"/>
        <v>Pachuca de Soto_Optimal Summer_225</v>
      </c>
      <c r="B368" s="202" t="s">
        <v>1032</v>
      </c>
      <c r="C368" s="202">
        <v>5</v>
      </c>
      <c r="D368" s="202">
        <v>225</v>
      </c>
      <c r="E368" s="202">
        <v>4.17</v>
      </c>
      <c r="F368" s="202">
        <v>4.91</v>
      </c>
      <c r="G368" s="202">
        <v>5.62</v>
      </c>
      <c r="H368" s="202">
        <v>5.77</v>
      </c>
      <c r="I368" s="202">
        <v>5.86</v>
      </c>
      <c r="J368" s="202">
        <v>5.46</v>
      </c>
      <c r="K368" s="202">
        <v>5.3</v>
      </c>
      <c r="L368" s="202">
        <v>5.14</v>
      </c>
      <c r="M368" s="202">
        <v>4.5</v>
      </c>
      <c r="N368" s="202">
        <v>4.3899999999999997</v>
      </c>
      <c r="O368" s="202">
        <v>4.33</v>
      </c>
      <c r="P368" s="202">
        <v>3.9</v>
      </c>
      <c r="Q368" s="202">
        <f t="shared" si="11"/>
        <v>4.9458333333333329</v>
      </c>
      <c r="R368" s="202" t="s">
        <v>984</v>
      </c>
    </row>
    <row r="369" spans="1:18" x14ac:dyDescent="0.15">
      <c r="A369" s="202" t="str">
        <f t="shared" si="10"/>
        <v>Pachuca de Soto_Optimal Summer_247.5</v>
      </c>
      <c r="B369" s="202" t="s">
        <v>1032</v>
      </c>
      <c r="C369" s="202">
        <v>5</v>
      </c>
      <c r="D369" s="202">
        <v>247.5</v>
      </c>
      <c r="E369" s="202">
        <v>3.84</v>
      </c>
      <c r="F369" s="202">
        <v>4.5199999999999996</v>
      </c>
      <c r="G369" s="202">
        <v>5.18</v>
      </c>
      <c r="H369" s="202">
        <v>5.31</v>
      </c>
      <c r="I369" s="202">
        <v>5.4</v>
      </c>
      <c r="J369" s="202">
        <v>5.03</v>
      </c>
      <c r="K369" s="202">
        <v>4.88</v>
      </c>
      <c r="L369" s="202">
        <v>4.7300000000000004</v>
      </c>
      <c r="M369" s="202">
        <v>4.1500000000000004</v>
      </c>
      <c r="N369" s="202">
        <v>4.04</v>
      </c>
      <c r="O369" s="202">
        <v>3.99</v>
      </c>
      <c r="P369" s="202">
        <v>3.6</v>
      </c>
      <c r="Q369" s="202">
        <f t="shared" si="11"/>
        <v>4.5558333333333332</v>
      </c>
      <c r="R369" s="202" t="s">
        <v>984</v>
      </c>
    </row>
    <row r="370" spans="1:18" x14ac:dyDescent="0.15">
      <c r="A370" s="202" t="str">
        <f t="shared" si="10"/>
        <v>Pachuca de Soto_Optimal Summer_270</v>
      </c>
      <c r="B370" s="202" t="s">
        <v>1032</v>
      </c>
      <c r="C370" s="202">
        <v>5</v>
      </c>
      <c r="D370" s="202">
        <v>270</v>
      </c>
      <c r="E370" s="202">
        <v>3.51</v>
      </c>
      <c r="F370" s="202">
        <v>4.1399999999999997</v>
      </c>
      <c r="G370" s="202">
        <v>4.74</v>
      </c>
      <c r="H370" s="202">
        <v>4.8600000000000003</v>
      </c>
      <c r="I370" s="202">
        <v>4.9400000000000004</v>
      </c>
      <c r="J370" s="202">
        <v>4.5999999999999996</v>
      </c>
      <c r="K370" s="202">
        <v>4.46</v>
      </c>
      <c r="L370" s="202">
        <v>4.33</v>
      </c>
      <c r="M370" s="202">
        <v>3.79</v>
      </c>
      <c r="N370" s="202">
        <v>3.7</v>
      </c>
      <c r="O370" s="202">
        <v>3.65</v>
      </c>
      <c r="P370" s="202">
        <v>3.29</v>
      </c>
      <c r="Q370" s="202">
        <f t="shared" si="11"/>
        <v>4.1674999999999995</v>
      </c>
      <c r="R370" s="202" t="s">
        <v>984</v>
      </c>
    </row>
    <row r="371" spans="1:18" x14ac:dyDescent="0.15">
      <c r="A371" s="202" t="str">
        <f t="shared" si="10"/>
        <v>Pachuca de Soto_Optimal Year Round_90</v>
      </c>
      <c r="B371" s="202" t="s">
        <v>1032</v>
      </c>
      <c r="C371" s="202">
        <v>20</v>
      </c>
      <c r="D371" s="202">
        <v>90</v>
      </c>
      <c r="E371" s="202">
        <v>3.99</v>
      </c>
      <c r="F371" s="202">
        <v>4.51</v>
      </c>
      <c r="G371" s="202">
        <v>4.9000000000000004</v>
      </c>
      <c r="H371" s="202">
        <v>4.76</v>
      </c>
      <c r="I371" s="202">
        <v>4.63</v>
      </c>
      <c r="J371" s="202">
        <v>4.5599999999999996</v>
      </c>
      <c r="K371" s="202">
        <v>4.41</v>
      </c>
      <c r="L371" s="202">
        <v>4.18</v>
      </c>
      <c r="M371" s="202">
        <v>3.81</v>
      </c>
      <c r="N371" s="202">
        <v>3.91</v>
      </c>
      <c r="O371" s="202">
        <v>4.0999999999999996</v>
      </c>
      <c r="P371" s="202">
        <v>3.76</v>
      </c>
      <c r="Q371" s="202">
        <f t="shared" si="11"/>
        <v>4.293333333333333</v>
      </c>
      <c r="R371" s="202" t="s">
        <v>1019</v>
      </c>
    </row>
    <row r="372" spans="1:18" x14ac:dyDescent="0.15">
      <c r="A372" s="202" t="str">
        <f t="shared" si="10"/>
        <v>Pachuca de Soto_Optimal Year Round_112.5</v>
      </c>
      <c r="B372" s="202" t="s">
        <v>1032</v>
      </c>
      <c r="C372" s="202">
        <v>20</v>
      </c>
      <c r="D372" s="202">
        <v>112.5</v>
      </c>
      <c r="E372" s="202">
        <v>4.37</v>
      </c>
      <c r="F372" s="202">
        <v>4.9400000000000004</v>
      </c>
      <c r="G372" s="202">
        <v>5.36</v>
      </c>
      <c r="H372" s="202">
        <v>5.21</v>
      </c>
      <c r="I372" s="202">
        <v>5.07</v>
      </c>
      <c r="J372" s="202">
        <v>4.99</v>
      </c>
      <c r="K372" s="202">
        <v>4.82</v>
      </c>
      <c r="L372" s="202">
        <v>4.58</v>
      </c>
      <c r="M372" s="202">
        <v>4.16</v>
      </c>
      <c r="N372" s="202">
        <v>4.28</v>
      </c>
      <c r="O372" s="202">
        <v>4.4800000000000004</v>
      </c>
      <c r="P372" s="202">
        <v>4.1100000000000003</v>
      </c>
      <c r="Q372" s="202">
        <f t="shared" si="11"/>
        <v>4.6975000000000007</v>
      </c>
      <c r="R372" s="202" t="s">
        <v>1019</v>
      </c>
    </row>
    <row r="373" spans="1:18" x14ac:dyDescent="0.15">
      <c r="A373" s="202" t="str">
        <f t="shared" si="10"/>
        <v>Pachuca de Soto_Optimal Year Round_135</v>
      </c>
      <c r="B373" s="202" t="s">
        <v>1032</v>
      </c>
      <c r="C373" s="202">
        <v>20</v>
      </c>
      <c r="D373" s="202">
        <v>135</v>
      </c>
      <c r="E373" s="202">
        <v>4.74</v>
      </c>
      <c r="F373" s="202">
        <v>5.36</v>
      </c>
      <c r="G373" s="202">
        <v>5.81</v>
      </c>
      <c r="H373" s="202">
        <v>5.65</v>
      </c>
      <c r="I373" s="202">
        <v>5.5</v>
      </c>
      <c r="J373" s="202">
        <v>5.42</v>
      </c>
      <c r="K373" s="202">
        <v>5.23</v>
      </c>
      <c r="L373" s="202">
        <v>4.97</v>
      </c>
      <c r="M373" s="202">
        <v>4.5199999999999996</v>
      </c>
      <c r="N373" s="202">
        <v>4.6500000000000004</v>
      </c>
      <c r="O373" s="202">
        <v>4.8600000000000003</v>
      </c>
      <c r="P373" s="202">
        <v>4.46</v>
      </c>
      <c r="Q373" s="202">
        <f t="shared" si="11"/>
        <v>5.0975000000000001</v>
      </c>
      <c r="R373" s="202" t="s">
        <v>1019</v>
      </c>
    </row>
    <row r="374" spans="1:18" x14ac:dyDescent="0.15">
      <c r="A374" s="202" t="str">
        <f t="shared" si="10"/>
        <v>Pachuca de Soto_Optimal Year Round_157.5</v>
      </c>
      <c r="B374" s="202" t="s">
        <v>1032</v>
      </c>
      <c r="C374" s="202">
        <v>20</v>
      </c>
      <c r="D374" s="202">
        <v>157.5</v>
      </c>
      <c r="E374" s="202">
        <v>4.87</v>
      </c>
      <c r="F374" s="202">
        <v>5.5</v>
      </c>
      <c r="G374" s="202">
        <v>5.97</v>
      </c>
      <c r="H374" s="202">
        <v>5.8</v>
      </c>
      <c r="I374" s="202">
        <v>5.65</v>
      </c>
      <c r="J374" s="202">
        <v>5.56</v>
      </c>
      <c r="K374" s="202">
        <v>5.37</v>
      </c>
      <c r="L374" s="202">
        <v>5.0999999999999996</v>
      </c>
      <c r="M374" s="202">
        <v>4.6399999999999997</v>
      </c>
      <c r="N374" s="202">
        <v>4.7699999999999996</v>
      </c>
      <c r="O374" s="202">
        <v>4.99</v>
      </c>
      <c r="P374" s="202">
        <v>4.58</v>
      </c>
      <c r="Q374" s="202">
        <f t="shared" si="11"/>
        <v>5.2333333333333334</v>
      </c>
      <c r="R374" s="202" t="s">
        <v>1019</v>
      </c>
    </row>
    <row r="375" spans="1:18" x14ac:dyDescent="0.15">
      <c r="A375" s="202" t="str">
        <f t="shared" si="10"/>
        <v>Pachuca de Soto_Optimal Year Round_180</v>
      </c>
      <c r="B375" s="202" t="s">
        <v>1032</v>
      </c>
      <c r="C375" s="202">
        <v>20</v>
      </c>
      <c r="D375" s="202">
        <v>180</v>
      </c>
      <c r="E375" s="202">
        <v>4.99</v>
      </c>
      <c r="F375" s="202">
        <v>5.64</v>
      </c>
      <c r="G375" s="202">
        <v>6.12</v>
      </c>
      <c r="H375" s="202">
        <v>5.95</v>
      </c>
      <c r="I375" s="202">
        <v>5.79</v>
      </c>
      <c r="J375" s="202">
        <v>5.7</v>
      </c>
      <c r="K375" s="202">
        <v>5.51</v>
      </c>
      <c r="L375" s="202">
        <v>5.23</v>
      </c>
      <c r="M375" s="202">
        <v>4.76</v>
      </c>
      <c r="N375" s="202">
        <v>4.8899999999999997</v>
      </c>
      <c r="O375" s="202">
        <v>5.12</v>
      </c>
      <c r="P375" s="202">
        <v>4.7</v>
      </c>
      <c r="Q375" s="202">
        <f t="shared" si="11"/>
        <v>5.3666666666666663</v>
      </c>
      <c r="R375" s="202" t="s">
        <v>1019</v>
      </c>
    </row>
    <row r="376" spans="1:18" x14ac:dyDescent="0.15">
      <c r="A376" s="202" t="str">
        <f t="shared" si="10"/>
        <v>Pachuca de Soto_Optimal Year Round_202.5</v>
      </c>
      <c r="B376" s="202" t="s">
        <v>1032</v>
      </c>
      <c r="C376" s="202">
        <v>20</v>
      </c>
      <c r="D376" s="202">
        <v>202.5</v>
      </c>
      <c r="E376" s="202">
        <v>4.87</v>
      </c>
      <c r="F376" s="202">
        <v>5.5</v>
      </c>
      <c r="G376" s="202">
        <v>5.97</v>
      </c>
      <c r="H376" s="202">
        <v>5.8</v>
      </c>
      <c r="I376" s="202">
        <v>5.65</v>
      </c>
      <c r="J376" s="202">
        <v>5.56</v>
      </c>
      <c r="K376" s="202">
        <v>5.37</v>
      </c>
      <c r="L376" s="202">
        <v>5.0999999999999996</v>
      </c>
      <c r="M376" s="202">
        <v>4.6399999999999997</v>
      </c>
      <c r="N376" s="202">
        <v>4.7699999999999996</v>
      </c>
      <c r="O376" s="202">
        <v>4.99</v>
      </c>
      <c r="P376" s="202">
        <v>4.58</v>
      </c>
      <c r="Q376" s="202">
        <f t="shared" si="11"/>
        <v>5.2333333333333334</v>
      </c>
      <c r="R376" s="202" t="s">
        <v>1019</v>
      </c>
    </row>
    <row r="377" spans="1:18" x14ac:dyDescent="0.15">
      <c r="A377" s="202" t="str">
        <f t="shared" si="10"/>
        <v>Pachuca de Soto_Optimal Year Round_225</v>
      </c>
      <c r="B377" s="202" t="s">
        <v>1032</v>
      </c>
      <c r="C377" s="202">
        <v>20</v>
      </c>
      <c r="D377" s="202">
        <v>225</v>
      </c>
      <c r="E377" s="202">
        <v>4.74</v>
      </c>
      <c r="F377" s="202">
        <v>5.36</v>
      </c>
      <c r="G377" s="202">
        <v>5.81</v>
      </c>
      <c r="H377" s="202">
        <v>5.65</v>
      </c>
      <c r="I377" s="202">
        <v>5.5</v>
      </c>
      <c r="J377" s="202">
        <v>5.42</v>
      </c>
      <c r="K377" s="202">
        <v>5.23</v>
      </c>
      <c r="L377" s="202">
        <v>4.97</v>
      </c>
      <c r="M377" s="202">
        <v>4.5199999999999996</v>
      </c>
      <c r="N377" s="202">
        <v>4.6500000000000004</v>
      </c>
      <c r="O377" s="202">
        <v>4.8600000000000003</v>
      </c>
      <c r="P377" s="202">
        <v>4.46</v>
      </c>
      <c r="Q377" s="202">
        <f t="shared" si="11"/>
        <v>5.0975000000000001</v>
      </c>
      <c r="R377" s="202" t="s">
        <v>1019</v>
      </c>
    </row>
    <row r="378" spans="1:18" x14ac:dyDescent="0.15">
      <c r="A378" s="202" t="str">
        <f t="shared" si="10"/>
        <v>Pachuca de Soto_Optimal Year Round_247.5</v>
      </c>
      <c r="B378" s="202" t="s">
        <v>1032</v>
      </c>
      <c r="C378" s="202">
        <v>20</v>
      </c>
      <c r="D378" s="202">
        <v>247.5</v>
      </c>
      <c r="E378" s="202">
        <v>4.37</v>
      </c>
      <c r="F378" s="202">
        <v>4.9400000000000004</v>
      </c>
      <c r="G378" s="202">
        <v>5.36</v>
      </c>
      <c r="H378" s="202">
        <v>5.21</v>
      </c>
      <c r="I378" s="202">
        <v>5.07</v>
      </c>
      <c r="J378" s="202">
        <v>4.99</v>
      </c>
      <c r="K378" s="202">
        <v>4.82</v>
      </c>
      <c r="L378" s="202">
        <v>4.58</v>
      </c>
      <c r="M378" s="202">
        <v>4.16</v>
      </c>
      <c r="N378" s="202">
        <v>4.28</v>
      </c>
      <c r="O378" s="202">
        <v>4.4800000000000004</v>
      </c>
      <c r="P378" s="202">
        <v>4.1100000000000003</v>
      </c>
      <c r="Q378" s="202">
        <f t="shared" si="11"/>
        <v>4.6975000000000007</v>
      </c>
      <c r="R378" s="202" t="s">
        <v>1019</v>
      </c>
    </row>
    <row r="379" spans="1:18" x14ac:dyDescent="0.15">
      <c r="A379" s="202" t="str">
        <f t="shared" si="10"/>
        <v>Pachuca de Soto_Optimal Year Round_270</v>
      </c>
      <c r="B379" s="202" t="s">
        <v>1032</v>
      </c>
      <c r="C379" s="202">
        <v>20</v>
      </c>
      <c r="D379" s="202">
        <v>270</v>
      </c>
      <c r="E379" s="202">
        <v>3.99</v>
      </c>
      <c r="F379" s="202">
        <v>4.51</v>
      </c>
      <c r="G379" s="202">
        <v>4.9000000000000004</v>
      </c>
      <c r="H379" s="202">
        <v>4.76</v>
      </c>
      <c r="I379" s="202">
        <v>4.63</v>
      </c>
      <c r="J379" s="202">
        <v>4.5599999999999996</v>
      </c>
      <c r="K379" s="202">
        <v>4.41</v>
      </c>
      <c r="L379" s="202">
        <v>4.18</v>
      </c>
      <c r="M379" s="202">
        <v>3.81</v>
      </c>
      <c r="N379" s="202">
        <v>3.91</v>
      </c>
      <c r="O379" s="202">
        <v>4.0999999999999996</v>
      </c>
      <c r="P379" s="202">
        <v>3.76</v>
      </c>
      <c r="Q379" s="202">
        <f t="shared" si="11"/>
        <v>4.293333333333333</v>
      </c>
      <c r="R379" s="202" t="s">
        <v>1019</v>
      </c>
    </row>
    <row r="380" spans="1:18" x14ac:dyDescent="0.15">
      <c r="A380" s="202" t="str">
        <f t="shared" si="10"/>
        <v>Puebla_Flat Surface_90</v>
      </c>
      <c r="B380" s="495" t="s">
        <v>677</v>
      </c>
      <c r="C380" s="495">
        <v>0</v>
      </c>
      <c r="D380" s="495">
        <v>90</v>
      </c>
      <c r="E380" s="497">
        <v>4.6900000000000004</v>
      </c>
      <c r="F380" s="497">
        <v>5.45</v>
      </c>
      <c r="G380" s="497">
        <v>6.13</v>
      </c>
      <c r="H380" s="497">
        <v>6.1</v>
      </c>
      <c r="I380" s="497">
        <v>6.07</v>
      </c>
      <c r="J380" s="497">
        <v>5.61</v>
      </c>
      <c r="K380" s="497">
        <v>5.64</v>
      </c>
      <c r="L380" s="497">
        <v>5.46</v>
      </c>
      <c r="M380" s="497">
        <v>4.88</v>
      </c>
      <c r="N380" s="497">
        <v>4.8899999999999997</v>
      </c>
      <c r="O380" s="497">
        <v>4.75</v>
      </c>
      <c r="P380" s="497">
        <v>4.33</v>
      </c>
      <c r="Q380" s="202">
        <f t="shared" si="11"/>
        <v>5.333333333333333</v>
      </c>
      <c r="R380" s="202" t="s">
        <v>1020</v>
      </c>
    </row>
    <row r="381" spans="1:18" x14ac:dyDescent="0.15">
      <c r="A381" s="202" t="str">
        <f t="shared" si="10"/>
        <v>Puebla_Flat Surface_112.5</v>
      </c>
      <c r="B381" s="495" t="s">
        <v>677</v>
      </c>
      <c r="C381" s="495">
        <v>0</v>
      </c>
      <c r="D381" s="495">
        <v>112.5</v>
      </c>
      <c r="E381" s="497">
        <v>4.6900000000000004</v>
      </c>
      <c r="F381" s="497">
        <v>5.45</v>
      </c>
      <c r="G381" s="497">
        <v>6.13</v>
      </c>
      <c r="H381" s="497">
        <v>6.1</v>
      </c>
      <c r="I381" s="497">
        <v>6.07</v>
      </c>
      <c r="J381" s="497">
        <v>5.61</v>
      </c>
      <c r="K381" s="497">
        <v>5.64</v>
      </c>
      <c r="L381" s="497">
        <v>5.46</v>
      </c>
      <c r="M381" s="497">
        <v>4.88</v>
      </c>
      <c r="N381" s="497">
        <v>4.8899999999999997</v>
      </c>
      <c r="O381" s="497">
        <v>4.75</v>
      </c>
      <c r="P381" s="497">
        <v>4.33</v>
      </c>
      <c r="Q381" s="202">
        <f t="shared" si="11"/>
        <v>5.333333333333333</v>
      </c>
      <c r="R381" s="202" t="s">
        <v>1020</v>
      </c>
    </row>
    <row r="382" spans="1:18" x14ac:dyDescent="0.15">
      <c r="A382" s="202" t="str">
        <f t="shared" si="10"/>
        <v>Puebla_Flat Surface_135</v>
      </c>
      <c r="B382" s="495" t="s">
        <v>677</v>
      </c>
      <c r="C382" s="495">
        <v>0</v>
      </c>
      <c r="D382" s="495">
        <v>135</v>
      </c>
      <c r="E382" s="497">
        <v>4.6900000000000004</v>
      </c>
      <c r="F382" s="497">
        <v>5.45</v>
      </c>
      <c r="G382" s="497">
        <v>6.13</v>
      </c>
      <c r="H382" s="497">
        <v>6.1</v>
      </c>
      <c r="I382" s="497">
        <v>6.07</v>
      </c>
      <c r="J382" s="497">
        <v>5.61</v>
      </c>
      <c r="K382" s="497">
        <v>5.64</v>
      </c>
      <c r="L382" s="497">
        <v>5.46</v>
      </c>
      <c r="M382" s="497">
        <v>4.88</v>
      </c>
      <c r="N382" s="497">
        <v>4.8899999999999997</v>
      </c>
      <c r="O382" s="497">
        <v>4.75</v>
      </c>
      <c r="P382" s="497">
        <v>4.33</v>
      </c>
      <c r="Q382" s="202">
        <f t="shared" si="11"/>
        <v>5.333333333333333</v>
      </c>
      <c r="R382" s="202" t="s">
        <v>1020</v>
      </c>
    </row>
    <row r="383" spans="1:18" x14ac:dyDescent="0.15">
      <c r="A383" s="202" t="str">
        <f t="shared" si="10"/>
        <v>Puebla_Flat Surface_157.5</v>
      </c>
      <c r="B383" s="495" t="s">
        <v>677</v>
      </c>
      <c r="C383" s="495">
        <v>0</v>
      </c>
      <c r="D383" s="495">
        <v>157.5</v>
      </c>
      <c r="E383" s="497">
        <v>4.6900000000000004</v>
      </c>
      <c r="F383" s="497">
        <v>5.45</v>
      </c>
      <c r="G383" s="497">
        <v>6.13</v>
      </c>
      <c r="H383" s="497">
        <v>6.1</v>
      </c>
      <c r="I383" s="497">
        <v>6.07</v>
      </c>
      <c r="J383" s="497">
        <v>5.61</v>
      </c>
      <c r="K383" s="497">
        <v>5.64</v>
      </c>
      <c r="L383" s="497">
        <v>5.46</v>
      </c>
      <c r="M383" s="497">
        <v>4.88</v>
      </c>
      <c r="N383" s="497">
        <v>4.8899999999999997</v>
      </c>
      <c r="O383" s="497">
        <v>4.75</v>
      </c>
      <c r="P383" s="497">
        <v>4.33</v>
      </c>
      <c r="Q383" s="202">
        <f t="shared" si="11"/>
        <v>5.333333333333333</v>
      </c>
      <c r="R383" s="202" t="s">
        <v>1020</v>
      </c>
    </row>
    <row r="384" spans="1:18" x14ac:dyDescent="0.15">
      <c r="A384" s="202" t="str">
        <f t="shared" si="10"/>
        <v>Puebla_Flat Surface_180</v>
      </c>
      <c r="B384" s="495" t="s">
        <v>677</v>
      </c>
      <c r="C384" s="495">
        <v>0</v>
      </c>
      <c r="D384" s="495">
        <v>180</v>
      </c>
      <c r="E384" s="497">
        <v>4.6900000000000004</v>
      </c>
      <c r="F384" s="497">
        <v>5.45</v>
      </c>
      <c r="G384" s="497">
        <v>6.13</v>
      </c>
      <c r="H384" s="497">
        <v>6.1</v>
      </c>
      <c r="I384" s="497">
        <v>6.07</v>
      </c>
      <c r="J384" s="497">
        <v>5.61</v>
      </c>
      <c r="K384" s="497">
        <v>5.64</v>
      </c>
      <c r="L384" s="497">
        <v>5.46</v>
      </c>
      <c r="M384" s="497">
        <v>4.88</v>
      </c>
      <c r="N384" s="497">
        <v>4.8899999999999997</v>
      </c>
      <c r="O384" s="497">
        <v>4.75</v>
      </c>
      <c r="P384" s="497">
        <v>4.33</v>
      </c>
      <c r="Q384" s="202">
        <f t="shared" si="11"/>
        <v>5.333333333333333</v>
      </c>
      <c r="R384" s="202" t="s">
        <v>1020</v>
      </c>
    </row>
    <row r="385" spans="1:18" x14ac:dyDescent="0.15">
      <c r="A385" s="202" t="str">
        <f t="shared" si="10"/>
        <v>Puebla_Flat Surface_202.5</v>
      </c>
      <c r="B385" s="495" t="s">
        <v>677</v>
      </c>
      <c r="C385" s="495">
        <v>0</v>
      </c>
      <c r="D385" s="495">
        <v>202.5</v>
      </c>
      <c r="E385" s="497">
        <v>4.6900000000000004</v>
      </c>
      <c r="F385" s="497">
        <v>5.45</v>
      </c>
      <c r="G385" s="497">
        <v>6.13</v>
      </c>
      <c r="H385" s="497">
        <v>6.1</v>
      </c>
      <c r="I385" s="497">
        <v>6.07</v>
      </c>
      <c r="J385" s="497">
        <v>5.61</v>
      </c>
      <c r="K385" s="497">
        <v>5.64</v>
      </c>
      <c r="L385" s="497">
        <v>5.46</v>
      </c>
      <c r="M385" s="497">
        <v>4.88</v>
      </c>
      <c r="N385" s="497">
        <v>4.8899999999999997</v>
      </c>
      <c r="O385" s="497">
        <v>4.75</v>
      </c>
      <c r="P385" s="497">
        <v>4.33</v>
      </c>
      <c r="Q385" s="202">
        <f t="shared" si="11"/>
        <v>5.333333333333333</v>
      </c>
      <c r="R385" s="202" t="s">
        <v>1020</v>
      </c>
    </row>
    <row r="386" spans="1:18" x14ac:dyDescent="0.15">
      <c r="A386" s="202" t="str">
        <f t="shared" ref="A386:A449" si="12">B386&amp;"_"&amp;R386&amp;"_"&amp;D386</f>
        <v>Puebla_Flat Surface_225</v>
      </c>
      <c r="B386" s="495" t="s">
        <v>677</v>
      </c>
      <c r="C386" s="495">
        <v>0</v>
      </c>
      <c r="D386" s="495">
        <v>225</v>
      </c>
      <c r="E386" s="497">
        <v>4.6900000000000004</v>
      </c>
      <c r="F386" s="497">
        <v>5.45</v>
      </c>
      <c r="G386" s="497">
        <v>6.13</v>
      </c>
      <c r="H386" s="497">
        <v>6.1</v>
      </c>
      <c r="I386" s="497">
        <v>6.07</v>
      </c>
      <c r="J386" s="497">
        <v>5.61</v>
      </c>
      <c r="K386" s="497">
        <v>5.64</v>
      </c>
      <c r="L386" s="497">
        <v>5.46</v>
      </c>
      <c r="M386" s="497">
        <v>4.88</v>
      </c>
      <c r="N386" s="497">
        <v>4.8899999999999997</v>
      </c>
      <c r="O386" s="497">
        <v>4.75</v>
      </c>
      <c r="P386" s="497">
        <v>4.33</v>
      </c>
      <c r="Q386" s="202">
        <f t="shared" ref="Q386:Q449" si="13">AVERAGE(E386:P386)</f>
        <v>5.333333333333333</v>
      </c>
      <c r="R386" s="202" t="s">
        <v>1020</v>
      </c>
    </row>
    <row r="387" spans="1:18" x14ac:dyDescent="0.15">
      <c r="A387" s="202" t="str">
        <f t="shared" si="12"/>
        <v>Puebla_Flat Surface_247.5</v>
      </c>
      <c r="B387" s="495" t="s">
        <v>677</v>
      </c>
      <c r="C387" s="495">
        <v>0</v>
      </c>
      <c r="D387" s="495">
        <v>247.5</v>
      </c>
      <c r="E387" s="497">
        <v>4.6900000000000004</v>
      </c>
      <c r="F387" s="497">
        <v>5.45</v>
      </c>
      <c r="G387" s="497">
        <v>6.13</v>
      </c>
      <c r="H387" s="497">
        <v>6.1</v>
      </c>
      <c r="I387" s="497">
        <v>6.07</v>
      </c>
      <c r="J387" s="497">
        <v>5.61</v>
      </c>
      <c r="K387" s="497">
        <v>5.64</v>
      </c>
      <c r="L387" s="497">
        <v>5.46</v>
      </c>
      <c r="M387" s="497">
        <v>4.88</v>
      </c>
      <c r="N387" s="497">
        <v>4.8899999999999997</v>
      </c>
      <c r="O387" s="497">
        <v>4.75</v>
      </c>
      <c r="P387" s="497">
        <v>4.33</v>
      </c>
      <c r="Q387" s="202">
        <f t="shared" si="13"/>
        <v>5.333333333333333</v>
      </c>
      <c r="R387" s="202" t="s">
        <v>1020</v>
      </c>
    </row>
    <row r="388" spans="1:18" x14ac:dyDescent="0.15">
      <c r="A388" s="202" t="str">
        <f t="shared" si="12"/>
        <v>Puebla_Flat Surface_270</v>
      </c>
      <c r="B388" s="495" t="s">
        <v>677</v>
      </c>
      <c r="C388" s="495">
        <v>0</v>
      </c>
      <c r="D388" s="495">
        <v>270</v>
      </c>
      <c r="E388" s="497">
        <v>4.6900000000000004</v>
      </c>
      <c r="F388" s="497">
        <v>5.45</v>
      </c>
      <c r="G388" s="497">
        <v>6.13</v>
      </c>
      <c r="H388" s="497">
        <v>6.1</v>
      </c>
      <c r="I388" s="497">
        <v>6.07</v>
      </c>
      <c r="J388" s="497">
        <v>5.61</v>
      </c>
      <c r="K388" s="497">
        <v>5.64</v>
      </c>
      <c r="L388" s="497">
        <v>5.46</v>
      </c>
      <c r="M388" s="497">
        <v>4.88</v>
      </c>
      <c r="N388" s="497">
        <v>4.8899999999999997</v>
      </c>
      <c r="O388" s="497">
        <v>4.75</v>
      </c>
      <c r="P388" s="497">
        <v>4.33</v>
      </c>
      <c r="Q388" s="202">
        <f t="shared" si="13"/>
        <v>5.333333333333333</v>
      </c>
      <c r="R388" s="202" t="s">
        <v>1020</v>
      </c>
    </row>
    <row r="389" spans="1:18" x14ac:dyDescent="0.15">
      <c r="A389" s="202" t="str">
        <f t="shared" si="12"/>
        <v>Puebla_Optimal Summer_90</v>
      </c>
      <c r="B389" s="495" t="s">
        <v>677</v>
      </c>
      <c r="C389" s="495">
        <v>4</v>
      </c>
      <c r="D389" s="495">
        <v>90</v>
      </c>
      <c r="E389" s="497">
        <v>3.95</v>
      </c>
      <c r="F389" s="497">
        <v>4.5199999999999996</v>
      </c>
      <c r="G389" s="497">
        <v>4.99</v>
      </c>
      <c r="H389" s="497">
        <v>4.9000000000000004</v>
      </c>
      <c r="I389" s="497">
        <v>4.82</v>
      </c>
      <c r="J389" s="497">
        <v>4.5199999999999996</v>
      </c>
      <c r="K389" s="497">
        <v>4.54</v>
      </c>
      <c r="L389" s="497">
        <v>4.3600000000000003</v>
      </c>
      <c r="M389" s="497">
        <v>3.94</v>
      </c>
      <c r="N389" s="497">
        <v>4.0199999999999996</v>
      </c>
      <c r="O389" s="497">
        <v>3.98</v>
      </c>
      <c r="P389" s="497">
        <v>3.66</v>
      </c>
      <c r="Q389" s="202">
        <f t="shared" si="13"/>
        <v>4.3500000000000005</v>
      </c>
      <c r="R389" s="202" t="s">
        <v>984</v>
      </c>
    </row>
    <row r="390" spans="1:18" x14ac:dyDescent="0.15">
      <c r="A390" s="202" t="str">
        <f t="shared" si="12"/>
        <v>Puebla_Optimal Summer_112.5</v>
      </c>
      <c r="B390" s="495" t="s">
        <v>677</v>
      </c>
      <c r="C390" s="495">
        <v>4</v>
      </c>
      <c r="D390" s="495">
        <v>112.5</v>
      </c>
      <c r="E390" s="497">
        <v>4.32</v>
      </c>
      <c r="F390" s="497">
        <v>4.9400000000000004</v>
      </c>
      <c r="G390" s="497">
        <v>5.46</v>
      </c>
      <c r="H390" s="497">
        <v>5.36</v>
      </c>
      <c r="I390" s="497">
        <v>5.28</v>
      </c>
      <c r="J390" s="497">
        <v>4.9400000000000004</v>
      </c>
      <c r="K390" s="497">
        <v>4.96</v>
      </c>
      <c r="L390" s="497">
        <v>4.7699999999999996</v>
      </c>
      <c r="M390" s="497">
        <v>4.3099999999999996</v>
      </c>
      <c r="N390" s="497">
        <v>4.3899999999999997</v>
      </c>
      <c r="O390" s="497">
        <v>4.3600000000000003</v>
      </c>
      <c r="P390" s="497">
        <v>4</v>
      </c>
      <c r="Q390" s="202">
        <f t="shared" si="13"/>
        <v>4.7575000000000003</v>
      </c>
      <c r="R390" s="202" t="s">
        <v>984</v>
      </c>
    </row>
    <row r="391" spans="1:18" x14ac:dyDescent="0.15">
      <c r="A391" s="202" t="str">
        <f t="shared" si="12"/>
        <v>Puebla_Optimal Summer_135</v>
      </c>
      <c r="B391" s="495" t="s">
        <v>677</v>
      </c>
      <c r="C391" s="495">
        <v>4</v>
      </c>
      <c r="D391" s="495">
        <v>135</v>
      </c>
      <c r="E391" s="497">
        <v>4.6900000000000004</v>
      </c>
      <c r="F391" s="497">
        <v>5.37</v>
      </c>
      <c r="G391" s="497">
        <v>5.93</v>
      </c>
      <c r="H391" s="497">
        <v>5.81</v>
      </c>
      <c r="I391" s="497">
        <v>5.73</v>
      </c>
      <c r="J391" s="497">
        <v>5.3</v>
      </c>
      <c r="K391" s="497">
        <v>5.39</v>
      </c>
      <c r="L391" s="497">
        <v>5.18</v>
      </c>
      <c r="M391" s="497">
        <v>4.68</v>
      </c>
      <c r="N391" s="497">
        <v>4.7699999999999996</v>
      </c>
      <c r="O391" s="497">
        <v>4.7300000000000004</v>
      </c>
      <c r="P391" s="497">
        <v>4.34</v>
      </c>
      <c r="Q391" s="202">
        <f t="shared" si="13"/>
        <v>5.16</v>
      </c>
      <c r="R391" s="202" t="s">
        <v>984</v>
      </c>
    </row>
    <row r="392" spans="1:18" x14ac:dyDescent="0.15">
      <c r="A392" s="202" t="str">
        <f t="shared" si="12"/>
        <v>Puebla_Optimal Summer_157.5</v>
      </c>
      <c r="B392" s="495" t="s">
        <v>677</v>
      </c>
      <c r="C392" s="495">
        <v>4</v>
      </c>
      <c r="D392" s="495">
        <v>157.5</v>
      </c>
      <c r="E392" s="497">
        <v>4.82</v>
      </c>
      <c r="F392" s="497">
        <v>5.51</v>
      </c>
      <c r="G392" s="497">
        <v>6.08</v>
      </c>
      <c r="H392" s="497">
        <v>5.97</v>
      </c>
      <c r="I392" s="497">
        <v>5.88</v>
      </c>
      <c r="J392" s="497">
        <v>5.51</v>
      </c>
      <c r="K392" s="497">
        <v>5.53</v>
      </c>
      <c r="L392" s="497">
        <v>5.31</v>
      </c>
      <c r="M392" s="497">
        <v>4.8099999999999996</v>
      </c>
      <c r="N392" s="497">
        <v>4.8899999999999997</v>
      </c>
      <c r="O392" s="497">
        <v>4.8600000000000003</v>
      </c>
      <c r="P392" s="497">
        <v>4.46</v>
      </c>
      <c r="Q392" s="202">
        <f t="shared" si="13"/>
        <v>5.3025000000000002</v>
      </c>
      <c r="R392" s="202" t="s">
        <v>984</v>
      </c>
    </row>
    <row r="393" spans="1:18" x14ac:dyDescent="0.15">
      <c r="A393" s="202" t="str">
        <f t="shared" si="12"/>
        <v>Puebla_Optimal Summer_180</v>
      </c>
      <c r="B393" s="495" t="s">
        <v>677</v>
      </c>
      <c r="C393" s="495">
        <v>4</v>
      </c>
      <c r="D393" s="495">
        <v>180</v>
      </c>
      <c r="E393" s="497">
        <v>4.9400000000000004</v>
      </c>
      <c r="F393" s="497">
        <v>5.65</v>
      </c>
      <c r="G393" s="497">
        <v>6.24</v>
      </c>
      <c r="H393" s="497">
        <v>6.12</v>
      </c>
      <c r="I393" s="497">
        <v>6.03</v>
      </c>
      <c r="J393" s="497">
        <v>5.65</v>
      </c>
      <c r="K393" s="497">
        <v>5.67</v>
      </c>
      <c r="L393" s="497">
        <v>5.45</v>
      </c>
      <c r="M393" s="497">
        <v>4.93</v>
      </c>
      <c r="N393" s="497">
        <v>5.0199999999999996</v>
      </c>
      <c r="O393" s="497">
        <v>4.9800000000000004</v>
      </c>
      <c r="P393" s="497">
        <v>4.57</v>
      </c>
      <c r="Q393" s="202">
        <f t="shared" si="13"/>
        <v>5.4375</v>
      </c>
      <c r="R393" s="202" t="s">
        <v>984</v>
      </c>
    </row>
    <row r="394" spans="1:18" x14ac:dyDescent="0.15">
      <c r="A394" s="202" t="str">
        <f t="shared" si="12"/>
        <v>Puebla_Optimal Summer_202.5</v>
      </c>
      <c r="B394" s="495" t="s">
        <v>677</v>
      </c>
      <c r="C394" s="495">
        <v>4</v>
      </c>
      <c r="D394" s="495">
        <v>202.5</v>
      </c>
      <c r="E394" s="497">
        <v>4.82</v>
      </c>
      <c r="F394" s="497">
        <v>5.51</v>
      </c>
      <c r="G394" s="497">
        <v>6.08</v>
      </c>
      <c r="H394" s="497">
        <v>5.97</v>
      </c>
      <c r="I394" s="497">
        <v>5.88</v>
      </c>
      <c r="J394" s="497">
        <v>5.51</v>
      </c>
      <c r="K394" s="497">
        <v>5.53</v>
      </c>
      <c r="L394" s="497">
        <v>5.31</v>
      </c>
      <c r="M394" s="497">
        <v>4.8099999999999996</v>
      </c>
      <c r="N394" s="497">
        <v>4.8899999999999997</v>
      </c>
      <c r="O394" s="497">
        <v>4.8600000000000003</v>
      </c>
      <c r="P394" s="497">
        <v>4.46</v>
      </c>
      <c r="Q394" s="202">
        <f t="shared" si="13"/>
        <v>5.3025000000000002</v>
      </c>
      <c r="R394" s="202" t="s">
        <v>984</v>
      </c>
    </row>
    <row r="395" spans="1:18" x14ac:dyDescent="0.15">
      <c r="A395" s="202" t="str">
        <f t="shared" si="12"/>
        <v>Puebla_Optimal Summer_225</v>
      </c>
      <c r="B395" s="495" t="s">
        <v>677</v>
      </c>
      <c r="C395" s="495">
        <v>4</v>
      </c>
      <c r="D395" s="495">
        <v>225</v>
      </c>
      <c r="E395" s="495">
        <v>4.6900000000000004</v>
      </c>
      <c r="F395" s="495">
        <v>5.37</v>
      </c>
      <c r="G395" s="495">
        <v>5.93</v>
      </c>
      <c r="H395" s="495">
        <v>5.81</v>
      </c>
      <c r="I395" s="495">
        <v>5.73</v>
      </c>
      <c r="J395" s="495">
        <v>5.3</v>
      </c>
      <c r="K395" s="495">
        <v>5.39</v>
      </c>
      <c r="L395" s="495">
        <v>5.18</v>
      </c>
      <c r="M395" s="495">
        <v>4.68</v>
      </c>
      <c r="N395" s="495">
        <v>4.7699999999999996</v>
      </c>
      <c r="O395" s="495">
        <v>4.7300000000000004</v>
      </c>
      <c r="P395" s="495">
        <v>4.34</v>
      </c>
      <c r="Q395" s="202">
        <f t="shared" si="13"/>
        <v>5.16</v>
      </c>
      <c r="R395" s="202" t="s">
        <v>984</v>
      </c>
    </row>
    <row r="396" spans="1:18" x14ac:dyDescent="0.15">
      <c r="A396" s="202" t="str">
        <f t="shared" si="12"/>
        <v>Puebla_Optimal Summer_247.5</v>
      </c>
      <c r="B396" s="495" t="s">
        <v>677</v>
      </c>
      <c r="C396" s="495">
        <v>4</v>
      </c>
      <c r="D396" s="495">
        <v>247.5</v>
      </c>
      <c r="E396" s="495">
        <v>4.32</v>
      </c>
      <c r="F396" s="495">
        <v>4.9400000000000004</v>
      </c>
      <c r="G396" s="495">
        <v>5.46</v>
      </c>
      <c r="H396" s="495">
        <v>5.36</v>
      </c>
      <c r="I396" s="495">
        <v>5.28</v>
      </c>
      <c r="J396" s="495">
        <v>4.9400000000000004</v>
      </c>
      <c r="K396" s="495">
        <v>4.96</v>
      </c>
      <c r="L396" s="495">
        <v>4.7699999999999996</v>
      </c>
      <c r="M396" s="495">
        <v>4.3099999999999996</v>
      </c>
      <c r="N396" s="495">
        <v>4.3899999999999997</v>
      </c>
      <c r="O396" s="495">
        <v>4.3600000000000003</v>
      </c>
      <c r="P396" s="495">
        <v>4</v>
      </c>
      <c r="Q396" s="202">
        <f t="shared" si="13"/>
        <v>4.7575000000000003</v>
      </c>
      <c r="R396" s="202" t="s">
        <v>984</v>
      </c>
    </row>
    <row r="397" spans="1:18" x14ac:dyDescent="0.15">
      <c r="A397" s="202" t="str">
        <f t="shared" si="12"/>
        <v>Puebla_Optimal Summer_270</v>
      </c>
      <c r="B397" s="495" t="s">
        <v>677</v>
      </c>
      <c r="C397" s="495">
        <v>4</v>
      </c>
      <c r="D397" s="495">
        <v>270</v>
      </c>
      <c r="E397" s="495">
        <v>3.95</v>
      </c>
      <c r="F397" s="495">
        <v>4.5199999999999996</v>
      </c>
      <c r="G397" s="495">
        <v>4.99</v>
      </c>
      <c r="H397" s="495">
        <v>4.9000000000000004</v>
      </c>
      <c r="I397" s="495">
        <v>4.82</v>
      </c>
      <c r="J397" s="495">
        <v>4.5199999999999996</v>
      </c>
      <c r="K397" s="495">
        <v>4.54</v>
      </c>
      <c r="L397" s="495">
        <v>4.3600000000000003</v>
      </c>
      <c r="M397" s="495">
        <v>3.94</v>
      </c>
      <c r="N397" s="495">
        <v>4.0199999999999996</v>
      </c>
      <c r="O397" s="495">
        <v>3.98</v>
      </c>
      <c r="P397" s="495">
        <v>3.66</v>
      </c>
      <c r="Q397" s="202">
        <f t="shared" si="13"/>
        <v>4.3500000000000005</v>
      </c>
      <c r="R397" s="202" t="s">
        <v>984</v>
      </c>
    </row>
    <row r="398" spans="1:18" x14ac:dyDescent="0.15">
      <c r="A398" s="202" t="str">
        <f t="shared" si="12"/>
        <v>Puebla_Optimal Year Round_90</v>
      </c>
      <c r="B398" s="495" t="s">
        <v>677</v>
      </c>
      <c r="C398" s="495">
        <v>19</v>
      </c>
      <c r="D398" s="495">
        <v>90</v>
      </c>
      <c r="E398" s="497">
        <v>4.55</v>
      </c>
      <c r="F398" s="497">
        <v>4.96</v>
      </c>
      <c r="G398" s="497">
        <v>5.18</v>
      </c>
      <c r="H398" s="497">
        <v>4.8</v>
      </c>
      <c r="I398" s="497">
        <v>4.54</v>
      </c>
      <c r="J398" s="497">
        <v>4.5</v>
      </c>
      <c r="K398" s="497">
        <v>4.5</v>
      </c>
      <c r="L398" s="497">
        <v>4.22</v>
      </c>
      <c r="M398" s="497">
        <v>3.97</v>
      </c>
      <c r="N398" s="497">
        <v>4.2699999999999996</v>
      </c>
      <c r="O398" s="497">
        <v>4.51</v>
      </c>
      <c r="P398" s="497">
        <v>4.22</v>
      </c>
      <c r="Q398" s="202">
        <f t="shared" si="13"/>
        <v>4.5183333333333326</v>
      </c>
      <c r="R398" s="202" t="s">
        <v>1019</v>
      </c>
    </row>
    <row r="399" spans="1:18" x14ac:dyDescent="0.15">
      <c r="A399" s="202" t="str">
        <f t="shared" si="12"/>
        <v>Puebla_Optimal Year Round_112.5</v>
      </c>
      <c r="B399" s="495" t="s">
        <v>677</v>
      </c>
      <c r="C399" s="495">
        <v>19</v>
      </c>
      <c r="D399" s="495">
        <v>112.5</v>
      </c>
      <c r="E399" s="497">
        <v>4.9800000000000004</v>
      </c>
      <c r="F399" s="497">
        <v>5.42</v>
      </c>
      <c r="G399" s="497">
        <v>5.66</v>
      </c>
      <c r="H399" s="497">
        <v>5.25</v>
      </c>
      <c r="I399" s="497">
        <v>4.97</v>
      </c>
      <c r="J399" s="497">
        <v>4.93</v>
      </c>
      <c r="K399" s="497">
        <v>4.93</v>
      </c>
      <c r="L399" s="497">
        <v>4.6100000000000003</v>
      </c>
      <c r="M399" s="497">
        <v>4.34</v>
      </c>
      <c r="N399" s="497">
        <v>4.67</v>
      </c>
      <c r="O399" s="497">
        <v>4.9400000000000004</v>
      </c>
      <c r="P399" s="497">
        <v>4.6100000000000003</v>
      </c>
      <c r="Q399" s="202">
        <f t="shared" si="13"/>
        <v>4.9424999999999999</v>
      </c>
      <c r="R399" s="202" t="s">
        <v>1019</v>
      </c>
    </row>
    <row r="400" spans="1:18" x14ac:dyDescent="0.15">
      <c r="A400" s="202" t="str">
        <f t="shared" si="12"/>
        <v>Puebla_Optimal Year Round_135</v>
      </c>
      <c r="B400" s="495" t="s">
        <v>677</v>
      </c>
      <c r="C400" s="495">
        <v>19</v>
      </c>
      <c r="D400" s="495">
        <v>135</v>
      </c>
      <c r="E400" s="497">
        <v>5.41</v>
      </c>
      <c r="F400" s="497">
        <v>5.89</v>
      </c>
      <c r="G400" s="497">
        <v>6.15</v>
      </c>
      <c r="H400" s="497">
        <v>5.7</v>
      </c>
      <c r="I400" s="497">
        <v>5.4</v>
      </c>
      <c r="J400" s="497">
        <v>5.35</v>
      </c>
      <c r="K400" s="497">
        <v>5.35</v>
      </c>
      <c r="L400" s="497">
        <v>5.01</v>
      </c>
      <c r="M400" s="497">
        <v>4.71</v>
      </c>
      <c r="N400" s="497">
        <v>5.07</v>
      </c>
      <c r="O400" s="497">
        <v>5.36</v>
      </c>
      <c r="P400" s="497">
        <v>5.01</v>
      </c>
      <c r="Q400" s="202">
        <f t="shared" si="13"/>
        <v>5.3675000000000006</v>
      </c>
      <c r="R400" s="202" t="s">
        <v>1019</v>
      </c>
    </row>
    <row r="401" spans="1:18" x14ac:dyDescent="0.15">
      <c r="A401" s="202" t="str">
        <f t="shared" si="12"/>
        <v>Puebla_Optimal Year Round_157.5</v>
      </c>
      <c r="B401" s="495" t="s">
        <v>677</v>
      </c>
      <c r="C401" s="495">
        <v>19</v>
      </c>
      <c r="D401" s="495">
        <v>157.5</v>
      </c>
      <c r="E401" s="497">
        <v>5.55</v>
      </c>
      <c r="F401" s="497">
        <v>6.04</v>
      </c>
      <c r="G401" s="497">
        <v>6.31</v>
      </c>
      <c r="H401" s="497">
        <v>5.85</v>
      </c>
      <c r="I401" s="497">
        <v>5.54</v>
      </c>
      <c r="J401" s="497">
        <v>5.49</v>
      </c>
      <c r="K401" s="497">
        <v>5.49</v>
      </c>
      <c r="L401" s="497">
        <v>5.14</v>
      </c>
      <c r="M401" s="497">
        <v>4.84</v>
      </c>
      <c r="N401" s="497">
        <v>5.21</v>
      </c>
      <c r="O401" s="497">
        <v>5.5</v>
      </c>
      <c r="P401" s="497">
        <v>5.14</v>
      </c>
      <c r="Q401" s="202">
        <f t="shared" si="13"/>
        <v>5.5083333333333329</v>
      </c>
      <c r="R401" s="202" t="s">
        <v>1019</v>
      </c>
    </row>
    <row r="402" spans="1:18" x14ac:dyDescent="0.15">
      <c r="A402" s="202" t="str">
        <f t="shared" si="12"/>
        <v>Puebla_Optimal Year Round_180</v>
      </c>
      <c r="B402" s="495" t="s">
        <v>677</v>
      </c>
      <c r="C402" s="495">
        <v>19</v>
      </c>
      <c r="D402" s="495">
        <v>180</v>
      </c>
      <c r="E402" s="497">
        <v>5.69</v>
      </c>
      <c r="F402" s="497">
        <v>6.2</v>
      </c>
      <c r="G402" s="497">
        <v>6.47</v>
      </c>
      <c r="H402" s="497">
        <v>6</v>
      </c>
      <c r="I402" s="497">
        <v>5.68</v>
      </c>
      <c r="J402" s="497">
        <v>5.63</v>
      </c>
      <c r="K402" s="497">
        <v>5.63</v>
      </c>
      <c r="L402" s="497">
        <v>5.27</v>
      </c>
      <c r="M402" s="497">
        <v>4.96</v>
      </c>
      <c r="N402" s="497">
        <v>5.34</v>
      </c>
      <c r="O402" s="497">
        <v>5.64</v>
      </c>
      <c r="P402" s="497">
        <v>5.27</v>
      </c>
      <c r="Q402" s="202">
        <f t="shared" si="13"/>
        <v>5.6483333333333334</v>
      </c>
      <c r="R402" s="202" t="s">
        <v>1019</v>
      </c>
    </row>
    <row r="403" spans="1:18" x14ac:dyDescent="0.15">
      <c r="A403" s="202" t="str">
        <f t="shared" si="12"/>
        <v>Puebla_Optimal Year Round_202.5</v>
      </c>
      <c r="B403" s="495" t="s">
        <v>677</v>
      </c>
      <c r="C403" s="495">
        <v>19</v>
      </c>
      <c r="D403" s="495">
        <v>202.5</v>
      </c>
      <c r="E403" s="497">
        <v>5.55</v>
      </c>
      <c r="F403" s="497">
        <v>6.04</v>
      </c>
      <c r="G403" s="497">
        <v>6.31</v>
      </c>
      <c r="H403" s="497">
        <v>5.85</v>
      </c>
      <c r="I403" s="497">
        <v>5.54</v>
      </c>
      <c r="J403" s="497">
        <v>5.49</v>
      </c>
      <c r="K403" s="497">
        <v>5.49</v>
      </c>
      <c r="L403" s="497">
        <v>5.14</v>
      </c>
      <c r="M403" s="497">
        <v>4.84</v>
      </c>
      <c r="N403" s="497">
        <v>5.21</v>
      </c>
      <c r="O403" s="497">
        <v>5.5</v>
      </c>
      <c r="P403" s="497">
        <v>5.14</v>
      </c>
      <c r="Q403" s="202">
        <f t="shared" si="13"/>
        <v>5.5083333333333329</v>
      </c>
      <c r="R403" s="202" t="s">
        <v>1019</v>
      </c>
    </row>
    <row r="404" spans="1:18" x14ac:dyDescent="0.15">
      <c r="A404" s="202" t="str">
        <f t="shared" si="12"/>
        <v>Puebla_Optimal Year Round_225</v>
      </c>
      <c r="B404" s="495" t="s">
        <v>677</v>
      </c>
      <c r="C404" s="495">
        <v>19</v>
      </c>
      <c r="D404" s="495">
        <v>225</v>
      </c>
      <c r="E404" s="495">
        <v>5.41</v>
      </c>
      <c r="F404" s="495">
        <v>5.89</v>
      </c>
      <c r="G404" s="495">
        <v>6.15</v>
      </c>
      <c r="H404" s="495">
        <v>5.7</v>
      </c>
      <c r="I404" s="495">
        <v>5.4</v>
      </c>
      <c r="J404" s="495">
        <v>5.35</v>
      </c>
      <c r="K404" s="495">
        <v>5.35</v>
      </c>
      <c r="L404" s="495">
        <v>5.01</v>
      </c>
      <c r="M404" s="495">
        <v>4.71</v>
      </c>
      <c r="N404" s="495">
        <v>5.07</v>
      </c>
      <c r="O404" s="495">
        <v>5.36</v>
      </c>
      <c r="P404" s="495">
        <v>5.01</v>
      </c>
      <c r="Q404" s="202">
        <f t="shared" si="13"/>
        <v>5.3675000000000006</v>
      </c>
      <c r="R404" s="202" t="s">
        <v>1019</v>
      </c>
    </row>
    <row r="405" spans="1:18" x14ac:dyDescent="0.15">
      <c r="A405" s="202" t="str">
        <f t="shared" si="12"/>
        <v>Puebla_Optimal Year Round_247.5</v>
      </c>
      <c r="B405" s="495" t="s">
        <v>677</v>
      </c>
      <c r="C405" s="495">
        <v>19</v>
      </c>
      <c r="D405" s="495">
        <v>247.5</v>
      </c>
      <c r="E405" s="495">
        <v>4.9800000000000004</v>
      </c>
      <c r="F405" s="495">
        <v>5.42</v>
      </c>
      <c r="G405" s="495">
        <v>5.66</v>
      </c>
      <c r="H405" s="495">
        <v>5.25</v>
      </c>
      <c r="I405" s="495">
        <v>4.97</v>
      </c>
      <c r="J405" s="495">
        <v>4.93</v>
      </c>
      <c r="K405" s="495">
        <v>4.93</v>
      </c>
      <c r="L405" s="495">
        <v>4.6100000000000003</v>
      </c>
      <c r="M405" s="495">
        <v>4.34</v>
      </c>
      <c r="N405" s="495">
        <v>4.67</v>
      </c>
      <c r="O405" s="495">
        <v>4.9400000000000004</v>
      </c>
      <c r="P405" s="495">
        <v>4.6100000000000003</v>
      </c>
      <c r="Q405" s="202">
        <f t="shared" si="13"/>
        <v>4.9424999999999999</v>
      </c>
      <c r="R405" s="202" t="s">
        <v>1019</v>
      </c>
    </row>
    <row r="406" spans="1:18" x14ac:dyDescent="0.15">
      <c r="A406" s="202" t="str">
        <f t="shared" si="12"/>
        <v>Puebla_Optimal Year Round_270</v>
      </c>
      <c r="B406" s="495" t="s">
        <v>677</v>
      </c>
      <c r="C406" s="495">
        <v>19</v>
      </c>
      <c r="D406" s="495">
        <v>270</v>
      </c>
      <c r="E406" s="495">
        <v>4.55</v>
      </c>
      <c r="F406" s="495">
        <v>4.96</v>
      </c>
      <c r="G406" s="495">
        <v>5.18</v>
      </c>
      <c r="H406" s="495">
        <v>4.8</v>
      </c>
      <c r="I406" s="495">
        <v>4.54</v>
      </c>
      <c r="J406" s="495">
        <v>4.5</v>
      </c>
      <c r="K406" s="495">
        <v>4.5</v>
      </c>
      <c r="L406" s="495">
        <v>4.22</v>
      </c>
      <c r="M406" s="495">
        <v>3.97</v>
      </c>
      <c r="N406" s="495">
        <v>4.2699999999999996</v>
      </c>
      <c r="O406" s="495">
        <v>4.51</v>
      </c>
      <c r="P406" s="495">
        <v>4.22</v>
      </c>
      <c r="Q406" s="202">
        <f t="shared" si="13"/>
        <v>4.5183333333333326</v>
      </c>
      <c r="R406" s="202" t="s">
        <v>1019</v>
      </c>
    </row>
    <row r="407" spans="1:18" x14ac:dyDescent="0.15">
      <c r="A407" s="202" t="str">
        <f t="shared" si="12"/>
        <v>Puebla de Zaragoza_Flat Surface_90</v>
      </c>
      <c r="B407" s="202" t="s">
        <v>1033</v>
      </c>
      <c r="C407" s="202">
        <v>0</v>
      </c>
      <c r="D407" s="202">
        <v>90</v>
      </c>
      <c r="E407" s="202">
        <v>4.6900000000000004</v>
      </c>
      <c r="F407" s="202">
        <v>5.45</v>
      </c>
      <c r="G407" s="202">
        <v>6.13</v>
      </c>
      <c r="H407" s="202">
        <v>6.1</v>
      </c>
      <c r="I407" s="202">
        <v>6.07</v>
      </c>
      <c r="J407" s="202">
        <v>5.61</v>
      </c>
      <c r="K407" s="202">
        <v>5.64</v>
      </c>
      <c r="L407" s="202">
        <v>5.46</v>
      </c>
      <c r="M407" s="202">
        <v>4.88</v>
      </c>
      <c r="N407" s="202">
        <v>4.8899999999999997</v>
      </c>
      <c r="O407" s="202">
        <v>4.75</v>
      </c>
      <c r="P407" s="202">
        <v>4.33</v>
      </c>
      <c r="Q407" s="202">
        <f t="shared" si="13"/>
        <v>5.333333333333333</v>
      </c>
      <c r="R407" s="202" t="s">
        <v>1020</v>
      </c>
    </row>
    <row r="408" spans="1:18" x14ac:dyDescent="0.15">
      <c r="A408" s="202" t="str">
        <f t="shared" si="12"/>
        <v>Puebla de Zaragoza_Flat Surface_112.5</v>
      </c>
      <c r="B408" s="202" t="s">
        <v>1033</v>
      </c>
      <c r="C408" s="202">
        <v>0</v>
      </c>
      <c r="D408" s="202">
        <v>112.5</v>
      </c>
      <c r="E408" s="202">
        <v>4.6900000000000004</v>
      </c>
      <c r="F408" s="202">
        <v>5.45</v>
      </c>
      <c r="G408" s="202">
        <v>6.13</v>
      </c>
      <c r="H408" s="202">
        <v>6.1</v>
      </c>
      <c r="I408" s="202">
        <v>6.07</v>
      </c>
      <c r="J408" s="202">
        <v>5.61</v>
      </c>
      <c r="K408" s="202">
        <v>5.64</v>
      </c>
      <c r="L408" s="202">
        <v>5.46</v>
      </c>
      <c r="M408" s="202">
        <v>4.88</v>
      </c>
      <c r="N408" s="202">
        <v>4.8899999999999997</v>
      </c>
      <c r="O408" s="202">
        <v>4.75</v>
      </c>
      <c r="P408" s="202">
        <v>4.33</v>
      </c>
      <c r="Q408" s="202">
        <f t="shared" si="13"/>
        <v>5.333333333333333</v>
      </c>
      <c r="R408" s="202" t="s">
        <v>1020</v>
      </c>
    </row>
    <row r="409" spans="1:18" x14ac:dyDescent="0.15">
      <c r="A409" s="202" t="str">
        <f t="shared" si="12"/>
        <v>Puebla de Zaragoza_Flat Surface_135</v>
      </c>
      <c r="B409" s="202" t="s">
        <v>1033</v>
      </c>
      <c r="C409" s="202">
        <v>0</v>
      </c>
      <c r="D409" s="202">
        <v>135</v>
      </c>
      <c r="E409" s="202">
        <v>4.6900000000000004</v>
      </c>
      <c r="F409" s="202">
        <v>5.45</v>
      </c>
      <c r="G409" s="202">
        <v>6.13</v>
      </c>
      <c r="H409" s="202">
        <v>6.1</v>
      </c>
      <c r="I409" s="202">
        <v>6.07</v>
      </c>
      <c r="J409" s="202">
        <v>5.61</v>
      </c>
      <c r="K409" s="202">
        <v>5.64</v>
      </c>
      <c r="L409" s="202">
        <v>5.46</v>
      </c>
      <c r="M409" s="202">
        <v>4.88</v>
      </c>
      <c r="N409" s="202">
        <v>4.8899999999999997</v>
      </c>
      <c r="O409" s="202">
        <v>4.75</v>
      </c>
      <c r="P409" s="202">
        <v>4.33</v>
      </c>
      <c r="Q409" s="202">
        <f t="shared" si="13"/>
        <v>5.333333333333333</v>
      </c>
      <c r="R409" s="202" t="s">
        <v>1020</v>
      </c>
    </row>
    <row r="410" spans="1:18" x14ac:dyDescent="0.15">
      <c r="A410" s="202" t="str">
        <f t="shared" si="12"/>
        <v>Puebla de Zaragoza_Flat Surface_157.5</v>
      </c>
      <c r="B410" s="202" t="s">
        <v>1033</v>
      </c>
      <c r="C410" s="202">
        <v>0</v>
      </c>
      <c r="D410" s="202">
        <v>157.5</v>
      </c>
      <c r="E410" s="202">
        <v>4.6900000000000004</v>
      </c>
      <c r="F410" s="202">
        <v>5.45</v>
      </c>
      <c r="G410" s="202">
        <v>6.13</v>
      </c>
      <c r="H410" s="202">
        <v>6.1</v>
      </c>
      <c r="I410" s="202">
        <v>6.07</v>
      </c>
      <c r="J410" s="202">
        <v>5.61</v>
      </c>
      <c r="K410" s="202">
        <v>5.64</v>
      </c>
      <c r="L410" s="202">
        <v>5.46</v>
      </c>
      <c r="M410" s="202">
        <v>4.88</v>
      </c>
      <c r="N410" s="202">
        <v>4.8899999999999997</v>
      </c>
      <c r="O410" s="202">
        <v>4.75</v>
      </c>
      <c r="P410" s="202">
        <v>4.33</v>
      </c>
      <c r="Q410" s="202">
        <f t="shared" si="13"/>
        <v>5.333333333333333</v>
      </c>
      <c r="R410" s="202" t="s">
        <v>1020</v>
      </c>
    </row>
    <row r="411" spans="1:18" x14ac:dyDescent="0.15">
      <c r="A411" s="202" t="str">
        <f t="shared" si="12"/>
        <v>Puebla de Zaragoza_Flat Surface_180</v>
      </c>
      <c r="B411" s="202" t="s">
        <v>1033</v>
      </c>
      <c r="C411" s="202">
        <v>0</v>
      </c>
      <c r="D411" s="202">
        <v>180</v>
      </c>
      <c r="E411" s="202">
        <v>4.6900000000000004</v>
      </c>
      <c r="F411" s="202">
        <v>5.45</v>
      </c>
      <c r="G411" s="202">
        <v>6.13</v>
      </c>
      <c r="H411" s="202">
        <v>6.1</v>
      </c>
      <c r="I411" s="202">
        <v>6.07</v>
      </c>
      <c r="J411" s="202">
        <v>5.61</v>
      </c>
      <c r="K411" s="202">
        <v>5.64</v>
      </c>
      <c r="L411" s="202">
        <v>5.46</v>
      </c>
      <c r="M411" s="202">
        <v>4.88</v>
      </c>
      <c r="N411" s="202">
        <v>4.8899999999999997</v>
      </c>
      <c r="O411" s="202">
        <v>4.75</v>
      </c>
      <c r="P411" s="202">
        <v>4.33</v>
      </c>
      <c r="Q411" s="202">
        <f t="shared" si="13"/>
        <v>5.333333333333333</v>
      </c>
      <c r="R411" s="202" t="s">
        <v>1020</v>
      </c>
    </row>
    <row r="412" spans="1:18" x14ac:dyDescent="0.15">
      <c r="A412" s="202" t="str">
        <f t="shared" si="12"/>
        <v>Puebla de Zaragoza_Flat Surface_202.5</v>
      </c>
      <c r="B412" s="202" t="s">
        <v>1033</v>
      </c>
      <c r="C412" s="202">
        <v>0</v>
      </c>
      <c r="D412" s="202">
        <v>202.5</v>
      </c>
      <c r="E412" s="202">
        <v>4.6900000000000004</v>
      </c>
      <c r="F412" s="202">
        <v>5.45</v>
      </c>
      <c r="G412" s="202">
        <v>6.13</v>
      </c>
      <c r="H412" s="202">
        <v>6.1</v>
      </c>
      <c r="I412" s="202">
        <v>6.07</v>
      </c>
      <c r="J412" s="202">
        <v>5.61</v>
      </c>
      <c r="K412" s="202">
        <v>5.64</v>
      </c>
      <c r="L412" s="202">
        <v>5.46</v>
      </c>
      <c r="M412" s="202">
        <v>4.88</v>
      </c>
      <c r="N412" s="202">
        <v>4.8899999999999997</v>
      </c>
      <c r="O412" s="202">
        <v>4.75</v>
      </c>
      <c r="P412" s="202">
        <v>4.33</v>
      </c>
      <c r="Q412" s="202">
        <f t="shared" si="13"/>
        <v>5.333333333333333</v>
      </c>
      <c r="R412" s="202" t="s">
        <v>1020</v>
      </c>
    </row>
    <row r="413" spans="1:18" x14ac:dyDescent="0.15">
      <c r="A413" s="202" t="str">
        <f t="shared" si="12"/>
        <v>Puebla de Zaragoza_Flat Surface_225</v>
      </c>
      <c r="B413" s="202" t="s">
        <v>1033</v>
      </c>
      <c r="C413" s="202">
        <v>0</v>
      </c>
      <c r="D413" s="202">
        <v>225</v>
      </c>
      <c r="E413" s="202">
        <v>4.6900000000000004</v>
      </c>
      <c r="F413" s="202">
        <v>5.45</v>
      </c>
      <c r="G413" s="202">
        <v>6.13</v>
      </c>
      <c r="H413" s="202">
        <v>6.1</v>
      </c>
      <c r="I413" s="202">
        <v>6.07</v>
      </c>
      <c r="J413" s="202">
        <v>5.61</v>
      </c>
      <c r="K413" s="202">
        <v>5.64</v>
      </c>
      <c r="L413" s="202">
        <v>5.46</v>
      </c>
      <c r="M413" s="202">
        <v>4.88</v>
      </c>
      <c r="N413" s="202">
        <v>4.8899999999999997</v>
      </c>
      <c r="O413" s="202">
        <v>4.75</v>
      </c>
      <c r="P413" s="202">
        <v>4.33</v>
      </c>
      <c r="Q413" s="202">
        <f t="shared" si="13"/>
        <v>5.333333333333333</v>
      </c>
      <c r="R413" s="202" t="s">
        <v>1020</v>
      </c>
    </row>
    <row r="414" spans="1:18" x14ac:dyDescent="0.15">
      <c r="A414" s="202" t="str">
        <f t="shared" si="12"/>
        <v>Puebla de Zaragoza_Flat Surface_247.5</v>
      </c>
      <c r="B414" s="202" t="s">
        <v>1033</v>
      </c>
      <c r="C414" s="202">
        <v>0</v>
      </c>
      <c r="D414" s="202">
        <v>247.5</v>
      </c>
      <c r="E414" s="202">
        <v>4.6900000000000004</v>
      </c>
      <c r="F414" s="202">
        <v>5.45</v>
      </c>
      <c r="G414" s="202">
        <v>6.13</v>
      </c>
      <c r="H414" s="202">
        <v>6.1</v>
      </c>
      <c r="I414" s="202">
        <v>6.07</v>
      </c>
      <c r="J414" s="202">
        <v>5.61</v>
      </c>
      <c r="K414" s="202">
        <v>5.64</v>
      </c>
      <c r="L414" s="202">
        <v>5.46</v>
      </c>
      <c r="M414" s="202">
        <v>4.88</v>
      </c>
      <c r="N414" s="202">
        <v>4.8899999999999997</v>
      </c>
      <c r="O414" s="202">
        <v>4.75</v>
      </c>
      <c r="P414" s="202">
        <v>4.33</v>
      </c>
      <c r="Q414" s="202">
        <f t="shared" si="13"/>
        <v>5.333333333333333</v>
      </c>
      <c r="R414" s="202" t="s">
        <v>1020</v>
      </c>
    </row>
    <row r="415" spans="1:18" x14ac:dyDescent="0.15">
      <c r="A415" s="202" t="str">
        <f t="shared" si="12"/>
        <v>Puebla de Zaragoza_Flat Surface_270</v>
      </c>
      <c r="B415" s="202" t="s">
        <v>1033</v>
      </c>
      <c r="C415" s="202">
        <v>0</v>
      </c>
      <c r="D415" s="202">
        <v>270</v>
      </c>
      <c r="E415" s="202">
        <v>4.6900000000000004</v>
      </c>
      <c r="F415" s="202">
        <v>5.45</v>
      </c>
      <c r="G415" s="202">
        <v>6.13</v>
      </c>
      <c r="H415" s="202">
        <v>6.1</v>
      </c>
      <c r="I415" s="202">
        <v>6.07</v>
      </c>
      <c r="J415" s="202">
        <v>5.61</v>
      </c>
      <c r="K415" s="202">
        <v>5.64</v>
      </c>
      <c r="L415" s="202">
        <v>5.46</v>
      </c>
      <c r="M415" s="202">
        <v>4.88</v>
      </c>
      <c r="N415" s="202">
        <v>4.8899999999999997</v>
      </c>
      <c r="O415" s="202">
        <v>4.75</v>
      </c>
      <c r="P415" s="202">
        <v>4.33</v>
      </c>
      <c r="Q415" s="202">
        <f t="shared" si="13"/>
        <v>5.333333333333333</v>
      </c>
      <c r="R415" s="202" t="s">
        <v>1020</v>
      </c>
    </row>
    <row r="416" spans="1:18" x14ac:dyDescent="0.15">
      <c r="A416" s="202" t="str">
        <f t="shared" si="12"/>
        <v>Puebla de Zaragoza_Optimal Summer_90</v>
      </c>
      <c r="B416" s="202" t="s">
        <v>1033</v>
      </c>
      <c r="C416" s="202">
        <v>4</v>
      </c>
      <c r="D416" s="202">
        <v>90</v>
      </c>
      <c r="E416" s="202">
        <v>3.95</v>
      </c>
      <c r="F416" s="202">
        <v>4.5199999999999996</v>
      </c>
      <c r="G416" s="202">
        <v>4.99</v>
      </c>
      <c r="H416" s="202">
        <v>4.9000000000000004</v>
      </c>
      <c r="I416" s="202">
        <v>4.82</v>
      </c>
      <c r="J416" s="202">
        <v>4.5199999999999996</v>
      </c>
      <c r="K416" s="202">
        <v>4.54</v>
      </c>
      <c r="L416" s="202">
        <v>4.3600000000000003</v>
      </c>
      <c r="M416" s="202">
        <v>3.94</v>
      </c>
      <c r="N416" s="202">
        <v>4.0199999999999996</v>
      </c>
      <c r="O416" s="202">
        <v>3.98</v>
      </c>
      <c r="P416" s="202">
        <v>3.66</v>
      </c>
      <c r="Q416" s="202">
        <f t="shared" si="13"/>
        <v>4.3500000000000005</v>
      </c>
      <c r="R416" s="202" t="s">
        <v>984</v>
      </c>
    </row>
    <row r="417" spans="1:18" x14ac:dyDescent="0.15">
      <c r="A417" s="202" t="str">
        <f t="shared" si="12"/>
        <v>Puebla de Zaragoza_Optimal Summer_112.5</v>
      </c>
      <c r="B417" s="202" t="s">
        <v>1033</v>
      </c>
      <c r="C417" s="202">
        <v>4</v>
      </c>
      <c r="D417" s="202">
        <v>112.5</v>
      </c>
      <c r="E417" s="202">
        <v>4.32</v>
      </c>
      <c r="F417" s="202">
        <v>4.9400000000000004</v>
      </c>
      <c r="G417" s="202">
        <v>5.46</v>
      </c>
      <c r="H417" s="202">
        <v>5.36</v>
      </c>
      <c r="I417" s="202">
        <v>5.28</v>
      </c>
      <c r="J417" s="202">
        <v>4.9400000000000004</v>
      </c>
      <c r="K417" s="202">
        <v>4.96</v>
      </c>
      <c r="L417" s="202">
        <v>4.7699999999999996</v>
      </c>
      <c r="M417" s="202">
        <v>4.3099999999999996</v>
      </c>
      <c r="N417" s="202">
        <v>4.3899999999999997</v>
      </c>
      <c r="O417" s="202">
        <v>4.3600000000000003</v>
      </c>
      <c r="P417" s="202">
        <v>4</v>
      </c>
      <c r="Q417" s="202">
        <f t="shared" si="13"/>
        <v>4.7575000000000003</v>
      </c>
      <c r="R417" s="202" t="s">
        <v>984</v>
      </c>
    </row>
    <row r="418" spans="1:18" x14ac:dyDescent="0.15">
      <c r="A418" s="202" t="str">
        <f t="shared" si="12"/>
        <v>Puebla de Zaragoza_Optimal Summer_135</v>
      </c>
      <c r="B418" s="202" t="s">
        <v>1033</v>
      </c>
      <c r="C418" s="202">
        <v>4</v>
      </c>
      <c r="D418" s="202">
        <v>135</v>
      </c>
      <c r="E418" s="202">
        <v>4.6900000000000004</v>
      </c>
      <c r="F418" s="202">
        <v>5.37</v>
      </c>
      <c r="G418" s="202">
        <v>5.93</v>
      </c>
      <c r="H418" s="202">
        <v>5.81</v>
      </c>
      <c r="I418" s="202">
        <v>5.73</v>
      </c>
      <c r="J418" s="202">
        <v>5.37</v>
      </c>
      <c r="K418" s="202">
        <v>5.39</v>
      </c>
      <c r="L418" s="202">
        <v>5.18</v>
      </c>
      <c r="M418" s="202">
        <v>4.68</v>
      </c>
      <c r="N418" s="202">
        <v>4.7699999999999996</v>
      </c>
      <c r="O418" s="202">
        <v>4.7300000000000004</v>
      </c>
      <c r="P418" s="202">
        <v>4.34</v>
      </c>
      <c r="Q418" s="202">
        <f t="shared" si="13"/>
        <v>5.1658333333333344</v>
      </c>
      <c r="R418" s="202" t="s">
        <v>984</v>
      </c>
    </row>
    <row r="419" spans="1:18" x14ac:dyDescent="0.15">
      <c r="A419" s="202" t="str">
        <f t="shared" si="12"/>
        <v>Puebla de Zaragoza_Optimal Summer_157.5</v>
      </c>
      <c r="B419" s="202" t="s">
        <v>1033</v>
      </c>
      <c r="C419" s="202">
        <v>4</v>
      </c>
      <c r="D419" s="202">
        <v>157.5</v>
      </c>
      <c r="E419" s="202">
        <v>4.82</v>
      </c>
      <c r="F419" s="202">
        <v>5.51</v>
      </c>
      <c r="G419" s="202">
        <v>6.08</v>
      </c>
      <c r="H419" s="202">
        <v>5.97</v>
      </c>
      <c r="I419" s="202">
        <v>5.88</v>
      </c>
      <c r="J419" s="202">
        <v>5.51</v>
      </c>
      <c r="K419" s="202">
        <v>5.53</v>
      </c>
      <c r="L419" s="202">
        <v>5.31</v>
      </c>
      <c r="M419" s="202">
        <v>4.8099999999999996</v>
      </c>
      <c r="N419" s="202">
        <v>4.8899999999999997</v>
      </c>
      <c r="O419" s="202">
        <v>4.8600000000000003</v>
      </c>
      <c r="P419" s="202">
        <v>4.46</v>
      </c>
      <c r="Q419" s="202">
        <f t="shared" si="13"/>
        <v>5.3025000000000002</v>
      </c>
      <c r="R419" s="202" t="s">
        <v>984</v>
      </c>
    </row>
    <row r="420" spans="1:18" x14ac:dyDescent="0.15">
      <c r="A420" s="202" t="str">
        <f t="shared" si="12"/>
        <v>Puebla de Zaragoza_Optimal Summer_180</v>
      </c>
      <c r="B420" s="202" t="s">
        <v>1033</v>
      </c>
      <c r="C420" s="202">
        <v>4</v>
      </c>
      <c r="D420" s="202">
        <v>180</v>
      </c>
      <c r="E420" s="202">
        <v>4.9400000000000004</v>
      </c>
      <c r="F420" s="202">
        <v>5.65</v>
      </c>
      <c r="G420" s="202">
        <v>6.24</v>
      </c>
      <c r="H420" s="202">
        <v>6.12</v>
      </c>
      <c r="I420" s="202">
        <v>6.03</v>
      </c>
      <c r="J420" s="202">
        <v>5.65</v>
      </c>
      <c r="K420" s="202">
        <v>5.67</v>
      </c>
      <c r="L420" s="202">
        <v>5.45</v>
      </c>
      <c r="M420" s="202">
        <v>4.93</v>
      </c>
      <c r="N420" s="202">
        <v>5.0199999999999996</v>
      </c>
      <c r="O420" s="202">
        <v>4.9800000000000004</v>
      </c>
      <c r="P420" s="202">
        <v>4.57</v>
      </c>
      <c r="Q420" s="202">
        <f t="shared" si="13"/>
        <v>5.4375</v>
      </c>
      <c r="R420" s="202" t="s">
        <v>984</v>
      </c>
    </row>
    <row r="421" spans="1:18" x14ac:dyDescent="0.15">
      <c r="A421" s="202" t="str">
        <f t="shared" si="12"/>
        <v>Puebla de Zaragoza_Optimal Summer_202.5</v>
      </c>
      <c r="B421" s="202" t="s">
        <v>1033</v>
      </c>
      <c r="C421" s="202">
        <v>4</v>
      </c>
      <c r="D421" s="202">
        <v>202.5</v>
      </c>
      <c r="E421" s="202">
        <v>4.82</v>
      </c>
      <c r="F421" s="202">
        <v>5.51</v>
      </c>
      <c r="G421" s="202">
        <v>6.08</v>
      </c>
      <c r="H421" s="202">
        <v>5.97</v>
      </c>
      <c r="I421" s="202">
        <v>5.88</v>
      </c>
      <c r="J421" s="202">
        <v>5.51</v>
      </c>
      <c r="K421" s="202">
        <v>5.53</v>
      </c>
      <c r="L421" s="202">
        <v>5.31</v>
      </c>
      <c r="M421" s="202">
        <v>4.8099999999999996</v>
      </c>
      <c r="N421" s="202">
        <v>4.8899999999999997</v>
      </c>
      <c r="O421" s="202">
        <v>4.8600000000000003</v>
      </c>
      <c r="P421" s="202">
        <v>4.46</v>
      </c>
      <c r="Q421" s="202">
        <f t="shared" si="13"/>
        <v>5.3025000000000002</v>
      </c>
      <c r="R421" s="202" t="s">
        <v>984</v>
      </c>
    </row>
    <row r="422" spans="1:18" x14ac:dyDescent="0.15">
      <c r="A422" s="202" t="str">
        <f t="shared" si="12"/>
        <v>Puebla de Zaragoza_Optimal Summer_225</v>
      </c>
      <c r="B422" s="202" t="s">
        <v>1033</v>
      </c>
      <c r="C422" s="202">
        <v>4</v>
      </c>
      <c r="D422" s="202">
        <v>225</v>
      </c>
      <c r="E422" s="202">
        <v>4.6900000000000004</v>
      </c>
      <c r="F422" s="202">
        <v>5.37</v>
      </c>
      <c r="G422" s="202">
        <v>5.93</v>
      </c>
      <c r="H422" s="202">
        <v>5.81</v>
      </c>
      <c r="I422" s="202">
        <v>5.73</v>
      </c>
      <c r="J422" s="202">
        <v>5.37</v>
      </c>
      <c r="K422" s="202">
        <v>5.39</v>
      </c>
      <c r="L422" s="202">
        <v>5.18</v>
      </c>
      <c r="M422" s="202">
        <v>4.68</v>
      </c>
      <c r="N422" s="202">
        <v>4.7699999999999996</v>
      </c>
      <c r="O422" s="202">
        <v>4.7300000000000004</v>
      </c>
      <c r="P422" s="202">
        <v>4.34</v>
      </c>
      <c r="Q422" s="202">
        <f t="shared" si="13"/>
        <v>5.1658333333333344</v>
      </c>
      <c r="R422" s="202" t="s">
        <v>984</v>
      </c>
    </row>
    <row r="423" spans="1:18" x14ac:dyDescent="0.15">
      <c r="A423" s="202" t="str">
        <f t="shared" si="12"/>
        <v>Puebla de Zaragoza_Optimal Summer_247.5</v>
      </c>
      <c r="B423" s="202" t="s">
        <v>1033</v>
      </c>
      <c r="C423" s="202">
        <v>4</v>
      </c>
      <c r="D423" s="202">
        <v>247.5</v>
      </c>
      <c r="E423" s="202">
        <v>4.32</v>
      </c>
      <c r="F423" s="202">
        <v>4.9400000000000004</v>
      </c>
      <c r="G423" s="202">
        <v>5.46</v>
      </c>
      <c r="H423" s="202">
        <v>5.36</v>
      </c>
      <c r="I423" s="202">
        <v>5.28</v>
      </c>
      <c r="J423" s="202">
        <v>4.9400000000000004</v>
      </c>
      <c r="K423" s="202">
        <v>4.96</v>
      </c>
      <c r="L423" s="202">
        <v>4.7699999999999996</v>
      </c>
      <c r="M423" s="202">
        <v>4.3099999999999996</v>
      </c>
      <c r="N423" s="202">
        <v>4.3899999999999997</v>
      </c>
      <c r="O423" s="202">
        <v>4.3600000000000003</v>
      </c>
      <c r="P423" s="202">
        <v>4</v>
      </c>
      <c r="Q423" s="202">
        <f t="shared" si="13"/>
        <v>4.7575000000000003</v>
      </c>
      <c r="R423" s="202" t="s">
        <v>984</v>
      </c>
    </row>
    <row r="424" spans="1:18" x14ac:dyDescent="0.15">
      <c r="A424" s="202" t="str">
        <f t="shared" si="12"/>
        <v>Puebla de Zaragoza_Optimal Summer_270</v>
      </c>
      <c r="B424" s="202" t="s">
        <v>1033</v>
      </c>
      <c r="C424" s="202">
        <v>4</v>
      </c>
      <c r="D424" s="202">
        <v>270</v>
      </c>
      <c r="E424" s="202">
        <v>3.95</v>
      </c>
      <c r="F424" s="202">
        <v>4.5199999999999996</v>
      </c>
      <c r="G424" s="202">
        <v>4.99</v>
      </c>
      <c r="H424" s="202">
        <v>4.9000000000000004</v>
      </c>
      <c r="I424" s="202">
        <v>4.82</v>
      </c>
      <c r="J424" s="202">
        <v>4.5199999999999996</v>
      </c>
      <c r="K424" s="202">
        <v>4.54</v>
      </c>
      <c r="L424" s="202">
        <v>4.3600000000000003</v>
      </c>
      <c r="M424" s="202">
        <v>3.94</v>
      </c>
      <c r="N424" s="202">
        <v>4.0199999999999996</v>
      </c>
      <c r="O424" s="202">
        <v>3.98</v>
      </c>
      <c r="P424" s="202">
        <v>3.66</v>
      </c>
      <c r="Q424" s="202">
        <f t="shared" si="13"/>
        <v>4.3500000000000005</v>
      </c>
      <c r="R424" s="202" t="s">
        <v>984</v>
      </c>
    </row>
    <row r="425" spans="1:18" x14ac:dyDescent="0.15">
      <c r="A425" s="202" t="str">
        <f t="shared" si="12"/>
        <v>Puebla de Zaragoza_Optimal Year Round_90</v>
      </c>
      <c r="B425" s="202" t="s">
        <v>1033</v>
      </c>
      <c r="C425" s="202">
        <v>19</v>
      </c>
      <c r="D425" s="202">
        <v>90</v>
      </c>
      <c r="E425" s="202">
        <v>4.55</v>
      </c>
      <c r="F425" s="202">
        <v>4.96</v>
      </c>
      <c r="G425" s="202">
        <v>5.18</v>
      </c>
      <c r="H425" s="202">
        <v>4.8</v>
      </c>
      <c r="I425" s="202">
        <v>4.54</v>
      </c>
      <c r="J425" s="202">
        <v>4.5</v>
      </c>
      <c r="K425" s="202">
        <v>4.5</v>
      </c>
      <c r="L425" s="202">
        <v>4.22</v>
      </c>
      <c r="M425" s="202">
        <v>3.97</v>
      </c>
      <c r="N425" s="202">
        <v>4.2699999999999996</v>
      </c>
      <c r="O425" s="202">
        <v>4.51</v>
      </c>
      <c r="P425" s="202">
        <v>4.22</v>
      </c>
      <c r="Q425" s="202">
        <f t="shared" si="13"/>
        <v>4.5183333333333326</v>
      </c>
      <c r="R425" s="202" t="s">
        <v>1019</v>
      </c>
    </row>
    <row r="426" spans="1:18" x14ac:dyDescent="0.15">
      <c r="A426" s="202" t="str">
        <f t="shared" si="12"/>
        <v>Puebla de Zaragoza_Optimal Year Round_112.5</v>
      </c>
      <c r="B426" s="202" t="s">
        <v>1033</v>
      </c>
      <c r="C426" s="202">
        <v>19</v>
      </c>
      <c r="D426" s="202">
        <v>112.5</v>
      </c>
      <c r="E426" s="202">
        <v>4.9800000000000004</v>
      </c>
      <c r="F426" s="202">
        <v>5.42</v>
      </c>
      <c r="G426" s="202">
        <v>5.66</v>
      </c>
      <c r="H426" s="202">
        <v>5.25</v>
      </c>
      <c r="I426" s="202">
        <v>4.97</v>
      </c>
      <c r="J426" s="202">
        <v>4.93</v>
      </c>
      <c r="K426" s="202">
        <v>4.93</v>
      </c>
      <c r="L426" s="202">
        <v>4.6100000000000003</v>
      </c>
      <c r="M426" s="202">
        <v>4.34</v>
      </c>
      <c r="N426" s="202">
        <v>4.67</v>
      </c>
      <c r="O426" s="202">
        <v>4.9400000000000004</v>
      </c>
      <c r="P426" s="202">
        <v>4.6100000000000003</v>
      </c>
      <c r="Q426" s="202">
        <f t="shared" si="13"/>
        <v>4.9424999999999999</v>
      </c>
      <c r="R426" s="202" t="s">
        <v>1019</v>
      </c>
    </row>
    <row r="427" spans="1:18" x14ac:dyDescent="0.15">
      <c r="A427" s="202" t="str">
        <f t="shared" si="12"/>
        <v>Puebla de Zaragoza_Optimal Year Round_135</v>
      </c>
      <c r="B427" s="202" t="s">
        <v>1033</v>
      </c>
      <c r="C427" s="202">
        <v>19</v>
      </c>
      <c r="D427" s="202">
        <v>135</v>
      </c>
      <c r="E427" s="202">
        <v>5.41</v>
      </c>
      <c r="F427" s="202">
        <v>5.89</v>
      </c>
      <c r="G427" s="202">
        <v>6.15</v>
      </c>
      <c r="H427" s="202">
        <v>5.7</v>
      </c>
      <c r="I427" s="202">
        <v>5.4</v>
      </c>
      <c r="J427" s="202">
        <v>5.35</v>
      </c>
      <c r="K427" s="202">
        <v>5.35</v>
      </c>
      <c r="L427" s="202">
        <v>5.01</v>
      </c>
      <c r="M427" s="202">
        <v>4.71</v>
      </c>
      <c r="N427" s="202">
        <v>5.07</v>
      </c>
      <c r="O427" s="202">
        <v>5.36</v>
      </c>
      <c r="P427" s="202">
        <v>5.01</v>
      </c>
      <c r="Q427" s="202">
        <f t="shared" si="13"/>
        <v>5.3675000000000006</v>
      </c>
      <c r="R427" s="202" t="s">
        <v>1019</v>
      </c>
    </row>
    <row r="428" spans="1:18" x14ac:dyDescent="0.15">
      <c r="A428" s="202" t="str">
        <f t="shared" si="12"/>
        <v>Puebla de Zaragoza_Optimal Year Round_157.5</v>
      </c>
      <c r="B428" s="202" t="s">
        <v>1033</v>
      </c>
      <c r="C428" s="202">
        <v>19</v>
      </c>
      <c r="D428" s="202">
        <v>157.5</v>
      </c>
      <c r="E428" s="202">
        <v>5.55</v>
      </c>
      <c r="F428" s="202">
        <v>6.04</v>
      </c>
      <c r="G428" s="202">
        <v>6.31</v>
      </c>
      <c r="H428" s="202">
        <v>5.85</v>
      </c>
      <c r="I428" s="202">
        <v>5.54</v>
      </c>
      <c r="J428" s="202">
        <v>5.49</v>
      </c>
      <c r="K428" s="202">
        <v>5.49</v>
      </c>
      <c r="L428" s="202">
        <v>5.14</v>
      </c>
      <c r="M428" s="202">
        <v>4.84</v>
      </c>
      <c r="N428" s="202">
        <v>5.21</v>
      </c>
      <c r="O428" s="202">
        <v>5.5</v>
      </c>
      <c r="P428" s="202">
        <v>5.14</v>
      </c>
      <c r="Q428" s="202">
        <f t="shared" si="13"/>
        <v>5.5083333333333329</v>
      </c>
      <c r="R428" s="202" t="s">
        <v>1019</v>
      </c>
    </row>
    <row r="429" spans="1:18" x14ac:dyDescent="0.15">
      <c r="A429" s="202" t="str">
        <f t="shared" si="12"/>
        <v>Puebla de Zaragoza_Optimal Year Round_180</v>
      </c>
      <c r="B429" s="202" t="s">
        <v>1033</v>
      </c>
      <c r="C429" s="202">
        <v>19</v>
      </c>
      <c r="D429" s="202">
        <v>180</v>
      </c>
      <c r="E429" s="202">
        <v>5.69</v>
      </c>
      <c r="F429" s="202">
        <v>6.2</v>
      </c>
      <c r="G429" s="202">
        <v>6.47</v>
      </c>
      <c r="H429" s="202">
        <v>6</v>
      </c>
      <c r="I429" s="202">
        <v>5.68</v>
      </c>
      <c r="J429" s="202">
        <v>5.63</v>
      </c>
      <c r="K429" s="202">
        <v>5.63</v>
      </c>
      <c r="L429" s="202">
        <v>5.27</v>
      </c>
      <c r="M429" s="202">
        <v>4.96</v>
      </c>
      <c r="N429" s="202">
        <v>5.34</v>
      </c>
      <c r="O429" s="202">
        <v>5.64</v>
      </c>
      <c r="P429" s="202">
        <v>5.27</v>
      </c>
      <c r="Q429" s="202">
        <f t="shared" si="13"/>
        <v>5.6483333333333334</v>
      </c>
      <c r="R429" s="202" t="s">
        <v>1019</v>
      </c>
    </row>
    <row r="430" spans="1:18" x14ac:dyDescent="0.15">
      <c r="A430" s="202" t="str">
        <f t="shared" si="12"/>
        <v>Puebla de Zaragoza_Optimal Year Round_202.5</v>
      </c>
      <c r="B430" s="202" t="s">
        <v>1033</v>
      </c>
      <c r="C430" s="202">
        <v>19</v>
      </c>
      <c r="D430" s="202">
        <v>202.5</v>
      </c>
      <c r="E430" s="202">
        <v>5.55</v>
      </c>
      <c r="F430" s="202">
        <v>6.04</v>
      </c>
      <c r="G430" s="202">
        <v>6.31</v>
      </c>
      <c r="H430" s="202">
        <v>5.85</v>
      </c>
      <c r="I430" s="202">
        <v>5.54</v>
      </c>
      <c r="J430" s="202">
        <v>5.49</v>
      </c>
      <c r="K430" s="202">
        <v>5.49</v>
      </c>
      <c r="L430" s="202">
        <v>5.14</v>
      </c>
      <c r="M430" s="202">
        <v>4.84</v>
      </c>
      <c r="N430" s="202">
        <v>5.21</v>
      </c>
      <c r="O430" s="202">
        <v>5.5</v>
      </c>
      <c r="P430" s="202">
        <v>5.14</v>
      </c>
      <c r="Q430" s="202">
        <f t="shared" si="13"/>
        <v>5.5083333333333329</v>
      </c>
      <c r="R430" s="202" t="s">
        <v>1019</v>
      </c>
    </row>
    <row r="431" spans="1:18" x14ac:dyDescent="0.15">
      <c r="A431" s="202" t="str">
        <f t="shared" si="12"/>
        <v>Puebla de Zaragoza_Optimal Year Round_225</v>
      </c>
      <c r="B431" s="202" t="s">
        <v>1033</v>
      </c>
      <c r="C431" s="202">
        <v>19</v>
      </c>
      <c r="D431" s="202">
        <v>225</v>
      </c>
      <c r="E431" s="202">
        <v>5.41</v>
      </c>
      <c r="F431" s="202">
        <v>5.89</v>
      </c>
      <c r="G431" s="202">
        <v>6.15</v>
      </c>
      <c r="H431" s="202">
        <v>5.7</v>
      </c>
      <c r="I431" s="202">
        <v>5.4</v>
      </c>
      <c r="J431" s="202">
        <v>5.35</v>
      </c>
      <c r="K431" s="202">
        <v>5.35</v>
      </c>
      <c r="L431" s="202">
        <v>5.01</v>
      </c>
      <c r="M431" s="202">
        <v>4.71</v>
      </c>
      <c r="N431" s="202">
        <v>5.07</v>
      </c>
      <c r="O431" s="202">
        <v>5.36</v>
      </c>
      <c r="P431" s="202">
        <v>5.01</v>
      </c>
      <c r="Q431" s="202">
        <f t="shared" si="13"/>
        <v>5.3675000000000006</v>
      </c>
      <c r="R431" s="202" t="s">
        <v>1019</v>
      </c>
    </row>
    <row r="432" spans="1:18" x14ac:dyDescent="0.15">
      <c r="A432" s="202" t="str">
        <f t="shared" si="12"/>
        <v>Puebla de Zaragoza_Optimal Year Round_247.5</v>
      </c>
      <c r="B432" s="202" t="s">
        <v>1033</v>
      </c>
      <c r="C432" s="202">
        <v>19</v>
      </c>
      <c r="D432" s="202">
        <v>247.5</v>
      </c>
      <c r="E432" s="202">
        <v>4.9800000000000004</v>
      </c>
      <c r="F432" s="202">
        <v>5.42</v>
      </c>
      <c r="G432" s="202">
        <v>5.66</v>
      </c>
      <c r="H432" s="202">
        <v>5.25</v>
      </c>
      <c r="I432" s="202">
        <v>4.97</v>
      </c>
      <c r="J432" s="202">
        <v>4.93</v>
      </c>
      <c r="K432" s="202">
        <v>4.93</v>
      </c>
      <c r="L432" s="202">
        <v>4.6100000000000003</v>
      </c>
      <c r="M432" s="202">
        <v>4.34</v>
      </c>
      <c r="N432" s="202">
        <v>4.67</v>
      </c>
      <c r="O432" s="202">
        <v>4.9400000000000004</v>
      </c>
      <c r="P432" s="202">
        <v>4.6100000000000003</v>
      </c>
      <c r="Q432" s="202">
        <f t="shared" si="13"/>
        <v>4.9424999999999999</v>
      </c>
      <c r="R432" s="202" t="s">
        <v>1019</v>
      </c>
    </row>
    <row r="433" spans="1:18" x14ac:dyDescent="0.15">
      <c r="A433" s="202" t="str">
        <f t="shared" si="12"/>
        <v>Puebla de Zaragoza_Optimal Year Round_270</v>
      </c>
      <c r="B433" s="202" t="s">
        <v>1033</v>
      </c>
      <c r="C433" s="202">
        <v>19</v>
      </c>
      <c r="D433" s="202">
        <v>270</v>
      </c>
      <c r="E433" s="202">
        <v>4.55</v>
      </c>
      <c r="F433" s="202">
        <v>4.96</v>
      </c>
      <c r="G433" s="202">
        <v>5.18</v>
      </c>
      <c r="H433" s="202">
        <v>4.8</v>
      </c>
      <c r="I433" s="202">
        <v>4.54</v>
      </c>
      <c r="J433" s="202">
        <v>4.5</v>
      </c>
      <c r="K433" s="202">
        <v>4.5</v>
      </c>
      <c r="L433" s="202">
        <v>4.22</v>
      </c>
      <c r="M433" s="202">
        <v>3.97</v>
      </c>
      <c r="N433" s="202">
        <v>4.2699999999999996</v>
      </c>
      <c r="O433" s="202">
        <v>4.51</v>
      </c>
      <c r="P433" s="202">
        <v>4.22</v>
      </c>
      <c r="Q433" s="202">
        <f t="shared" si="13"/>
        <v>4.5183333333333326</v>
      </c>
      <c r="R433" s="202" t="s">
        <v>1019</v>
      </c>
    </row>
    <row r="434" spans="1:18" x14ac:dyDescent="0.15">
      <c r="A434" s="202" t="str">
        <f t="shared" si="12"/>
        <v>Queretaro_Flat Surface_90</v>
      </c>
      <c r="B434" s="580" t="s">
        <v>1017</v>
      </c>
      <c r="C434" s="495">
        <v>0</v>
      </c>
      <c r="D434" s="495">
        <v>90</v>
      </c>
      <c r="E434" s="497">
        <v>4.8</v>
      </c>
      <c r="F434" s="495">
        <v>5.81</v>
      </c>
      <c r="G434" s="495">
        <v>6.73</v>
      </c>
      <c r="H434" s="495">
        <v>6.91</v>
      </c>
      <c r="I434" s="495">
        <v>6.77</v>
      </c>
      <c r="J434" s="495">
        <v>6.33</v>
      </c>
      <c r="K434" s="497">
        <v>6.11</v>
      </c>
      <c r="L434" s="497">
        <v>5.93</v>
      </c>
      <c r="M434" s="497">
        <v>5.41</v>
      </c>
      <c r="N434" s="497">
        <v>5.24</v>
      </c>
      <c r="O434" s="497">
        <v>5.05</v>
      </c>
      <c r="P434" s="497">
        <v>4.43</v>
      </c>
      <c r="Q434" s="202">
        <f t="shared" si="13"/>
        <v>5.7933333333333339</v>
      </c>
      <c r="R434" s="202" t="s">
        <v>1020</v>
      </c>
    </row>
    <row r="435" spans="1:18" x14ac:dyDescent="0.15">
      <c r="A435" s="202" t="str">
        <f t="shared" si="12"/>
        <v>Queretaro_Flat Surface_112.5</v>
      </c>
      <c r="B435" s="580" t="s">
        <v>1017</v>
      </c>
      <c r="C435" s="495">
        <v>0</v>
      </c>
      <c r="D435" s="495">
        <v>112.5</v>
      </c>
      <c r="E435" s="497">
        <v>4.8</v>
      </c>
      <c r="F435" s="495">
        <v>5.81</v>
      </c>
      <c r="G435" s="495">
        <v>6.73</v>
      </c>
      <c r="H435" s="495">
        <v>6.91</v>
      </c>
      <c r="I435" s="495">
        <v>6.77</v>
      </c>
      <c r="J435" s="495">
        <v>6.33</v>
      </c>
      <c r="K435" s="497">
        <v>6.11</v>
      </c>
      <c r="L435" s="497">
        <v>5.93</v>
      </c>
      <c r="M435" s="497">
        <v>5.41</v>
      </c>
      <c r="N435" s="497">
        <v>5.24</v>
      </c>
      <c r="O435" s="497">
        <v>5.05</v>
      </c>
      <c r="P435" s="497">
        <v>4.43</v>
      </c>
      <c r="Q435" s="202">
        <f t="shared" si="13"/>
        <v>5.7933333333333339</v>
      </c>
      <c r="R435" s="202" t="s">
        <v>1020</v>
      </c>
    </row>
    <row r="436" spans="1:18" x14ac:dyDescent="0.15">
      <c r="A436" s="202" t="str">
        <f t="shared" si="12"/>
        <v>Queretaro_Flat Surface_135</v>
      </c>
      <c r="B436" s="580" t="s">
        <v>1017</v>
      </c>
      <c r="C436" s="495">
        <v>0</v>
      </c>
      <c r="D436" s="495">
        <v>135</v>
      </c>
      <c r="E436" s="497">
        <v>4.8</v>
      </c>
      <c r="F436" s="495">
        <v>5.81</v>
      </c>
      <c r="G436" s="495">
        <v>6.73</v>
      </c>
      <c r="H436" s="495">
        <v>6.91</v>
      </c>
      <c r="I436" s="495">
        <v>6.77</v>
      </c>
      <c r="J436" s="495">
        <v>6.33</v>
      </c>
      <c r="K436" s="497">
        <v>6.11</v>
      </c>
      <c r="L436" s="497">
        <v>5.93</v>
      </c>
      <c r="M436" s="497">
        <v>5.41</v>
      </c>
      <c r="N436" s="497">
        <v>5.24</v>
      </c>
      <c r="O436" s="497">
        <v>5.05</v>
      </c>
      <c r="P436" s="497">
        <v>4.43</v>
      </c>
      <c r="Q436" s="202">
        <f t="shared" si="13"/>
        <v>5.7933333333333339</v>
      </c>
      <c r="R436" s="202" t="s">
        <v>1020</v>
      </c>
    </row>
    <row r="437" spans="1:18" x14ac:dyDescent="0.15">
      <c r="A437" s="202" t="str">
        <f t="shared" si="12"/>
        <v>Queretaro_Flat Surface_157.5</v>
      </c>
      <c r="B437" s="580" t="s">
        <v>1017</v>
      </c>
      <c r="C437" s="495">
        <v>0</v>
      </c>
      <c r="D437" s="495">
        <v>157.5</v>
      </c>
      <c r="E437" s="497">
        <v>4.8</v>
      </c>
      <c r="F437" s="495">
        <v>5.81</v>
      </c>
      <c r="G437" s="495">
        <v>6.73</v>
      </c>
      <c r="H437" s="495">
        <v>6.91</v>
      </c>
      <c r="I437" s="495">
        <v>6.77</v>
      </c>
      <c r="J437" s="495">
        <v>6.33</v>
      </c>
      <c r="K437" s="497">
        <v>6.11</v>
      </c>
      <c r="L437" s="497">
        <v>5.93</v>
      </c>
      <c r="M437" s="497">
        <v>5.41</v>
      </c>
      <c r="N437" s="497">
        <v>5.24</v>
      </c>
      <c r="O437" s="497">
        <v>5.05</v>
      </c>
      <c r="P437" s="497">
        <v>4.43</v>
      </c>
      <c r="Q437" s="202">
        <f t="shared" si="13"/>
        <v>5.7933333333333339</v>
      </c>
      <c r="R437" s="202" t="s">
        <v>1020</v>
      </c>
    </row>
    <row r="438" spans="1:18" x14ac:dyDescent="0.15">
      <c r="A438" s="202" t="str">
        <f t="shared" si="12"/>
        <v>Queretaro_Flat Surface_180</v>
      </c>
      <c r="B438" s="580" t="s">
        <v>1017</v>
      </c>
      <c r="C438" s="495">
        <v>0</v>
      </c>
      <c r="D438" s="495">
        <v>180</v>
      </c>
      <c r="E438" s="497">
        <v>4.8</v>
      </c>
      <c r="F438" s="495">
        <v>5.81</v>
      </c>
      <c r="G438" s="495">
        <v>6.73</v>
      </c>
      <c r="H438" s="495">
        <v>6.91</v>
      </c>
      <c r="I438" s="495">
        <v>6.77</v>
      </c>
      <c r="J438" s="495">
        <v>6.33</v>
      </c>
      <c r="K438" s="497">
        <v>6.11</v>
      </c>
      <c r="L438" s="497">
        <v>5.93</v>
      </c>
      <c r="M438" s="497">
        <v>5.41</v>
      </c>
      <c r="N438" s="497">
        <v>5.24</v>
      </c>
      <c r="O438" s="497">
        <v>5.05</v>
      </c>
      <c r="P438" s="497">
        <v>4.43</v>
      </c>
      <c r="Q438" s="202">
        <f t="shared" si="13"/>
        <v>5.7933333333333339</v>
      </c>
      <c r="R438" s="202" t="s">
        <v>1020</v>
      </c>
    </row>
    <row r="439" spans="1:18" x14ac:dyDescent="0.15">
      <c r="A439" s="202" t="str">
        <f t="shared" si="12"/>
        <v>Queretaro_Flat Surface_202.5</v>
      </c>
      <c r="B439" s="580" t="s">
        <v>1017</v>
      </c>
      <c r="C439" s="495">
        <v>0</v>
      </c>
      <c r="D439" s="495">
        <v>202.5</v>
      </c>
      <c r="E439" s="497">
        <v>4.8</v>
      </c>
      <c r="F439" s="495">
        <v>5.81</v>
      </c>
      <c r="G439" s="495">
        <v>6.73</v>
      </c>
      <c r="H439" s="495">
        <v>6.91</v>
      </c>
      <c r="I439" s="495">
        <v>6.77</v>
      </c>
      <c r="J439" s="495">
        <v>6.33</v>
      </c>
      <c r="K439" s="497">
        <v>6.11</v>
      </c>
      <c r="L439" s="497">
        <v>5.93</v>
      </c>
      <c r="M439" s="497">
        <v>5.41</v>
      </c>
      <c r="N439" s="497">
        <v>5.24</v>
      </c>
      <c r="O439" s="497">
        <v>5.05</v>
      </c>
      <c r="P439" s="497">
        <v>4.43</v>
      </c>
      <c r="Q439" s="202">
        <f t="shared" si="13"/>
        <v>5.7933333333333339</v>
      </c>
      <c r="R439" s="202" t="s">
        <v>1020</v>
      </c>
    </row>
    <row r="440" spans="1:18" x14ac:dyDescent="0.15">
      <c r="A440" s="202" t="str">
        <f t="shared" si="12"/>
        <v>Queretaro_Flat Surface_225</v>
      </c>
      <c r="B440" s="580" t="s">
        <v>1017</v>
      </c>
      <c r="C440" s="495">
        <v>0</v>
      </c>
      <c r="D440" s="495">
        <v>225</v>
      </c>
      <c r="E440" s="497">
        <v>4.8</v>
      </c>
      <c r="F440" s="495">
        <v>5.81</v>
      </c>
      <c r="G440" s="495">
        <v>6.73</v>
      </c>
      <c r="H440" s="495">
        <v>6.91</v>
      </c>
      <c r="I440" s="495">
        <v>6.77</v>
      </c>
      <c r="J440" s="495">
        <v>6.33</v>
      </c>
      <c r="K440" s="497">
        <v>6.11</v>
      </c>
      <c r="L440" s="497">
        <v>5.93</v>
      </c>
      <c r="M440" s="497">
        <v>5.41</v>
      </c>
      <c r="N440" s="497">
        <v>5.24</v>
      </c>
      <c r="O440" s="497">
        <v>5.05</v>
      </c>
      <c r="P440" s="497">
        <v>4.43</v>
      </c>
      <c r="Q440" s="202">
        <f t="shared" si="13"/>
        <v>5.7933333333333339</v>
      </c>
      <c r="R440" s="202" t="s">
        <v>1020</v>
      </c>
    </row>
    <row r="441" spans="1:18" x14ac:dyDescent="0.15">
      <c r="A441" s="202" t="str">
        <f t="shared" si="12"/>
        <v>Queretaro_Flat Surface_247.5</v>
      </c>
      <c r="B441" s="580" t="s">
        <v>1017</v>
      </c>
      <c r="C441" s="495">
        <v>0</v>
      </c>
      <c r="D441" s="495">
        <v>247.5</v>
      </c>
      <c r="E441" s="497">
        <v>4.8</v>
      </c>
      <c r="F441" s="495">
        <v>5.81</v>
      </c>
      <c r="G441" s="495">
        <v>6.73</v>
      </c>
      <c r="H441" s="495">
        <v>6.91</v>
      </c>
      <c r="I441" s="495">
        <v>6.77</v>
      </c>
      <c r="J441" s="495">
        <v>6.33</v>
      </c>
      <c r="K441" s="497">
        <v>6.11</v>
      </c>
      <c r="L441" s="497">
        <v>5.93</v>
      </c>
      <c r="M441" s="497">
        <v>5.41</v>
      </c>
      <c r="N441" s="497">
        <v>5.24</v>
      </c>
      <c r="O441" s="497">
        <v>5.05</v>
      </c>
      <c r="P441" s="497">
        <v>4.43</v>
      </c>
      <c r="Q441" s="202">
        <f t="shared" si="13"/>
        <v>5.7933333333333339</v>
      </c>
      <c r="R441" s="202" t="s">
        <v>1020</v>
      </c>
    </row>
    <row r="442" spans="1:18" x14ac:dyDescent="0.15">
      <c r="A442" s="202" t="str">
        <f t="shared" si="12"/>
        <v>Queretaro_Flat Surface_270</v>
      </c>
      <c r="B442" s="580" t="s">
        <v>1017</v>
      </c>
      <c r="C442" s="495">
        <v>0</v>
      </c>
      <c r="D442" s="495">
        <v>270</v>
      </c>
      <c r="E442" s="497">
        <v>4.8</v>
      </c>
      <c r="F442" s="495">
        <v>5.81</v>
      </c>
      <c r="G442" s="495">
        <v>6.73</v>
      </c>
      <c r="H442" s="495">
        <v>6.91</v>
      </c>
      <c r="I442" s="495">
        <v>6.77</v>
      </c>
      <c r="J442" s="495">
        <v>6.33</v>
      </c>
      <c r="K442" s="497">
        <v>6.11</v>
      </c>
      <c r="L442" s="497">
        <v>5.93</v>
      </c>
      <c r="M442" s="497">
        <v>5.41</v>
      </c>
      <c r="N442" s="497">
        <v>5.24</v>
      </c>
      <c r="O442" s="497">
        <v>5.05</v>
      </c>
      <c r="P442" s="497">
        <v>4.43</v>
      </c>
      <c r="Q442" s="202">
        <f t="shared" si="13"/>
        <v>5.7933333333333339</v>
      </c>
      <c r="R442" s="202" t="s">
        <v>1020</v>
      </c>
    </row>
    <row r="443" spans="1:18" x14ac:dyDescent="0.15">
      <c r="A443" s="202" t="str">
        <f t="shared" si="12"/>
        <v>Queretaro_Optimal Summer_90</v>
      </c>
      <c r="B443" s="580" t="s">
        <v>1017</v>
      </c>
      <c r="C443" s="495">
        <v>6</v>
      </c>
      <c r="D443" s="495">
        <v>90</v>
      </c>
      <c r="E443" s="497">
        <v>4.12</v>
      </c>
      <c r="F443" s="497">
        <v>4.8899999999999997</v>
      </c>
      <c r="G443" s="497">
        <v>5.54</v>
      </c>
      <c r="H443" s="497">
        <v>5.56</v>
      </c>
      <c r="I443" s="497">
        <v>5.37</v>
      </c>
      <c r="J443" s="497">
        <v>5.1100000000000003</v>
      </c>
      <c r="K443" s="497">
        <v>4.92</v>
      </c>
      <c r="L443" s="497">
        <v>4.74</v>
      </c>
      <c r="M443" s="497">
        <v>4.3899999999999997</v>
      </c>
      <c r="N443" s="497">
        <v>4.3499999999999996</v>
      </c>
      <c r="O443" s="497">
        <v>4.3099999999999996</v>
      </c>
      <c r="P443" s="497">
        <v>3.81</v>
      </c>
      <c r="Q443" s="202">
        <f t="shared" si="13"/>
        <v>4.7591666666666672</v>
      </c>
      <c r="R443" s="202" t="s">
        <v>984</v>
      </c>
    </row>
    <row r="444" spans="1:18" x14ac:dyDescent="0.15">
      <c r="A444" s="202" t="str">
        <f t="shared" si="12"/>
        <v>Queretaro_Optimal Summer_112.5</v>
      </c>
      <c r="B444" s="580" t="s">
        <v>1017</v>
      </c>
      <c r="C444" s="495">
        <v>6</v>
      </c>
      <c r="D444" s="495">
        <v>112.5</v>
      </c>
      <c r="E444" s="497">
        <v>4.51</v>
      </c>
      <c r="F444" s="497">
        <v>5.35</v>
      </c>
      <c r="G444" s="497">
        <v>6.06</v>
      </c>
      <c r="H444" s="497">
        <v>6.08</v>
      </c>
      <c r="I444" s="497">
        <v>5.87</v>
      </c>
      <c r="J444" s="497">
        <v>5.59</v>
      </c>
      <c r="K444" s="497">
        <v>5.38</v>
      </c>
      <c r="L444" s="497">
        <v>5.19</v>
      </c>
      <c r="M444" s="497">
        <v>4.8</v>
      </c>
      <c r="N444" s="497">
        <v>4.76</v>
      </c>
      <c r="O444" s="497">
        <v>4.72</v>
      </c>
      <c r="P444" s="497">
        <v>4.16</v>
      </c>
      <c r="Q444" s="202">
        <f t="shared" si="13"/>
        <v>5.2058333333333335</v>
      </c>
      <c r="R444" s="202" t="s">
        <v>984</v>
      </c>
    </row>
    <row r="445" spans="1:18" x14ac:dyDescent="0.15">
      <c r="A445" s="202" t="str">
        <f t="shared" si="12"/>
        <v>Queretaro_Optimal Summer_135</v>
      </c>
      <c r="B445" s="580" t="s">
        <v>1017</v>
      </c>
      <c r="C445" s="495">
        <v>6</v>
      </c>
      <c r="D445" s="495">
        <v>135</v>
      </c>
      <c r="E445" s="497">
        <v>4.8899999999999997</v>
      </c>
      <c r="F445" s="497">
        <v>5.8</v>
      </c>
      <c r="G445" s="497">
        <v>6.57</v>
      </c>
      <c r="H445" s="497">
        <v>6.6</v>
      </c>
      <c r="I445" s="497">
        <v>6.37</v>
      </c>
      <c r="J445" s="497">
        <v>6.07</v>
      </c>
      <c r="K445" s="497">
        <v>5.84</v>
      </c>
      <c r="L445" s="497">
        <v>5.63</v>
      </c>
      <c r="M445" s="497">
        <v>5.22</v>
      </c>
      <c r="N445" s="497">
        <v>5.17</v>
      </c>
      <c r="O445" s="497">
        <v>5.12</v>
      </c>
      <c r="P445" s="497">
        <v>4.5199999999999996</v>
      </c>
      <c r="Q445" s="202">
        <f t="shared" si="13"/>
        <v>5.6499999999999995</v>
      </c>
      <c r="R445" s="202" t="s">
        <v>984</v>
      </c>
    </row>
    <row r="446" spans="1:18" x14ac:dyDescent="0.15">
      <c r="A446" s="202" t="str">
        <f t="shared" si="12"/>
        <v>Queretaro_Optimal Summer_157.5</v>
      </c>
      <c r="B446" s="580" t="s">
        <v>1017</v>
      </c>
      <c r="C446" s="495">
        <v>6</v>
      </c>
      <c r="D446" s="495">
        <v>157.5</v>
      </c>
      <c r="E446" s="497">
        <v>5.0199999999999996</v>
      </c>
      <c r="F446" s="497">
        <v>5.96</v>
      </c>
      <c r="G446" s="497">
        <v>6.75</v>
      </c>
      <c r="H446" s="497">
        <v>6.78</v>
      </c>
      <c r="I446" s="497">
        <v>6.54</v>
      </c>
      <c r="J446" s="497">
        <v>6.23</v>
      </c>
      <c r="K446" s="497">
        <v>6</v>
      </c>
      <c r="L446" s="497">
        <v>5.78</v>
      </c>
      <c r="M446" s="497">
        <v>5.35</v>
      </c>
      <c r="N446" s="497">
        <v>5.3</v>
      </c>
      <c r="O446" s="497">
        <v>5.26</v>
      </c>
      <c r="P446" s="497">
        <v>4.6399999999999997</v>
      </c>
      <c r="Q446" s="202">
        <f t="shared" si="13"/>
        <v>5.8008333333333333</v>
      </c>
      <c r="R446" s="202" t="s">
        <v>984</v>
      </c>
    </row>
    <row r="447" spans="1:18" x14ac:dyDescent="0.15">
      <c r="A447" s="202" t="str">
        <f t="shared" si="12"/>
        <v>Queretaro_Optimal Summer_180</v>
      </c>
      <c r="B447" s="580" t="s">
        <v>1017</v>
      </c>
      <c r="C447" s="495">
        <v>6</v>
      </c>
      <c r="D447" s="495">
        <v>180</v>
      </c>
      <c r="E447" s="497">
        <v>5.15</v>
      </c>
      <c r="F447" s="497">
        <v>6.11</v>
      </c>
      <c r="G447" s="497">
        <v>6.92</v>
      </c>
      <c r="H447" s="497">
        <v>6.95</v>
      </c>
      <c r="I447" s="497">
        <v>6.71</v>
      </c>
      <c r="J447" s="497">
        <v>6.39</v>
      </c>
      <c r="K447" s="497">
        <v>6.15</v>
      </c>
      <c r="L447" s="497">
        <v>5.93</v>
      </c>
      <c r="M447" s="497">
        <v>5.49</v>
      </c>
      <c r="N447" s="497">
        <v>5.44</v>
      </c>
      <c r="O447" s="497">
        <v>5.39</v>
      </c>
      <c r="P447" s="497">
        <v>4.76</v>
      </c>
      <c r="Q447" s="202">
        <f t="shared" si="13"/>
        <v>5.9491666666666667</v>
      </c>
      <c r="R447" s="202" t="s">
        <v>984</v>
      </c>
    </row>
    <row r="448" spans="1:18" x14ac:dyDescent="0.15">
      <c r="A448" s="202" t="str">
        <f t="shared" si="12"/>
        <v>Queretaro_Optimal Summer_202.5</v>
      </c>
      <c r="B448" s="580" t="s">
        <v>1017</v>
      </c>
      <c r="C448" s="495">
        <v>6</v>
      </c>
      <c r="D448" s="495">
        <v>202.5</v>
      </c>
      <c r="E448" s="497">
        <v>5.0199999999999996</v>
      </c>
      <c r="F448" s="497">
        <v>5.96</v>
      </c>
      <c r="G448" s="497">
        <v>6.75</v>
      </c>
      <c r="H448" s="497">
        <v>6.78</v>
      </c>
      <c r="I448" s="497">
        <v>6.54</v>
      </c>
      <c r="J448" s="497">
        <v>6.23</v>
      </c>
      <c r="K448" s="497">
        <v>6</v>
      </c>
      <c r="L448" s="497">
        <v>5.78</v>
      </c>
      <c r="M448" s="497">
        <v>5.35</v>
      </c>
      <c r="N448" s="497">
        <v>5.3</v>
      </c>
      <c r="O448" s="497">
        <v>5.26</v>
      </c>
      <c r="P448" s="497">
        <v>4.6399999999999997</v>
      </c>
      <c r="Q448" s="202">
        <f t="shared" si="13"/>
        <v>5.8008333333333333</v>
      </c>
      <c r="R448" s="202" t="s">
        <v>984</v>
      </c>
    </row>
    <row r="449" spans="1:18" x14ac:dyDescent="0.15">
      <c r="A449" s="202" t="str">
        <f t="shared" si="12"/>
        <v>Queretaro_Optimal Summer_225</v>
      </c>
      <c r="B449" s="580" t="s">
        <v>1017</v>
      </c>
      <c r="C449" s="495">
        <v>6</v>
      </c>
      <c r="D449" s="495">
        <v>225</v>
      </c>
      <c r="E449" s="495">
        <v>4.8899999999999997</v>
      </c>
      <c r="F449" s="495">
        <v>5.8</v>
      </c>
      <c r="G449" s="495">
        <v>6.57</v>
      </c>
      <c r="H449" s="495">
        <v>6.6</v>
      </c>
      <c r="I449" s="495">
        <v>6.37</v>
      </c>
      <c r="J449" s="495">
        <v>6.07</v>
      </c>
      <c r="K449" s="495">
        <v>5.84</v>
      </c>
      <c r="L449" s="495">
        <v>5.63</v>
      </c>
      <c r="M449" s="495">
        <v>5.22</v>
      </c>
      <c r="N449" s="495">
        <v>5.17</v>
      </c>
      <c r="O449" s="495">
        <v>5.12</v>
      </c>
      <c r="P449" s="495">
        <v>4.5199999999999996</v>
      </c>
      <c r="Q449" s="202">
        <f t="shared" si="13"/>
        <v>5.6499999999999995</v>
      </c>
      <c r="R449" s="202" t="s">
        <v>984</v>
      </c>
    </row>
    <row r="450" spans="1:18" x14ac:dyDescent="0.15">
      <c r="A450" s="202" t="str">
        <f t="shared" ref="A450:A513" si="14">B450&amp;"_"&amp;R450&amp;"_"&amp;D450</f>
        <v>Queretaro_Optimal Summer_247.5</v>
      </c>
      <c r="B450" s="580" t="s">
        <v>1017</v>
      </c>
      <c r="C450" s="495">
        <v>6</v>
      </c>
      <c r="D450" s="495">
        <v>247.5</v>
      </c>
      <c r="E450" s="495">
        <v>4.51</v>
      </c>
      <c r="F450" s="495">
        <v>5.35</v>
      </c>
      <c r="G450" s="495">
        <v>6.06</v>
      </c>
      <c r="H450" s="495">
        <v>6.08</v>
      </c>
      <c r="I450" s="495">
        <v>5.87</v>
      </c>
      <c r="J450" s="495">
        <v>5.59</v>
      </c>
      <c r="K450" s="495">
        <v>5.38</v>
      </c>
      <c r="L450" s="495">
        <v>5.19</v>
      </c>
      <c r="M450" s="495">
        <v>4.8</v>
      </c>
      <c r="N450" s="495">
        <v>4.76</v>
      </c>
      <c r="O450" s="495">
        <v>4.72</v>
      </c>
      <c r="P450" s="495">
        <v>4.16</v>
      </c>
      <c r="Q450" s="202">
        <f t="shared" ref="Q450:Q513" si="15">AVERAGE(E450:P450)</f>
        <v>5.2058333333333335</v>
      </c>
      <c r="R450" s="202" t="s">
        <v>984</v>
      </c>
    </row>
    <row r="451" spans="1:18" x14ac:dyDescent="0.15">
      <c r="A451" s="202" t="str">
        <f t="shared" si="14"/>
        <v>Queretaro_Optimal Summer_270</v>
      </c>
      <c r="B451" s="580" t="s">
        <v>1017</v>
      </c>
      <c r="C451" s="495">
        <v>6</v>
      </c>
      <c r="D451" s="495">
        <v>270</v>
      </c>
      <c r="E451" s="495">
        <v>4.12</v>
      </c>
      <c r="F451" s="495">
        <v>4.8899999999999997</v>
      </c>
      <c r="G451" s="495">
        <v>5.54</v>
      </c>
      <c r="H451" s="495">
        <v>5.56</v>
      </c>
      <c r="I451" s="495">
        <v>5.37</v>
      </c>
      <c r="J451" s="495">
        <v>5.1100000000000003</v>
      </c>
      <c r="K451" s="495">
        <v>4.92</v>
      </c>
      <c r="L451" s="495">
        <v>4.74</v>
      </c>
      <c r="M451" s="495">
        <v>4.3899999999999997</v>
      </c>
      <c r="N451" s="495">
        <v>4.3499999999999996</v>
      </c>
      <c r="O451" s="495">
        <v>4.3099999999999996</v>
      </c>
      <c r="P451" s="495">
        <v>3.81</v>
      </c>
      <c r="Q451" s="202">
        <f t="shared" si="15"/>
        <v>4.7591666666666672</v>
      </c>
      <c r="R451" s="202" t="s">
        <v>984</v>
      </c>
    </row>
    <row r="452" spans="1:18" x14ac:dyDescent="0.15">
      <c r="A452" s="202" t="str">
        <f t="shared" si="14"/>
        <v>Queretaro_Optimal Year Round_90</v>
      </c>
      <c r="B452" s="580" t="s">
        <v>1017</v>
      </c>
      <c r="C452" s="495">
        <v>21</v>
      </c>
      <c r="D452" s="495">
        <v>90</v>
      </c>
      <c r="E452" s="497">
        <v>4.79</v>
      </c>
      <c r="F452" s="497">
        <v>5.42</v>
      </c>
      <c r="G452" s="497">
        <v>5.78</v>
      </c>
      <c r="H452" s="497">
        <v>5.46</v>
      </c>
      <c r="I452" s="497">
        <v>5.0199999999999996</v>
      </c>
      <c r="J452" s="497">
        <v>5.07</v>
      </c>
      <c r="K452" s="497">
        <v>4.8600000000000003</v>
      </c>
      <c r="L452" s="497">
        <v>4.58</v>
      </c>
      <c r="M452" s="497">
        <v>4.4400000000000004</v>
      </c>
      <c r="N452" s="497">
        <v>4.67</v>
      </c>
      <c r="O452" s="497">
        <v>4.95</v>
      </c>
      <c r="P452" s="497">
        <v>4.43</v>
      </c>
      <c r="Q452" s="202">
        <f t="shared" si="15"/>
        <v>4.9558333333333335</v>
      </c>
      <c r="R452" s="202" t="s">
        <v>1019</v>
      </c>
    </row>
    <row r="453" spans="1:18" x14ac:dyDescent="0.15">
      <c r="A453" s="202" t="str">
        <f t="shared" si="14"/>
        <v>Queretaro_Optimal Year Round_112.5</v>
      </c>
      <c r="B453" s="580" t="s">
        <v>1017</v>
      </c>
      <c r="C453" s="495">
        <v>21</v>
      </c>
      <c r="D453" s="495">
        <v>112.5</v>
      </c>
      <c r="E453" s="497">
        <v>5.24</v>
      </c>
      <c r="F453" s="497">
        <v>5.93</v>
      </c>
      <c r="G453" s="497">
        <v>6.33</v>
      </c>
      <c r="H453" s="497">
        <v>5.98</v>
      </c>
      <c r="I453" s="497">
        <v>5.5</v>
      </c>
      <c r="J453" s="497">
        <v>5.55</v>
      </c>
      <c r="K453" s="497">
        <v>5.31</v>
      </c>
      <c r="L453" s="497">
        <v>5.01</v>
      </c>
      <c r="M453" s="497">
        <v>4.8600000000000003</v>
      </c>
      <c r="N453" s="497">
        <v>5.1100000000000003</v>
      </c>
      <c r="O453" s="497">
        <v>5.42</v>
      </c>
      <c r="P453" s="497">
        <v>4.8499999999999996</v>
      </c>
      <c r="Q453" s="202">
        <f t="shared" si="15"/>
        <v>5.4241666666666672</v>
      </c>
      <c r="R453" s="202" t="s">
        <v>1019</v>
      </c>
    </row>
    <row r="454" spans="1:18" x14ac:dyDescent="0.15">
      <c r="A454" s="202" t="str">
        <f t="shared" si="14"/>
        <v>Queretaro_Optimal Year Round_135</v>
      </c>
      <c r="B454" s="580" t="s">
        <v>1017</v>
      </c>
      <c r="C454" s="495">
        <v>21</v>
      </c>
      <c r="D454" s="495">
        <v>135</v>
      </c>
      <c r="E454" s="497">
        <v>5.69</v>
      </c>
      <c r="F454" s="497">
        <v>6.44</v>
      </c>
      <c r="G454" s="497">
        <v>6.87</v>
      </c>
      <c r="H454" s="497">
        <v>6.49</v>
      </c>
      <c r="I454" s="497">
        <v>5.97</v>
      </c>
      <c r="J454" s="497">
        <v>6.02</v>
      </c>
      <c r="K454" s="497">
        <v>5.77</v>
      </c>
      <c r="L454" s="497">
        <v>5.44</v>
      </c>
      <c r="M454" s="497">
        <v>5.27</v>
      </c>
      <c r="N454" s="497">
        <v>5.55</v>
      </c>
      <c r="O454" s="497">
        <v>5.88</v>
      </c>
      <c r="P454" s="497">
        <v>5.26</v>
      </c>
      <c r="Q454" s="202">
        <f t="shared" si="15"/>
        <v>5.8874999999999993</v>
      </c>
      <c r="R454" s="202" t="s">
        <v>1019</v>
      </c>
    </row>
    <row r="455" spans="1:18" x14ac:dyDescent="0.15">
      <c r="A455" s="202" t="str">
        <f t="shared" si="14"/>
        <v>Queretaro_Optimal Year Round_157.5</v>
      </c>
      <c r="B455" s="580" t="s">
        <v>1017</v>
      </c>
      <c r="C455" s="495">
        <v>21</v>
      </c>
      <c r="D455" s="495">
        <v>157.5</v>
      </c>
      <c r="E455" s="497">
        <v>5.84</v>
      </c>
      <c r="F455" s="497">
        <v>6.61</v>
      </c>
      <c r="G455" s="497">
        <v>7.05</v>
      </c>
      <c r="H455" s="497">
        <v>6.66</v>
      </c>
      <c r="I455" s="497">
        <v>6.12</v>
      </c>
      <c r="J455" s="497">
        <v>6.18</v>
      </c>
      <c r="K455" s="497">
        <v>5.92</v>
      </c>
      <c r="L455" s="497">
        <v>5.59</v>
      </c>
      <c r="M455" s="497">
        <v>5.41</v>
      </c>
      <c r="N455" s="497">
        <v>5.69</v>
      </c>
      <c r="O455" s="497">
        <v>6.04</v>
      </c>
      <c r="P455" s="497">
        <v>5.4</v>
      </c>
      <c r="Q455" s="202">
        <f t="shared" si="15"/>
        <v>6.0425000000000004</v>
      </c>
      <c r="R455" s="202" t="s">
        <v>1019</v>
      </c>
    </row>
    <row r="456" spans="1:18" x14ac:dyDescent="0.15">
      <c r="A456" s="202" t="str">
        <f t="shared" si="14"/>
        <v>Queretaro_Optimal Year Round_180</v>
      </c>
      <c r="B456" s="580" t="s">
        <v>1017</v>
      </c>
      <c r="C456" s="495">
        <v>21</v>
      </c>
      <c r="D456" s="495">
        <v>180</v>
      </c>
      <c r="E456" s="497">
        <v>5.99</v>
      </c>
      <c r="F456" s="497">
        <v>6.78</v>
      </c>
      <c r="G456" s="497">
        <v>7.23</v>
      </c>
      <c r="H456" s="497">
        <v>6.83</v>
      </c>
      <c r="I456" s="497">
        <v>6.28</v>
      </c>
      <c r="J456" s="497">
        <v>6.34</v>
      </c>
      <c r="K456" s="497">
        <v>6.07</v>
      </c>
      <c r="L456" s="497">
        <v>5.73</v>
      </c>
      <c r="M456" s="497">
        <v>5.55</v>
      </c>
      <c r="N456" s="497">
        <v>5.84</v>
      </c>
      <c r="O456" s="497">
        <v>6.19</v>
      </c>
      <c r="P456" s="497">
        <v>5.54</v>
      </c>
      <c r="Q456" s="202">
        <f t="shared" si="15"/>
        <v>6.1975000000000007</v>
      </c>
      <c r="R456" s="202" t="s">
        <v>1019</v>
      </c>
    </row>
    <row r="457" spans="1:18" x14ac:dyDescent="0.15">
      <c r="A457" s="202" t="str">
        <f t="shared" si="14"/>
        <v>Queretaro_Optimal Year Round_202.5</v>
      </c>
      <c r="B457" s="580" t="s">
        <v>1017</v>
      </c>
      <c r="C457" s="495">
        <v>21</v>
      </c>
      <c r="D457" s="495">
        <v>202.5</v>
      </c>
      <c r="E457" s="497">
        <v>5.84</v>
      </c>
      <c r="F457" s="497">
        <v>6.61</v>
      </c>
      <c r="G457" s="497">
        <v>7.05</v>
      </c>
      <c r="H457" s="497">
        <v>6.66</v>
      </c>
      <c r="I457" s="497">
        <v>6.12</v>
      </c>
      <c r="J457" s="497">
        <v>6.18</v>
      </c>
      <c r="K457" s="497">
        <v>5.92</v>
      </c>
      <c r="L457" s="497">
        <v>5.59</v>
      </c>
      <c r="M457" s="497">
        <v>5.41</v>
      </c>
      <c r="N457" s="497">
        <v>5.69</v>
      </c>
      <c r="O457" s="497">
        <v>6.04</v>
      </c>
      <c r="P457" s="497">
        <v>5.4</v>
      </c>
      <c r="Q457" s="202">
        <f t="shared" si="15"/>
        <v>6.0425000000000004</v>
      </c>
      <c r="R457" s="202" t="s">
        <v>1019</v>
      </c>
    </row>
    <row r="458" spans="1:18" x14ac:dyDescent="0.15">
      <c r="A458" s="202" t="str">
        <f t="shared" si="14"/>
        <v>Queretaro_Optimal Year Round_225</v>
      </c>
      <c r="B458" s="580" t="s">
        <v>1017</v>
      </c>
      <c r="C458" s="495">
        <v>21</v>
      </c>
      <c r="D458" s="495">
        <v>225</v>
      </c>
      <c r="E458" s="495">
        <v>5.69</v>
      </c>
      <c r="F458" s="495">
        <v>6.44</v>
      </c>
      <c r="G458" s="495">
        <v>6.87</v>
      </c>
      <c r="H458" s="495">
        <v>6.49</v>
      </c>
      <c r="I458" s="495">
        <v>5.97</v>
      </c>
      <c r="J458" s="495">
        <v>6.02</v>
      </c>
      <c r="K458" s="495">
        <v>5.77</v>
      </c>
      <c r="L458" s="495">
        <v>5.44</v>
      </c>
      <c r="M458" s="495">
        <v>5.27</v>
      </c>
      <c r="N458" s="495">
        <v>5.55</v>
      </c>
      <c r="O458" s="495">
        <v>5.88</v>
      </c>
      <c r="P458" s="495">
        <v>5.26</v>
      </c>
      <c r="Q458" s="202">
        <f t="shared" si="15"/>
        <v>5.8874999999999993</v>
      </c>
      <c r="R458" s="202" t="s">
        <v>1019</v>
      </c>
    </row>
    <row r="459" spans="1:18" x14ac:dyDescent="0.15">
      <c r="A459" s="202" t="str">
        <f t="shared" si="14"/>
        <v>Queretaro_Optimal Year Round_247.5</v>
      </c>
      <c r="B459" s="580" t="s">
        <v>1017</v>
      </c>
      <c r="C459" s="495">
        <v>21</v>
      </c>
      <c r="D459" s="495">
        <v>247.5</v>
      </c>
      <c r="E459" s="495">
        <v>5.24</v>
      </c>
      <c r="F459" s="495">
        <v>5.93</v>
      </c>
      <c r="G459" s="495">
        <v>6.33</v>
      </c>
      <c r="H459" s="495">
        <v>5.98</v>
      </c>
      <c r="I459" s="495">
        <v>5.5</v>
      </c>
      <c r="J459" s="495">
        <v>5.55</v>
      </c>
      <c r="K459" s="495">
        <v>5.31</v>
      </c>
      <c r="L459" s="495">
        <v>5.01</v>
      </c>
      <c r="M459" s="495">
        <v>4.8600000000000003</v>
      </c>
      <c r="N459" s="495">
        <v>5.1100000000000003</v>
      </c>
      <c r="O459" s="495">
        <v>5.42</v>
      </c>
      <c r="P459" s="495">
        <v>4.8499999999999996</v>
      </c>
      <c r="Q459" s="202">
        <f t="shared" si="15"/>
        <v>5.4241666666666672</v>
      </c>
      <c r="R459" s="202" t="s">
        <v>1019</v>
      </c>
    </row>
    <row r="460" spans="1:18" x14ac:dyDescent="0.15">
      <c r="A460" s="202" t="str">
        <f t="shared" si="14"/>
        <v>Queretaro_Optimal Year Round_270</v>
      </c>
      <c r="B460" s="580" t="s">
        <v>1017</v>
      </c>
      <c r="C460" s="495">
        <v>21</v>
      </c>
      <c r="D460" s="495">
        <v>270</v>
      </c>
      <c r="E460" s="495">
        <v>4.79</v>
      </c>
      <c r="F460" s="495">
        <v>5.42</v>
      </c>
      <c r="G460" s="495">
        <v>5.78</v>
      </c>
      <c r="H460" s="495">
        <v>5.46</v>
      </c>
      <c r="I460" s="495">
        <v>5.0199999999999996</v>
      </c>
      <c r="J460" s="495">
        <v>5.07</v>
      </c>
      <c r="K460" s="495">
        <v>4.8600000000000003</v>
      </c>
      <c r="L460" s="495">
        <v>4.58</v>
      </c>
      <c r="M460" s="495">
        <v>4.4400000000000004</v>
      </c>
      <c r="N460" s="495">
        <v>4.67</v>
      </c>
      <c r="O460" s="495">
        <v>4.95</v>
      </c>
      <c r="P460" s="495">
        <v>4.43</v>
      </c>
      <c r="Q460" s="202">
        <f t="shared" si="15"/>
        <v>4.9558333333333335</v>
      </c>
      <c r="R460" s="202" t="s">
        <v>1019</v>
      </c>
    </row>
    <row r="461" spans="1:18" x14ac:dyDescent="0.15">
      <c r="A461" s="202" t="str">
        <f t="shared" si="14"/>
        <v>Reynosa_Flat Surface_90</v>
      </c>
      <c r="B461" s="202" t="s">
        <v>1034</v>
      </c>
      <c r="C461" s="202">
        <v>0</v>
      </c>
      <c r="D461" s="202">
        <v>90</v>
      </c>
      <c r="E461" s="202">
        <v>3</v>
      </c>
      <c r="F461" s="202">
        <v>3.73</v>
      </c>
      <c r="G461" s="202">
        <v>4.78</v>
      </c>
      <c r="H461" s="202">
        <v>5.34</v>
      </c>
      <c r="I461" s="202">
        <v>5.94</v>
      </c>
      <c r="J461" s="202">
        <v>6.49</v>
      </c>
      <c r="K461" s="202">
        <v>6.59</v>
      </c>
      <c r="L461" s="202">
        <v>6.03</v>
      </c>
      <c r="M461" s="202">
        <v>5.09</v>
      </c>
      <c r="N461" s="202">
        <v>4.43</v>
      </c>
      <c r="O461" s="202">
        <v>3.41</v>
      </c>
      <c r="P461" s="202">
        <v>2.89</v>
      </c>
      <c r="Q461" s="202">
        <f t="shared" si="15"/>
        <v>4.8100000000000014</v>
      </c>
      <c r="R461" s="202" t="s">
        <v>1020</v>
      </c>
    </row>
    <row r="462" spans="1:18" x14ac:dyDescent="0.15">
      <c r="A462" s="202" t="str">
        <f t="shared" si="14"/>
        <v>Reynosa_Flat Surface_112.5</v>
      </c>
      <c r="B462" s="202" t="s">
        <v>1034</v>
      </c>
      <c r="C462" s="202">
        <v>0</v>
      </c>
      <c r="D462" s="202">
        <v>112.5</v>
      </c>
      <c r="E462" s="202">
        <v>3</v>
      </c>
      <c r="F462" s="202">
        <v>3.73</v>
      </c>
      <c r="G462" s="202">
        <v>4.78</v>
      </c>
      <c r="H462" s="202">
        <v>5.34</v>
      </c>
      <c r="I462" s="202">
        <v>5.94</v>
      </c>
      <c r="J462" s="202">
        <v>6.49</v>
      </c>
      <c r="K462" s="202">
        <v>6.59</v>
      </c>
      <c r="L462" s="202">
        <v>6.03</v>
      </c>
      <c r="M462" s="202">
        <v>5.09</v>
      </c>
      <c r="N462" s="202">
        <v>4.43</v>
      </c>
      <c r="O462" s="202">
        <v>3.41</v>
      </c>
      <c r="P462" s="202">
        <v>2.89</v>
      </c>
      <c r="Q462" s="202">
        <f t="shared" si="15"/>
        <v>4.8100000000000014</v>
      </c>
      <c r="R462" s="202" t="s">
        <v>1020</v>
      </c>
    </row>
    <row r="463" spans="1:18" x14ac:dyDescent="0.15">
      <c r="A463" s="202" t="str">
        <f t="shared" si="14"/>
        <v>Reynosa_Flat Surface_135</v>
      </c>
      <c r="B463" s="202" t="s">
        <v>1034</v>
      </c>
      <c r="C463" s="202">
        <v>0</v>
      </c>
      <c r="D463" s="202">
        <v>135</v>
      </c>
      <c r="E463" s="202">
        <v>3</v>
      </c>
      <c r="F463" s="202">
        <v>3.73</v>
      </c>
      <c r="G463" s="202">
        <v>4.78</v>
      </c>
      <c r="H463" s="202">
        <v>5.34</v>
      </c>
      <c r="I463" s="202">
        <v>5.94</v>
      </c>
      <c r="J463" s="202">
        <v>6.49</v>
      </c>
      <c r="K463" s="202">
        <v>6.59</v>
      </c>
      <c r="L463" s="202">
        <v>6.03</v>
      </c>
      <c r="M463" s="202">
        <v>5.09</v>
      </c>
      <c r="N463" s="202">
        <v>4.43</v>
      </c>
      <c r="O463" s="202">
        <v>3.41</v>
      </c>
      <c r="P463" s="202">
        <v>2.89</v>
      </c>
      <c r="Q463" s="202">
        <f t="shared" si="15"/>
        <v>4.8100000000000014</v>
      </c>
      <c r="R463" s="202" t="s">
        <v>1020</v>
      </c>
    </row>
    <row r="464" spans="1:18" x14ac:dyDescent="0.15">
      <c r="A464" s="202" t="str">
        <f t="shared" si="14"/>
        <v>Reynosa_Flat Surface_157.5</v>
      </c>
      <c r="B464" s="202" t="s">
        <v>1034</v>
      </c>
      <c r="C464" s="202">
        <v>0</v>
      </c>
      <c r="D464" s="202">
        <v>157.5</v>
      </c>
      <c r="E464" s="202">
        <v>3</v>
      </c>
      <c r="F464" s="202">
        <v>3.73</v>
      </c>
      <c r="G464" s="202">
        <v>4.78</v>
      </c>
      <c r="H464" s="202">
        <v>5.34</v>
      </c>
      <c r="I464" s="202">
        <v>5.94</v>
      </c>
      <c r="J464" s="202">
        <v>6.49</v>
      </c>
      <c r="K464" s="202">
        <v>6.59</v>
      </c>
      <c r="L464" s="202">
        <v>6.03</v>
      </c>
      <c r="M464" s="202">
        <v>5.09</v>
      </c>
      <c r="N464" s="202">
        <v>4.43</v>
      </c>
      <c r="O464" s="202">
        <v>3.41</v>
      </c>
      <c r="P464" s="202">
        <v>2.89</v>
      </c>
      <c r="Q464" s="202">
        <f t="shared" si="15"/>
        <v>4.8100000000000014</v>
      </c>
      <c r="R464" s="202" t="s">
        <v>1020</v>
      </c>
    </row>
    <row r="465" spans="1:18" x14ac:dyDescent="0.15">
      <c r="A465" s="202" t="str">
        <f t="shared" si="14"/>
        <v>Reynosa_Flat Surface_180</v>
      </c>
      <c r="B465" s="202" t="s">
        <v>1034</v>
      </c>
      <c r="C465" s="202">
        <v>0</v>
      </c>
      <c r="D465" s="202">
        <v>180</v>
      </c>
      <c r="E465" s="202">
        <v>3</v>
      </c>
      <c r="F465" s="202">
        <v>3.73</v>
      </c>
      <c r="G465" s="202">
        <v>4.78</v>
      </c>
      <c r="H465" s="202">
        <v>5.34</v>
      </c>
      <c r="I465" s="202">
        <v>5.94</v>
      </c>
      <c r="J465" s="202">
        <v>6.49</v>
      </c>
      <c r="K465" s="202">
        <v>6.59</v>
      </c>
      <c r="L465" s="202">
        <v>6.03</v>
      </c>
      <c r="M465" s="202">
        <v>5.09</v>
      </c>
      <c r="N465" s="202">
        <v>4.43</v>
      </c>
      <c r="O465" s="202">
        <v>3.41</v>
      </c>
      <c r="P465" s="202">
        <v>2.89</v>
      </c>
      <c r="Q465" s="202">
        <f t="shared" si="15"/>
        <v>4.8100000000000014</v>
      </c>
      <c r="R465" s="202" t="s">
        <v>1020</v>
      </c>
    </row>
    <row r="466" spans="1:18" x14ac:dyDescent="0.15">
      <c r="A466" s="202" t="str">
        <f t="shared" si="14"/>
        <v>Reynosa_Flat Surface_202.5</v>
      </c>
      <c r="B466" s="202" t="s">
        <v>1034</v>
      </c>
      <c r="C466" s="202">
        <v>0</v>
      </c>
      <c r="D466" s="202">
        <v>202.5</v>
      </c>
      <c r="E466" s="202">
        <v>3</v>
      </c>
      <c r="F466" s="202">
        <v>3.73</v>
      </c>
      <c r="G466" s="202">
        <v>4.78</v>
      </c>
      <c r="H466" s="202">
        <v>5.34</v>
      </c>
      <c r="I466" s="202">
        <v>5.94</v>
      </c>
      <c r="J466" s="202">
        <v>6.49</v>
      </c>
      <c r="K466" s="202">
        <v>6.59</v>
      </c>
      <c r="L466" s="202">
        <v>6.03</v>
      </c>
      <c r="M466" s="202">
        <v>5.09</v>
      </c>
      <c r="N466" s="202">
        <v>4.43</v>
      </c>
      <c r="O466" s="202">
        <v>3.41</v>
      </c>
      <c r="P466" s="202">
        <v>2.89</v>
      </c>
      <c r="Q466" s="202">
        <f t="shared" si="15"/>
        <v>4.8100000000000014</v>
      </c>
      <c r="R466" s="202" t="s">
        <v>1020</v>
      </c>
    </row>
    <row r="467" spans="1:18" x14ac:dyDescent="0.15">
      <c r="A467" s="202" t="str">
        <f t="shared" si="14"/>
        <v>Reynosa_Flat Surface_225</v>
      </c>
      <c r="B467" s="202" t="s">
        <v>1034</v>
      </c>
      <c r="C467" s="202">
        <v>0</v>
      </c>
      <c r="D467" s="202">
        <v>225</v>
      </c>
      <c r="E467" s="202">
        <v>3</v>
      </c>
      <c r="F467" s="202">
        <v>3.73</v>
      </c>
      <c r="G467" s="202">
        <v>4.78</v>
      </c>
      <c r="H467" s="202">
        <v>5.34</v>
      </c>
      <c r="I467" s="202">
        <v>5.94</v>
      </c>
      <c r="J467" s="202">
        <v>6.49</v>
      </c>
      <c r="K467" s="202">
        <v>6.59</v>
      </c>
      <c r="L467" s="202">
        <v>6.03</v>
      </c>
      <c r="M467" s="202">
        <v>5.09</v>
      </c>
      <c r="N467" s="202">
        <v>4.43</v>
      </c>
      <c r="O467" s="202">
        <v>3.41</v>
      </c>
      <c r="P467" s="202">
        <v>2.89</v>
      </c>
      <c r="Q467" s="202">
        <f t="shared" si="15"/>
        <v>4.8100000000000014</v>
      </c>
      <c r="R467" s="202" t="s">
        <v>1020</v>
      </c>
    </row>
    <row r="468" spans="1:18" x14ac:dyDescent="0.15">
      <c r="A468" s="202" t="str">
        <f t="shared" si="14"/>
        <v>Reynosa_Flat Surface_247.5</v>
      </c>
      <c r="B468" s="202" t="s">
        <v>1034</v>
      </c>
      <c r="C468" s="202">
        <v>0</v>
      </c>
      <c r="D468" s="202">
        <v>247.5</v>
      </c>
      <c r="E468" s="202">
        <v>3</v>
      </c>
      <c r="F468" s="202">
        <v>3.73</v>
      </c>
      <c r="G468" s="202">
        <v>4.78</v>
      </c>
      <c r="H468" s="202">
        <v>5.34</v>
      </c>
      <c r="I468" s="202">
        <v>5.94</v>
      </c>
      <c r="J468" s="202">
        <v>6.49</v>
      </c>
      <c r="K468" s="202">
        <v>6.59</v>
      </c>
      <c r="L468" s="202">
        <v>6.03</v>
      </c>
      <c r="M468" s="202">
        <v>5.09</v>
      </c>
      <c r="N468" s="202">
        <v>4.43</v>
      </c>
      <c r="O468" s="202">
        <v>3.41</v>
      </c>
      <c r="P468" s="202">
        <v>2.89</v>
      </c>
      <c r="Q468" s="202">
        <f t="shared" si="15"/>
        <v>4.8100000000000014</v>
      </c>
      <c r="R468" s="202" t="s">
        <v>1020</v>
      </c>
    </row>
    <row r="469" spans="1:18" x14ac:dyDescent="0.15">
      <c r="A469" s="202" t="str">
        <f t="shared" si="14"/>
        <v>Reynosa_Flat Surface_270</v>
      </c>
      <c r="B469" s="202" t="s">
        <v>1034</v>
      </c>
      <c r="C469" s="202">
        <v>0</v>
      </c>
      <c r="D469" s="202">
        <v>270</v>
      </c>
      <c r="E469" s="202">
        <v>3</v>
      </c>
      <c r="F469" s="202">
        <v>3.73</v>
      </c>
      <c r="G469" s="202">
        <v>4.78</v>
      </c>
      <c r="H469" s="202">
        <v>5.34</v>
      </c>
      <c r="I469" s="202">
        <v>5.94</v>
      </c>
      <c r="J469" s="202">
        <v>6.49</v>
      </c>
      <c r="K469" s="202">
        <v>6.59</v>
      </c>
      <c r="L469" s="202">
        <v>6.03</v>
      </c>
      <c r="M469" s="202">
        <v>5.09</v>
      </c>
      <c r="N469" s="202">
        <v>4.43</v>
      </c>
      <c r="O469" s="202">
        <v>3.41</v>
      </c>
      <c r="P469" s="202">
        <v>2.89</v>
      </c>
      <c r="Q469" s="202">
        <f t="shared" si="15"/>
        <v>4.8100000000000014</v>
      </c>
      <c r="R469" s="202" t="s">
        <v>1020</v>
      </c>
    </row>
    <row r="470" spans="1:18" x14ac:dyDescent="0.15">
      <c r="A470" s="202" t="str">
        <f t="shared" si="14"/>
        <v>Reynosa_Optimal Summer_90</v>
      </c>
      <c r="B470" s="202" t="s">
        <v>1034</v>
      </c>
      <c r="C470" s="202">
        <v>11</v>
      </c>
      <c r="D470" s="202">
        <v>90</v>
      </c>
      <c r="E470" s="202">
        <v>2.7</v>
      </c>
      <c r="F470" s="202">
        <v>3.26</v>
      </c>
      <c r="G470" s="202">
        <v>4.03</v>
      </c>
      <c r="H470" s="202">
        <v>4.34</v>
      </c>
      <c r="I470" s="202">
        <v>4.68</v>
      </c>
      <c r="J470" s="202">
        <v>5.05</v>
      </c>
      <c r="K470" s="202">
        <v>5.14</v>
      </c>
      <c r="L470" s="202">
        <v>4.82</v>
      </c>
      <c r="M470" s="202">
        <v>4.2300000000000004</v>
      </c>
      <c r="N470" s="202">
        <v>3.86</v>
      </c>
      <c r="O470" s="202">
        <v>3.07</v>
      </c>
      <c r="P470" s="202">
        <v>2.64</v>
      </c>
      <c r="Q470" s="202">
        <f t="shared" si="15"/>
        <v>3.9849999999999999</v>
      </c>
      <c r="R470" s="202" t="s">
        <v>984</v>
      </c>
    </row>
    <row r="471" spans="1:18" x14ac:dyDescent="0.15">
      <c r="A471" s="202" t="str">
        <f t="shared" si="14"/>
        <v>Reynosa_Optimal Summer_112.5</v>
      </c>
      <c r="B471" s="202" t="s">
        <v>1034</v>
      </c>
      <c r="C471" s="202">
        <v>11</v>
      </c>
      <c r="D471" s="202">
        <v>112.5</v>
      </c>
      <c r="E471" s="202">
        <v>2.95</v>
      </c>
      <c r="F471" s="202">
        <v>3.56</v>
      </c>
      <c r="G471" s="202">
        <v>4.41</v>
      </c>
      <c r="H471" s="202">
        <v>4.74</v>
      </c>
      <c r="I471" s="202">
        <v>5.12</v>
      </c>
      <c r="J471" s="202">
        <v>5.52</v>
      </c>
      <c r="K471" s="202">
        <v>5.63</v>
      </c>
      <c r="L471" s="202">
        <v>5.28</v>
      </c>
      <c r="M471" s="202">
        <v>4.63</v>
      </c>
      <c r="N471" s="202">
        <v>4.22</v>
      </c>
      <c r="O471" s="202">
        <v>3.36</v>
      </c>
      <c r="P471" s="202">
        <v>2.89</v>
      </c>
      <c r="Q471" s="202">
        <f t="shared" si="15"/>
        <v>4.3591666666666669</v>
      </c>
      <c r="R471" s="202" t="s">
        <v>984</v>
      </c>
    </row>
    <row r="472" spans="1:18" x14ac:dyDescent="0.15">
      <c r="A472" s="202" t="str">
        <f t="shared" si="14"/>
        <v>Reynosa_Optimal Summer_135</v>
      </c>
      <c r="B472" s="202" t="s">
        <v>1034</v>
      </c>
      <c r="C472" s="202">
        <v>11</v>
      </c>
      <c r="D472" s="202">
        <v>135</v>
      </c>
      <c r="E472" s="202">
        <v>3.2</v>
      </c>
      <c r="F472" s="202">
        <v>3.87</v>
      </c>
      <c r="G472" s="202">
        <v>4.79</v>
      </c>
      <c r="H472" s="202">
        <v>5.15</v>
      </c>
      <c r="I472" s="202">
        <v>5.56</v>
      </c>
      <c r="J472" s="202">
        <v>5.99</v>
      </c>
      <c r="K472" s="202">
        <v>6.11</v>
      </c>
      <c r="L472" s="202">
        <v>5.73</v>
      </c>
      <c r="M472" s="202">
        <v>5.03</v>
      </c>
      <c r="N472" s="202">
        <v>4.58</v>
      </c>
      <c r="O472" s="202">
        <v>3.65</v>
      </c>
      <c r="P472" s="202">
        <v>3.14</v>
      </c>
      <c r="Q472" s="202">
        <f t="shared" si="15"/>
        <v>4.7333333333333325</v>
      </c>
      <c r="R472" s="202" t="s">
        <v>984</v>
      </c>
    </row>
    <row r="473" spans="1:18" x14ac:dyDescent="0.15">
      <c r="A473" s="202" t="str">
        <f t="shared" si="14"/>
        <v>Reynosa_Optimal Summer_157.5</v>
      </c>
      <c r="B473" s="202" t="s">
        <v>1034</v>
      </c>
      <c r="C473" s="202">
        <v>11</v>
      </c>
      <c r="D473" s="202">
        <v>157.5</v>
      </c>
      <c r="E473" s="202">
        <v>3.29</v>
      </c>
      <c r="F473" s="202">
        <v>3.97</v>
      </c>
      <c r="G473" s="202">
        <v>4.91</v>
      </c>
      <c r="H473" s="202">
        <v>5.28</v>
      </c>
      <c r="I473" s="202">
        <v>5.7</v>
      </c>
      <c r="J473" s="202">
        <v>6.15</v>
      </c>
      <c r="K473" s="202">
        <v>6.27</v>
      </c>
      <c r="L473" s="202">
        <v>5.88</v>
      </c>
      <c r="M473" s="202">
        <v>5.16</v>
      </c>
      <c r="N473" s="202">
        <v>4.7</v>
      </c>
      <c r="O473" s="202">
        <v>3.74</v>
      </c>
      <c r="P473" s="202">
        <v>3.22</v>
      </c>
      <c r="Q473" s="202">
        <f t="shared" si="15"/>
        <v>4.8558333333333339</v>
      </c>
      <c r="R473" s="202" t="s">
        <v>984</v>
      </c>
    </row>
    <row r="474" spans="1:18" x14ac:dyDescent="0.15">
      <c r="A474" s="202" t="str">
        <f t="shared" si="14"/>
        <v>Reynosa_Optimal Summer_180</v>
      </c>
      <c r="B474" s="202" t="s">
        <v>1034</v>
      </c>
      <c r="C474" s="202">
        <v>11</v>
      </c>
      <c r="D474" s="202">
        <v>180</v>
      </c>
      <c r="E474" s="202">
        <v>3.37</v>
      </c>
      <c r="F474" s="202">
        <v>4.07</v>
      </c>
      <c r="G474" s="202">
        <v>5.04</v>
      </c>
      <c r="H474" s="202">
        <v>5.42</v>
      </c>
      <c r="I474" s="202">
        <v>5.85</v>
      </c>
      <c r="J474" s="202">
        <v>6.31</v>
      </c>
      <c r="K474" s="202">
        <v>6.43</v>
      </c>
      <c r="L474" s="202">
        <v>6.03</v>
      </c>
      <c r="M474" s="202">
        <v>5.29</v>
      </c>
      <c r="N474" s="202">
        <v>4.82</v>
      </c>
      <c r="O474" s="202">
        <v>3.84</v>
      </c>
      <c r="P474" s="202">
        <v>3.3</v>
      </c>
      <c r="Q474" s="202">
        <f t="shared" si="15"/>
        <v>4.980833333333333</v>
      </c>
      <c r="R474" s="202" t="s">
        <v>984</v>
      </c>
    </row>
    <row r="475" spans="1:18" x14ac:dyDescent="0.15">
      <c r="A475" s="202" t="str">
        <f t="shared" si="14"/>
        <v>Reynosa_Optimal Summer_202.5</v>
      </c>
      <c r="B475" s="202" t="s">
        <v>1034</v>
      </c>
      <c r="C475" s="202">
        <v>11</v>
      </c>
      <c r="D475" s="202">
        <v>202.5</v>
      </c>
      <c r="E475" s="202">
        <v>3.29</v>
      </c>
      <c r="F475" s="202">
        <v>3.97</v>
      </c>
      <c r="G475" s="202">
        <v>4.91</v>
      </c>
      <c r="H475" s="202">
        <v>5.28</v>
      </c>
      <c r="I475" s="202">
        <v>5.7</v>
      </c>
      <c r="J475" s="202">
        <v>6.15</v>
      </c>
      <c r="K475" s="202">
        <v>6.27</v>
      </c>
      <c r="L475" s="202">
        <v>5.88</v>
      </c>
      <c r="M475" s="202">
        <v>5.16</v>
      </c>
      <c r="N475" s="202">
        <v>4.7</v>
      </c>
      <c r="O475" s="202">
        <v>3.74</v>
      </c>
      <c r="P475" s="202">
        <v>3.22</v>
      </c>
      <c r="Q475" s="202">
        <f t="shared" si="15"/>
        <v>4.8558333333333339</v>
      </c>
      <c r="R475" s="202" t="s">
        <v>984</v>
      </c>
    </row>
    <row r="476" spans="1:18" x14ac:dyDescent="0.15">
      <c r="A476" s="202" t="str">
        <f t="shared" si="14"/>
        <v>Reynosa_Optimal Summer_225</v>
      </c>
      <c r="B476" s="202" t="s">
        <v>1034</v>
      </c>
      <c r="C476" s="202">
        <v>11</v>
      </c>
      <c r="D476" s="202">
        <v>225</v>
      </c>
      <c r="E476" s="202">
        <v>3.2</v>
      </c>
      <c r="F476" s="202">
        <v>3.87</v>
      </c>
      <c r="G476" s="202">
        <v>4.79</v>
      </c>
      <c r="H476" s="202">
        <v>5.15</v>
      </c>
      <c r="I476" s="202">
        <v>5.56</v>
      </c>
      <c r="J476" s="202">
        <v>5.99</v>
      </c>
      <c r="K476" s="202">
        <v>6.11</v>
      </c>
      <c r="L476" s="202">
        <v>5.73</v>
      </c>
      <c r="M476" s="202">
        <v>5.03</v>
      </c>
      <c r="N476" s="202">
        <v>4.58</v>
      </c>
      <c r="O476" s="202">
        <v>3.65</v>
      </c>
      <c r="P476" s="202">
        <v>3.14</v>
      </c>
      <c r="Q476" s="202">
        <f t="shared" si="15"/>
        <v>4.7333333333333325</v>
      </c>
      <c r="R476" s="202" t="s">
        <v>984</v>
      </c>
    </row>
    <row r="477" spans="1:18" x14ac:dyDescent="0.15">
      <c r="A477" s="202" t="str">
        <f t="shared" si="14"/>
        <v>Reynosa_Optimal Summer_247.5</v>
      </c>
      <c r="B477" s="202" t="s">
        <v>1034</v>
      </c>
      <c r="C477" s="202">
        <v>11</v>
      </c>
      <c r="D477" s="202">
        <v>247.5</v>
      </c>
      <c r="E477" s="202">
        <v>2.95</v>
      </c>
      <c r="F477" s="202">
        <v>3.56</v>
      </c>
      <c r="G477" s="202">
        <v>4.41</v>
      </c>
      <c r="H477" s="202">
        <v>4.74</v>
      </c>
      <c r="I477" s="202">
        <v>5.12</v>
      </c>
      <c r="J477" s="202">
        <v>5.52</v>
      </c>
      <c r="K477" s="202">
        <v>5.63</v>
      </c>
      <c r="L477" s="202">
        <v>5.28</v>
      </c>
      <c r="M477" s="202">
        <v>4.63</v>
      </c>
      <c r="N477" s="202">
        <v>4.22</v>
      </c>
      <c r="O477" s="202">
        <v>3.36</v>
      </c>
      <c r="P477" s="202">
        <v>2.89</v>
      </c>
      <c r="Q477" s="202">
        <f t="shared" si="15"/>
        <v>4.3591666666666669</v>
      </c>
      <c r="R477" s="202" t="s">
        <v>984</v>
      </c>
    </row>
    <row r="478" spans="1:18" x14ac:dyDescent="0.15">
      <c r="A478" s="202" t="str">
        <f t="shared" si="14"/>
        <v>Reynosa_Optimal Summer_270</v>
      </c>
      <c r="B478" s="202" t="s">
        <v>1034</v>
      </c>
      <c r="C478" s="202">
        <v>11</v>
      </c>
      <c r="D478" s="202">
        <v>270</v>
      </c>
      <c r="E478" s="202">
        <v>2.7</v>
      </c>
      <c r="F478" s="202">
        <v>3.26</v>
      </c>
      <c r="G478" s="202">
        <v>4.03</v>
      </c>
      <c r="H478" s="202">
        <v>4.34</v>
      </c>
      <c r="I478" s="202">
        <v>4.68</v>
      </c>
      <c r="J478" s="202">
        <v>5.05</v>
      </c>
      <c r="K478" s="202">
        <v>5.14</v>
      </c>
      <c r="L478" s="202">
        <v>4.82</v>
      </c>
      <c r="M478" s="202">
        <v>4.2300000000000004</v>
      </c>
      <c r="N478" s="202">
        <v>3.86</v>
      </c>
      <c r="O478" s="202">
        <v>3.07</v>
      </c>
      <c r="P478" s="202">
        <v>2.64</v>
      </c>
      <c r="Q478" s="202">
        <f t="shared" si="15"/>
        <v>3.9849999999999999</v>
      </c>
      <c r="R478" s="202" t="s">
        <v>984</v>
      </c>
    </row>
    <row r="479" spans="1:18" x14ac:dyDescent="0.15">
      <c r="A479" s="202" t="str">
        <f t="shared" si="14"/>
        <v>Reynosa_Optimal Year Round_90</v>
      </c>
      <c r="B479" s="202" t="s">
        <v>1034</v>
      </c>
      <c r="C479" s="202">
        <v>26</v>
      </c>
      <c r="D479" s="202">
        <v>90</v>
      </c>
      <c r="E479" s="202">
        <v>2.99</v>
      </c>
      <c r="F479" s="202">
        <v>3.5</v>
      </c>
      <c r="G479" s="202">
        <v>4.1399999999999997</v>
      </c>
      <c r="H479" s="202">
        <v>4.24</v>
      </c>
      <c r="I479" s="202">
        <v>4.3899999999999997</v>
      </c>
      <c r="J479" s="202">
        <v>4.63</v>
      </c>
      <c r="K479" s="202">
        <v>4.76</v>
      </c>
      <c r="L479" s="202">
        <v>4.62</v>
      </c>
      <c r="M479" s="202">
        <v>4.26</v>
      </c>
      <c r="N479" s="202">
        <v>4.0999999999999996</v>
      </c>
      <c r="O479" s="202">
        <v>3.4</v>
      </c>
      <c r="P479" s="202">
        <v>2.98</v>
      </c>
      <c r="Q479" s="202">
        <f t="shared" si="15"/>
        <v>4.0008333333333326</v>
      </c>
      <c r="R479" s="202" t="s">
        <v>1019</v>
      </c>
    </row>
    <row r="480" spans="1:18" x14ac:dyDescent="0.15">
      <c r="A480" s="202" t="str">
        <f t="shared" si="14"/>
        <v>Reynosa_Optimal Year Round_112.5</v>
      </c>
      <c r="B480" s="202" t="s">
        <v>1034</v>
      </c>
      <c r="C480" s="202">
        <v>26</v>
      </c>
      <c r="D480" s="202">
        <v>112.5</v>
      </c>
      <c r="E480" s="202">
        <v>3.27</v>
      </c>
      <c r="F480" s="202">
        <v>3.82</v>
      </c>
      <c r="G480" s="202">
        <v>4.5199999999999996</v>
      </c>
      <c r="H480" s="202">
        <v>4.6399999999999997</v>
      </c>
      <c r="I480" s="202">
        <v>4.8</v>
      </c>
      <c r="J480" s="202">
        <v>5.07</v>
      </c>
      <c r="K480" s="202">
        <v>5.21</v>
      </c>
      <c r="L480" s="202">
        <v>5.05</v>
      </c>
      <c r="M480" s="202">
        <v>4.66</v>
      </c>
      <c r="N480" s="202">
        <v>4.49</v>
      </c>
      <c r="O480" s="202">
        <v>3.72</v>
      </c>
      <c r="P480" s="202">
        <v>3.26</v>
      </c>
      <c r="Q480" s="202">
        <f t="shared" si="15"/>
        <v>4.3758333333333335</v>
      </c>
      <c r="R480" s="202" t="s">
        <v>1019</v>
      </c>
    </row>
    <row r="481" spans="1:18" x14ac:dyDescent="0.15">
      <c r="A481" s="202" t="str">
        <f t="shared" si="14"/>
        <v>Reynosa_Optimal Year Round_135</v>
      </c>
      <c r="B481" s="202" t="s">
        <v>1034</v>
      </c>
      <c r="C481" s="202">
        <v>26</v>
      </c>
      <c r="D481" s="202">
        <v>135</v>
      </c>
      <c r="E481" s="202">
        <v>3.55</v>
      </c>
      <c r="F481" s="202">
        <v>4.1500000000000004</v>
      </c>
      <c r="G481" s="202">
        <v>4.91</v>
      </c>
      <c r="H481" s="202">
        <v>5.04</v>
      </c>
      <c r="I481" s="202">
        <v>5.22</v>
      </c>
      <c r="J481" s="202">
        <v>5.5</v>
      </c>
      <c r="K481" s="202">
        <v>5.65</v>
      </c>
      <c r="L481" s="202">
        <v>5.48</v>
      </c>
      <c r="M481" s="202">
        <v>5.0599999999999996</v>
      </c>
      <c r="N481" s="202">
        <v>4.87</v>
      </c>
      <c r="O481" s="202">
        <v>4.04</v>
      </c>
      <c r="P481" s="202">
        <v>3.53</v>
      </c>
      <c r="Q481" s="202">
        <f t="shared" si="15"/>
        <v>4.75</v>
      </c>
      <c r="R481" s="202" t="s">
        <v>1019</v>
      </c>
    </row>
    <row r="482" spans="1:18" x14ac:dyDescent="0.15">
      <c r="A482" s="202" t="str">
        <f t="shared" si="14"/>
        <v>Reynosa_Optimal Year Round_157.5</v>
      </c>
      <c r="B482" s="202" t="s">
        <v>1034</v>
      </c>
      <c r="C482" s="202">
        <v>26</v>
      </c>
      <c r="D482" s="202">
        <v>157.5</v>
      </c>
      <c r="E482" s="202">
        <v>3.65</v>
      </c>
      <c r="F482" s="202">
        <v>4.26</v>
      </c>
      <c r="G482" s="202">
        <v>5.04</v>
      </c>
      <c r="H482" s="202">
        <v>5.17</v>
      </c>
      <c r="I482" s="202">
        <v>5.35</v>
      </c>
      <c r="J482" s="202">
        <v>5.65</v>
      </c>
      <c r="K482" s="202">
        <v>5.8</v>
      </c>
      <c r="L482" s="202">
        <v>5.63</v>
      </c>
      <c r="M482" s="202">
        <v>5.2</v>
      </c>
      <c r="N482" s="202">
        <v>5</v>
      </c>
      <c r="O482" s="202">
        <v>4.1399999999999997</v>
      </c>
      <c r="P482" s="202">
        <v>3.63</v>
      </c>
      <c r="Q482" s="202">
        <f t="shared" si="15"/>
        <v>4.8766666666666669</v>
      </c>
      <c r="R482" s="202" t="s">
        <v>1019</v>
      </c>
    </row>
    <row r="483" spans="1:18" x14ac:dyDescent="0.15">
      <c r="A483" s="202" t="str">
        <f t="shared" si="14"/>
        <v>Reynosa_Optimal Year Round_180</v>
      </c>
      <c r="B483" s="202" t="s">
        <v>1034</v>
      </c>
      <c r="C483" s="202">
        <v>26</v>
      </c>
      <c r="D483" s="202">
        <v>180</v>
      </c>
      <c r="E483" s="202">
        <v>3.74</v>
      </c>
      <c r="F483" s="202">
        <v>4.37</v>
      </c>
      <c r="G483" s="202">
        <v>5.17</v>
      </c>
      <c r="H483" s="202">
        <v>5.3</v>
      </c>
      <c r="I483" s="202">
        <v>5.49</v>
      </c>
      <c r="J483" s="202">
        <v>5.79</v>
      </c>
      <c r="K483" s="202">
        <v>5.95</v>
      </c>
      <c r="L483" s="202">
        <v>5.77</v>
      </c>
      <c r="M483" s="202">
        <v>5.33</v>
      </c>
      <c r="N483" s="202">
        <v>5.13</v>
      </c>
      <c r="O483" s="202">
        <v>4.25</v>
      </c>
      <c r="P483" s="202">
        <v>3.72</v>
      </c>
      <c r="Q483" s="202">
        <f t="shared" si="15"/>
        <v>5.0008333333333335</v>
      </c>
      <c r="R483" s="202" t="s">
        <v>1019</v>
      </c>
    </row>
    <row r="484" spans="1:18" x14ac:dyDescent="0.15">
      <c r="A484" s="202" t="str">
        <f t="shared" si="14"/>
        <v>Reynosa_Optimal Year Round_202.5</v>
      </c>
      <c r="B484" s="202" t="s">
        <v>1034</v>
      </c>
      <c r="C484" s="202">
        <v>26</v>
      </c>
      <c r="D484" s="202">
        <v>202.5</v>
      </c>
      <c r="E484" s="202">
        <v>3.65</v>
      </c>
      <c r="F484" s="202">
        <v>4.26</v>
      </c>
      <c r="G484" s="202">
        <v>5.04</v>
      </c>
      <c r="H484" s="202">
        <v>5.17</v>
      </c>
      <c r="I484" s="202">
        <v>5.35</v>
      </c>
      <c r="J484" s="202">
        <v>5.65</v>
      </c>
      <c r="K484" s="202">
        <v>5.8</v>
      </c>
      <c r="L484" s="202">
        <v>5.63</v>
      </c>
      <c r="M484" s="202">
        <v>5.2</v>
      </c>
      <c r="N484" s="202">
        <v>5</v>
      </c>
      <c r="O484" s="202">
        <v>4.1399999999999997</v>
      </c>
      <c r="P484" s="202">
        <v>3.63</v>
      </c>
      <c r="Q484" s="202">
        <f t="shared" si="15"/>
        <v>4.8766666666666669</v>
      </c>
      <c r="R484" s="202" t="s">
        <v>1019</v>
      </c>
    </row>
    <row r="485" spans="1:18" x14ac:dyDescent="0.15">
      <c r="A485" s="202" t="str">
        <f t="shared" si="14"/>
        <v>Reynosa_Optimal Year Round_225</v>
      </c>
      <c r="B485" s="202" t="s">
        <v>1034</v>
      </c>
      <c r="C485" s="202">
        <v>26</v>
      </c>
      <c r="D485" s="202">
        <v>225</v>
      </c>
      <c r="E485" s="202">
        <v>3.55</v>
      </c>
      <c r="F485" s="202">
        <v>4.1500000000000004</v>
      </c>
      <c r="G485" s="202">
        <v>4.91</v>
      </c>
      <c r="H485" s="202">
        <v>5.04</v>
      </c>
      <c r="I485" s="202">
        <v>5.22</v>
      </c>
      <c r="J485" s="202">
        <v>5.5</v>
      </c>
      <c r="K485" s="202">
        <v>5.65</v>
      </c>
      <c r="L485" s="202">
        <v>5.48</v>
      </c>
      <c r="M485" s="202">
        <v>5.0599999999999996</v>
      </c>
      <c r="N485" s="202">
        <v>4.87</v>
      </c>
      <c r="O485" s="202">
        <v>4.04</v>
      </c>
      <c r="P485" s="202">
        <v>3.53</v>
      </c>
      <c r="Q485" s="202">
        <f t="shared" si="15"/>
        <v>4.75</v>
      </c>
      <c r="R485" s="202" t="s">
        <v>1019</v>
      </c>
    </row>
    <row r="486" spans="1:18" x14ac:dyDescent="0.15">
      <c r="A486" s="202" t="str">
        <f t="shared" si="14"/>
        <v>Reynosa_Optimal Year Round_247.5</v>
      </c>
      <c r="B486" s="202" t="s">
        <v>1034</v>
      </c>
      <c r="C486" s="202">
        <v>26</v>
      </c>
      <c r="D486" s="202">
        <v>247.5</v>
      </c>
      <c r="E486" s="202">
        <v>3.27</v>
      </c>
      <c r="F486" s="202">
        <v>3.82</v>
      </c>
      <c r="G486" s="202">
        <v>4.5199999999999996</v>
      </c>
      <c r="H486" s="202">
        <v>4.6399999999999997</v>
      </c>
      <c r="I486" s="202">
        <v>4.8</v>
      </c>
      <c r="J486" s="202">
        <v>5.07</v>
      </c>
      <c r="K486" s="202">
        <v>5.21</v>
      </c>
      <c r="L486" s="202">
        <v>5.05</v>
      </c>
      <c r="M486" s="202">
        <v>4.66</v>
      </c>
      <c r="N486" s="202">
        <v>4.49</v>
      </c>
      <c r="O486" s="202">
        <v>3.72</v>
      </c>
      <c r="P486" s="202">
        <v>3.26</v>
      </c>
      <c r="Q486" s="202">
        <f t="shared" si="15"/>
        <v>4.3758333333333335</v>
      </c>
      <c r="R486" s="202" t="s">
        <v>1019</v>
      </c>
    </row>
    <row r="487" spans="1:18" x14ac:dyDescent="0.15">
      <c r="A487" s="202" t="str">
        <f t="shared" si="14"/>
        <v>Reynosa_Optimal Year Round_270</v>
      </c>
      <c r="B487" s="202" t="s">
        <v>1034</v>
      </c>
      <c r="C487" s="202">
        <v>26</v>
      </c>
      <c r="D487" s="202">
        <v>270</v>
      </c>
      <c r="E487" s="202">
        <v>2.99</v>
      </c>
      <c r="F487" s="202">
        <v>3.5</v>
      </c>
      <c r="G487" s="202">
        <v>4.1399999999999997</v>
      </c>
      <c r="H487" s="202">
        <v>4.24</v>
      </c>
      <c r="I487" s="202">
        <v>4.3899999999999997</v>
      </c>
      <c r="J487" s="202">
        <v>4.63</v>
      </c>
      <c r="K487" s="202">
        <v>4.76</v>
      </c>
      <c r="L487" s="202">
        <v>4.62</v>
      </c>
      <c r="M487" s="202">
        <v>4.26</v>
      </c>
      <c r="N487" s="202">
        <v>4.0999999999999996</v>
      </c>
      <c r="O487" s="202">
        <v>3.4</v>
      </c>
      <c r="P487" s="202">
        <v>2.98</v>
      </c>
      <c r="Q487" s="202">
        <f t="shared" si="15"/>
        <v>4.0008333333333326</v>
      </c>
      <c r="R487" s="202" t="s">
        <v>1019</v>
      </c>
    </row>
    <row r="488" spans="1:18" x14ac:dyDescent="0.15">
      <c r="A488" s="202" t="str">
        <f t="shared" si="14"/>
        <v>Saltillo_Flat Surface_90</v>
      </c>
      <c r="B488" s="202" t="s">
        <v>1035</v>
      </c>
      <c r="C488" s="202">
        <v>0</v>
      </c>
      <c r="D488" s="202">
        <v>90</v>
      </c>
      <c r="E488" s="202">
        <v>3.72</v>
      </c>
      <c r="F488" s="202">
        <v>4.57</v>
      </c>
      <c r="G488" s="202">
        <v>5.66</v>
      </c>
      <c r="H488" s="202">
        <v>5.82</v>
      </c>
      <c r="I488" s="202">
        <v>6.24</v>
      </c>
      <c r="J488" s="202">
        <v>6.16</v>
      </c>
      <c r="K488" s="202">
        <v>6.03</v>
      </c>
      <c r="L488" s="202">
        <v>5.66</v>
      </c>
      <c r="M488" s="202">
        <v>4.9800000000000004</v>
      </c>
      <c r="N488" s="202">
        <v>4.62</v>
      </c>
      <c r="O488" s="202">
        <v>4.07</v>
      </c>
      <c r="P488" s="202">
        <v>3.55</v>
      </c>
      <c r="Q488" s="202">
        <f t="shared" si="15"/>
        <v>5.09</v>
      </c>
      <c r="R488" s="202" t="s">
        <v>1020</v>
      </c>
    </row>
    <row r="489" spans="1:18" x14ac:dyDescent="0.15">
      <c r="A489" s="202" t="str">
        <f t="shared" si="14"/>
        <v>Saltillo_Flat Surface_112.5</v>
      </c>
      <c r="B489" s="202" t="s">
        <v>1035</v>
      </c>
      <c r="C489" s="202">
        <v>0</v>
      </c>
      <c r="D489" s="202">
        <v>112.5</v>
      </c>
      <c r="E489" s="202">
        <v>3.72</v>
      </c>
      <c r="F489" s="202">
        <v>4.57</v>
      </c>
      <c r="G489" s="202">
        <v>5.66</v>
      </c>
      <c r="H489" s="202">
        <v>5.82</v>
      </c>
      <c r="I489" s="202">
        <v>6.24</v>
      </c>
      <c r="J489" s="202">
        <v>6.16</v>
      </c>
      <c r="K489" s="202">
        <v>6.03</v>
      </c>
      <c r="L489" s="202">
        <v>5.66</v>
      </c>
      <c r="M489" s="202">
        <v>4.9800000000000004</v>
      </c>
      <c r="N489" s="202">
        <v>4.62</v>
      </c>
      <c r="O489" s="202">
        <v>4.07</v>
      </c>
      <c r="P489" s="202">
        <v>3.55</v>
      </c>
      <c r="Q489" s="202">
        <f t="shared" si="15"/>
        <v>5.09</v>
      </c>
      <c r="R489" s="202" t="s">
        <v>1020</v>
      </c>
    </row>
    <row r="490" spans="1:18" x14ac:dyDescent="0.15">
      <c r="A490" s="202" t="str">
        <f t="shared" si="14"/>
        <v>Saltillo_Flat Surface_135</v>
      </c>
      <c r="B490" s="202" t="s">
        <v>1035</v>
      </c>
      <c r="C490" s="202">
        <v>0</v>
      </c>
      <c r="D490" s="202">
        <v>135</v>
      </c>
      <c r="E490" s="202">
        <v>3.72</v>
      </c>
      <c r="F490" s="202">
        <v>4.57</v>
      </c>
      <c r="G490" s="202">
        <v>5.66</v>
      </c>
      <c r="H490" s="202">
        <v>5.82</v>
      </c>
      <c r="I490" s="202">
        <v>6.24</v>
      </c>
      <c r="J490" s="202">
        <v>6.16</v>
      </c>
      <c r="K490" s="202">
        <v>6.03</v>
      </c>
      <c r="L490" s="202">
        <v>5.66</v>
      </c>
      <c r="M490" s="202">
        <v>4.9800000000000004</v>
      </c>
      <c r="N490" s="202">
        <v>4.62</v>
      </c>
      <c r="O490" s="202">
        <v>4.07</v>
      </c>
      <c r="P490" s="202">
        <v>3.55</v>
      </c>
      <c r="Q490" s="202">
        <f t="shared" si="15"/>
        <v>5.09</v>
      </c>
      <c r="R490" s="202" t="s">
        <v>1020</v>
      </c>
    </row>
    <row r="491" spans="1:18" x14ac:dyDescent="0.15">
      <c r="A491" s="202" t="str">
        <f t="shared" si="14"/>
        <v>Saltillo_Flat Surface_157.5</v>
      </c>
      <c r="B491" s="202" t="s">
        <v>1035</v>
      </c>
      <c r="C491" s="202">
        <v>0</v>
      </c>
      <c r="D491" s="202">
        <v>157.5</v>
      </c>
      <c r="E491" s="202">
        <v>3.72</v>
      </c>
      <c r="F491" s="202">
        <v>4.57</v>
      </c>
      <c r="G491" s="202">
        <v>5.66</v>
      </c>
      <c r="H491" s="202">
        <v>5.82</v>
      </c>
      <c r="I491" s="202">
        <v>6.24</v>
      </c>
      <c r="J491" s="202">
        <v>6.16</v>
      </c>
      <c r="K491" s="202">
        <v>6.03</v>
      </c>
      <c r="L491" s="202">
        <v>5.66</v>
      </c>
      <c r="M491" s="202">
        <v>4.9800000000000004</v>
      </c>
      <c r="N491" s="202">
        <v>4.62</v>
      </c>
      <c r="O491" s="202">
        <v>4.07</v>
      </c>
      <c r="P491" s="202">
        <v>3.55</v>
      </c>
      <c r="Q491" s="202">
        <f t="shared" si="15"/>
        <v>5.09</v>
      </c>
      <c r="R491" s="202" t="s">
        <v>1020</v>
      </c>
    </row>
    <row r="492" spans="1:18" x14ac:dyDescent="0.15">
      <c r="A492" s="202" t="str">
        <f t="shared" si="14"/>
        <v>Saltillo_Flat Surface_180</v>
      </c>
      <c r="B492" s="202" t="s">
        <v>1035</v>
      </c>
      <c r="C492" s="202">
        <v>0</v>
      </c>
      <c r="D492" s="202">
        <v>180</v>
      </c>
      <c r="E492" s="202">
        <v>3.72</v>
      </c>
      <c r="F492" s="202">
        <v>4.57</v>
      </c>
      <c r="G492" s="202">
        <v>5.66</v>
      </c>
      <c r="H492" s="202">
        <v>5.82</v>
      </c>
      <c r="I492" s="202">
        <v>6.24</v>
      </c>
      <c r="J492" s="202">
        <v>6.16</v>
      </c>
      <c r="K492" s="202">
        <v>6.03</v>
      </c>
      <c r="L492" s="202">
        <v>5.66</v>
      </c>
      <c r="M492" s="202">
        <v>4.9800000000000004</v>
      </c>
      <c r="N492" s="202">
        <v>4.62</v>
      </c>
      <c r="O492" s="202">
        <v>4.07</v>
      </c>
      <c r="P492" s="202">
        <v>3.55</v>
      </c>
      <c r="Q492" s="202">
        <f t="shared" si="15"/>
        <v>5.09</v>
      </c>
      <c r="R492" s="202" t="s">
        <v>1020</v>
      </c>
    </row>
    <row r="493" spans="1:18" x14ac:dyDescent="0.15">
      <c r="A493" s="202" t="str">
        <f t="shared" si="14"/>
        <v>Saltillo_Flat Surface_202.5</v>
      </c>
      <c r="B493" s="202" t="s">
        <v>1035</v>
      </c>
      <c r="C493" s="202">
        <v>0</v>
      </c>
      <c r="D493" s="202">
        <v>202.5</v>
      </c>
      <c r="E493" s="202">
        <v>3.72</v>
      </c>
      <c r="F493" s="202">
        <v>4.57</v>
      </c>
      <c r="G493" s="202">
        <v>5.66</v>
      </c>
      <c r="H493" s="202">
        <v>5.82</v>
      </c>
      <c r="I493" s="202">
        <v>6.24</v>
      </c>
      <c r="J493" s="202">
        <v>6.16</v>
      </c>
      <c r="K493" s="202">
        <v>6.03</v>
      </c>
      <c r="L493" s="202">
        <v>5.66</v>
      </c>
      <c r="M493" s="202">
        <v>4.9800000000000004</v>
      </c>
      <c r="N493" s="202">
        <v>4.62</v>
      </c>
      <c r="O493" s="202">
        <v>4.07</v>
      </c>
      <c r="P493" s="202">
        <v>3.55</v>
      </c>
      <c r="Q493" s="202">
        <f t="shared" si="15"/>
        <v>5.09</v>
      </c>
      <c r="R493" s="202" t="s">
        <v>1020</v>
      </c>
    </row>
    <row r="494" spans="1:18" x14ac:dyDescent="0.15">
      <c r="A494" s="202" t="str">
        <f t="shared" si="14"/>
        <v>Saltillo_Flat Surface_225</v>
      </c>
      <c r="B494" s="202" t="s">
        <v>1035</v>
      </c>
      <c r="C494" s="202">
        <v>0</v>
      </c>
      <c r="D494" s="202">
        <v>225</v>
      </c>
      <c r="E494" s="202">
        <v>3.72</v>
      </c>
      <c r="F494" s="202">
        <v>4.57</v>
      </c>
      <c r="G494" s="202">
        <v>5.66</v>
      </c>
      <c r="H494" s="202">
        <v>5.82</v>
      </c>
      <c r="I494" s="202">
        <v>6.24</v>
      </c>
      <c r="J494" s="202">
        <v>6.16</v>
      </c>
      <c r="K494" s="202">
        <v>6.03</v>
      </c>
      <c r="L494" s="202">
        <v>5.66</v>
      </c>
      <c r="M494" s="202">
        <v>4.9800000000000004</v>
      </c>
      <c r="N494" s="202">
        <v>4.62</v>
      </c>
      <c r="O494" s="202">
        <v>4.07</v>
      </c>
      <c r="P494" s="202">
        <v>3.55</v>
      </c>
      <c r="Q494" s="202">
        <f t="shared" si="15"/>
        <v>5.09</v>
      </c>
      <c r="R494" s="202" t="s">
        <v>1020</v>
      </c>
    </row>
    <row r="495" spans="1:18" x14ac:dyDescent="0.15">
      <c r="A495" s="202" t="str">
        <f t="shared" si="14"/>
        <v>Saltillo_Flat Surface_247.5</v>
      </c>
      <c r="B495" s="202" t="s">
        <v>1035</v>
      </c>
      <c r="C495" s="202">
        <v>0</v>
      </c>
      <c r="D495" s="202">
        <v>247.5</v>
      </c>
      <c r="E495" s="202">
        <v>3.72</v>
      </c>
      <c r="F495" s="202">
        <v>4.57</v>
      </c>
      <c r="G495" s="202">
        <v>5.66</v>
      </c>
      <c r="H495" s="202">
        <v>5.82</v>
      </c>
      <c r="I495" s="202">
        <v>6.24</v>
      </c>
      <c r="J495" s="202">
        <v>6.16</v>
      </c>
      <c r="K495" s="202">
        <v>6.03</v>
      </c>
      <c r="L495" s="202">
        <v>5.66</v>
      </c>
      <c r="M495" s="202">
        <v>4.9800000000000004</v>
      </c>
      <c r="N495" s="202">
        <v>4.62</v>
      </c>
      <c r="O495" s="202">
        <v>4.07</v>
      </c>
      <c r="P495" s="202">
        <v>3.55</v>
      </c>
      <c r="Q495" s="202">
        <f t="shared" si="15"/>
        <v>5.09</v>
      </c>
      <c r="R495" s="202" t="s">
        <v>1020</v>
      </c>
    </row>
    <row r="496" spans="1:18" x14ac:dyDescent="0.15">
      <c r="A496" s="202" t="str">
        <f t="shared" si="14"/>
        <v>Saltillo_Flat Surface_270</v>
      </c>
      <c r="B496" s="202" t="s">
        <v>1035</v>
      </c>
      <c r="C496" s="202">
        <v>0</v>
      </c>
      <c r="D496" s="202">
        <v>270</v>
      </c>
      <c r="E496" s="202">
        <v>3.72</v>
      </c>
      <c r="F496" s="202">
        <v>4.57</v>
      </c>
      <c r="G496" s="202">
        <v>5.66</v>
      </c>
      <c r="H496" s="202">
        <v>5.82</v>
      </c>
      <c r="I496" s="202">
        <v>6.24</v>
      </c>
      <c r="J496" s="202">
        <v>6.16</v>
      </c>
      <c r="K496" s="202">
        <v>6.03</v>
      </c>
      <c r="L496" s="202">
        <v>5.66</v>
      </c>
      <c r="M496" s="202">
        <v>4.9800000000000004</v>
      </c>
      <c r="N496" s="202">
        <v>4.62</v>
      </c>
      <c r="O496" s="202">
        <v>4.07</v>
      </c>
      <c r="P496" s="202">
        <v>3.55</v>
      </c>
      <c r="Q496" s="202">
        <f t="shared" si="15"/>
        <v>5.09</v>
      </c>
      <c r="R496" s="202" t="s">
        <v>1020</v>
      </c>
    </row>
    <row r="497" spans="1:18" x14ac:dyDescent="0.15">
      <c r="A497" s="202" t="str">
        <f t="shared" si="14"/>
        <v>Saltillo_Optimal Summer_90</v>
      </c>
      <c r="B497" s="202" t="s">
        <v>1035</v>
      </c>
      <c r="C497" s="202">
        <v>10</v>
      </c>
      <c r="D497" s="202">
        <v>90</v>
      </c>
      <c r="E497" s="202">
        <v>3.38</v>
      </c>
      <c r="F497" s="202">
        <v>4.0199999999999996</v>
      </c>
      <c r="G497" s="202">
        <v>4.79</v>
      </c>
      <c r="H497" s="202">
        <v>4.7300000000000004</v>
      </c>
      <c r="I497" s="202">
        <v>4.92</v>
      </c>
      <c r="J497" s="202">
        <v>4.8099999999999996</v>
      </c>
      <c r="K497" s="202">
        <v>4.7300000000000004</v>
      </c>
      <c r="L497" s="202">
        <v>4.53</v>
      </c>
      <c r="M497" s="202">
        <v>4.1100000000000003</v>
      </c>
      <c r="N497" s="202">
        <v>3.99</v>
      </c>
      <c r="O497" s="202">
        <v>3.68</v>
      </c>
      <c r="P497" s="202">
        <v>3.27</v>
      </c>
      <c r="Q497" s="202">
        <f t="shared" si="15"/>
        <v>4.246666666666667</v>
      </c>
      <c r="R497" s="202" t="s">
        <v>984</v>
      </c>
    </row>
    <row r="498" spans="1:18" x14ac:dyDescent="0.15">
      <c r="A498" s="202" t="str">
        <f t="shared" si="14"/>
        <v>Saltillo_Optimal Summer_112.5</v>
      </c>
      <c r="B498" s="202" t="s">
        <v>1035</v>
      </c>
      <c r="C498" s="202">
        <v>10</v>
      </c>
      <c r="D498" s="202">
        <v>112.5</v>
      </c>
      <c r="E498" s="202">
        <v>3.7</v>
      </c>
      <c r="F498" s="202">
        <v>4.4000000000000004</v>
      </c>
      <c r="G498" s="202">
        <v>5.24</v>
      </c>
      <c r="H498" s="202">
        <v>5.17</v>
      </c>
      <c r="I498" s="202">
        <v>5.38</v>
      </c>
      <c r="J498" s="202">
        <v>5.26</v>
      </c>
      <c r="K498" s="202">
        <v>5.17</v>
      </c>
      <c r="L498" s="202">
        <v>4.95</v>
      </c>
      <c r="M498" s="202">
        <v>4.5</v>
      </c>
      <c r="N498" s="202">
        <v>4.37</v>
      </c>
      <c r="O498" s="202">
        <v>4.0199999999999996</v>
      </c>
      <c r="P498" s="202">
        <v>3.58</v>
      </c>
      <c r="Q498" s="202">
        <f t="shared" si="15"/>
        <v>4.6449999999999996</v>
      </c>
      <c r="R498" s="202" t="s">
        <v>984</v>
      </c>
    </row>
    <row r="499" spans="1:18" x14ac:dyDescent="0.15">
      <c r="A499" s="202" t="str">
        <f t="shared" si="14"/>
        <v>Saltillo_Optimal Summer_135</v>
      </c>
      <c r="B499" s="202" t="s">
        <v>1035</v>
      </c>
      <c r="C499" s="202">
        <v>10</v>
      </c>
      <c r="D499" s="202">
        <v>135</v>
      </c>
      <c r="E499" s="202">
        <v>4.0199999999999996</v>
      </c>
      <c r="F499" s="202">
        <v>4.78</v>
      </c>
      <c r="G499" s="202">
        <v>5.69</v>
      </c>
      <c r="H499" s="202">
        <v>5.61</v>
      </c>
      <c r="I499" s="202">
        <v>5.84</v>
      </c>
      <c r="J499" s="202">
        <v>5.71</v>
      </c>
      <c r="K499" s="202">
        <v>5.61</v>
      </c>
      <c r="L499" s="202">
        <v>5.38</v>
      </c>
      <c r="M499" s="202">
        <v>4.88</v>
      </c>
      <c r="N499" s="202">
        <v>4.74</v>
      </c>
      <c r="O499" s="202">
        <v>4.37</v>
      </c>
      <c r="P499" s="202">
        <v>3.89</v>
      </c>
      <c r="Q499" s="202">
        <f t="shared" si="15"/>
        <v>5.0433333333333339</v>
      </c>
      <c r="R499" s="202" t="s">
        <v>984</v>
      </c>
    </row>
    <row r="500" spans="1:18" x14ac:dyDescent="0.15">
      <c r="A500" s="202" t="str">
        <f t="shared" si="14"/>
        <v>Saltillo_Optimal Summer_157.5</v>
      </c>
      <c r="B500" s="202" t="s">
        <v>1035</v>
      </c>
      <c r="C500" s="202">
        <v>10</v>
      </c>
      <c r="D500" s="202">
        <v>157.5</v>
      </c>
      <c r="E500" s="202">
        <v>4.12</v>
      </c>
      <c r="F500" s="202">
        <v>4.9000000000000004</v>
      </c>
      <c r="G500" s="202">
        <v>5.84</v>
      </c>
      <c r="H500" s="202">
        <v>5.76</v>
      </c>
      <c r="I500" s="202">
        <v>6</v>
      </c>
      <c r="J500" s="202">
        <v>5.86</v>
      </c>
      <c r="K500" s="202">
        <v>5.76</v>
      </c>
      <c r="L500" s="202">
        <v>5.52</v>
      </c>
      <c r="M500" s="202">
        <v>5.01</v>
      </c>
      <c r="N500" s="202">
        <v>4.87</v>
      </c>
      <c r="O500" s="202">
        <v>4.4800000000000004</v>
      </c>
      <c r="P500" s="202">
        <v>3.99</v>
      </c>
      <c r="Q500" s="202">
        <f t="shared" si="15"/>
        <v>5.1758333333333324</v>
      </c>
      <c r="R500" s="202" t="s">
        <v>984</v>
      </c>
    </row>
    <row r="501" spans="1:18" x14ac:dyDescent="0.15">
      <c r="A501" s="202" t="str">
        <f t="shared" si="14"/>
        <v>Saltillo_Optimal Summer_180</v>
      </c>
      <c r="B501" s="202" t="s">
        <v>1035</v>
      </c>
      <c r="C501" s="202">
        <v>10</v>
      </c>
      <c r="D501" s="202">
        <v>180</v>
      </c>
      <c r="E501" s="202">
        <v>4.2300000000000004</v>
      </c>
      <c r="F501" s="202">
        <v>5.03</v>
      </c>
      <c r="G501" s="202">
        <v>5.99</v>
      </c>
      <c r="H501" s="202">
        <v>5.91</v>
      </c>
      <c r="I501" s="202">
        <v>6.15</v>
      </c>
      <c r="J501" s="202">
        <v>6.01</v>
      </c>
      <c r="K501" s="202">
        <v>5.91</v>
      </c>
      <c r="L501" s="202">
        <v>5.66</v>
      </c>
      <c r="M501" s="202">
        <v>5.14</v>
      </c>
      <c r="N501" s="202">
        <v>4.99</v>
      </c>
      <c r="O501" s="202">
        <v>4.5999999999999996</v>
      </c>
      <c r="P501" s="202">
        <v>4.09</v>
      </c>
      <c r="Q501" s="202">
        <f t="shared" si="15"/>
        <v>5.309166666666667</v>
      </c>
      <c r="R501" s="202" t="s">
        <v>984</v>
      </c>
    </row>
    <row r="502" spans="1:18" x14ac:dyDescent="0.15">
      <c r="A502" s="202" t="str">
        <f t="shared" si="14"/>
        <v>Saltillo_Optimal Summer_202.5</v>
      </c>
      <c r="B502" s="202" t="s">
        <v>1035</v>
      </c>
      <c r="C502" s="202">
        <v>10</v>
      </c>
      <c r="D502" s="202">
        <v>202.5</v>
      </c>
      <c r="E502" s="202">
        <v>4.12</v>
      </c>
      <c r="F502" s="202">
        <v>4.9000000000000004</v>
      </c>
      <c r="G502" s="202">
        <v>5.84</v>
      </c>
      <c r="H502" s="202">
        <v>5.76</v>
      </c>
      <c r="I502" s="202">
        <v>6</v>
      </c>
      <c r="J502" s="202">
        <v>5.86</v>
      </c>
      <c r="K502" s="202">
        <v>5.76</v>
      </c>
      <c r="L502" s="202">
        <v>5.52</v>
      </c>
      <c r="M502" s="202">
        <v>5.01</v>
      </c>
      <c r="N502" s="202">
        <v>4.87</v>
      </c>
      <c r="O502" s="202">
        <v>4.4800000000000004</v>
      </c>
      <c r="P502" s="202">
        <v>3.99</v>
      </c>
      <c r="Q502" s="202">
        <f t="shared" si="15"/>
        <v>5.1758333333333324</v>
      </c>
      <c r="R502" s="202" t="s">
        <v>984</v>
      </c>
    </row>
    <row r="503" spans="1:18" x14ac:dyDescent="0.15">
      <c r="A503" s="202" t="str">
        <f t="shared" si="14"/>
        <v>Saltillo_Optimal Summer_225</v>
      </c>
      <c r="B503" s="202" t="s">
        <v>1035</v>
      </c>
      <c r="C503" s="202">
        <v>10</v>
      </c>
      <c r="D503" s="202">
        <v>225</v>
      </c>
      <c r="E503" s="202">
        <v>4.0199999999999996</v>
      </c>
      <c r="F503" s="202">
        <v>4.78</v>
      </c>
      <c r="G503" s="202">
        <v>5.69</v>
      </c>
      <c r="H503" s="202">
        <v>5.61</v>
      </c>
      <c r="I503" s="202">
        <v>5.84</v>
      </c>
      <c r="J503" s="202">
        <v>5.71</v>
      </c>
      <c r="K503" s="202">
        <v>5.61</v>
      </c>
      <c r="L503" s="202">
        <v>5.38</v>
      </c>
      <c r="M503" s="202">
        <v>4.88</v>
      </c>
      <c r="N503" s="202">
        <v>4.74</v>
      </c>
      <c r="O503" s="202">
        <v>4.37</v>
      </c>
      <c r="P503" s="202">
        <v>3.89</v>
      </c>
      <c r="Q503" s="202">
        <f t="shared" si="15"/>
        <v>5.0433333333333339</v>
      </c>
      <c r="R503" s="202" t="s">
        <v>984</v>
      </c>
    </row>
    <row r="504" spans="1:18" x14ac:dyDescent="0.15">
      <c r="A504" s="202" t="str">
        <f t="shared" si="14"/>
        <v>Saltillo_Optimal Summer_247.5</v>
      </c>
      <c r="B504" s="202" t="s">
        <v>1035</v>
      </c>
      <c r="C504" s="202">
        <v>10</v>
      </c>
      <c r="D504" s="202">
        <v>247.5</v>
      </c>
      <c r="E504" s="202">
        <v>3.7</v>
      </c>
      <c r="F504" s="202">
        <v>4.4000000000000004</v>
      </c>
      <c r="G504" s="202">
        <v>5.24</v>
      </c>
      <c r="H504" s="202">
        <v>5.17</v>
      </c>
      <c r="I504" s="202">
        <v>5.38</v>
      </c>
      <c r="J504" s="202">
        <v>5.26</v>
      </c>
      <c r="K504" s="202">
        <v>5.17</v>
      </c>
      <c r="L504" s="202">
        <v>4.95</v>
      </c>
      <c r="M504" s="202">
        <v>4.5</v>
      </c>
      <c r="N504" s="202">
        <v>4.37</v>
      </c>
      <c r="O504" s="202">
        <v>4.0199999999999996</v>
      </c>
      <c r="P504" s="202">
        <v>3.58</v>
      </c>
      <c r="Q504" s="202">
        <f t="shared" si="15"/>
        <v>4.6449999999999996</v>
      </c>
      <c r="R504" s="202" t="s">
        <v>984</v>
      </c>
    </row>
    <row r="505" spans="1:18" x14ac:dyDescent="0.15">
      <c r="A505" s="202" t="str">
        <f t="shared" si="14"/>
        <v>Saltillo_Optimal Summer_270</v>
      </c>
      <c r="B505" s="202" t="s">
        <v>1035</v>
      </c>
      <c r="C505" s="202">
        <v>10</v>
      </c>
      <c r="D505" s="202">
        <v>270</v>
      </c>
      <c r="E505" s="202">
        <v>3.38</v>
      </c>
      <c r="F505" s="202">
        <v>4.0199999999999996</v>
      </c>
      <c r="G505" s="202">
        <v>4.79</v>
      </c>
      <c r="H505" s="202">
        <v>4.7300000000000004</v>
      </c>
      <c r="I505" s="202">
        <v>4.92</v>
      </c>
      <c r="J505" s="202">
        <v>4.8099999999999996</v>
      </c>
      <c r="K505" s="202">
        <v>4.7300000000000004</v>
      </c>
      <c r="L505" s="202">
        <v>4.53</v>
      </c>
      <c r="M505" s="202">
        <v>4.1100000000000003</v>
      </c>
      <c r="N505" s="202">
        <v>3.99</v>
      </c>
      <c r="O505" s="202">
        <v>3.68</v>
      </c>
      <c r="P505" s="202">
        <v>3.27</v>
      </c>
      <c r="Q505" s="202">
        <f t="shared" si="15"/>
        <v>4.246666666666667</v>
      </c>
      <c r="R505" s="202" t="s">
        <v>984</v>
      </c>
    </row>
    <row r="506" spans="1:18" x14ac:dyDescent="0.15">
      <c r="A506" s="202" t="str">
        <f t="shared" si="14"/>
        <v>Saltillo_Optimal Year Round_90</v>
      </c>
      <c r="B506" s="202" t="s">
        <v>1035</v>
      </c>
      <c r="C506" s="202">
        <v>25</v>
      </c>
      <c r="D506" s="202">
        <v>90</v>
      </c>
      <c r="E506" s="202">
        <v>3.84</v>
      </c>
      <c r="F506" s="202">
        <v>4.4000000000000004</v>
      </c>
      <c r="G506" s="202">
        <v>4.96</v>
      </c>
      <c r="H506" s="202">
        <v>4.63</v>
      </c>
      <c r="I506" s="202">
        <v>4.6100000000000003</v>
      </c>
      <c r="J506" s="202">
        <v>4.43</v>
      </c>
      <c r="K506" s="202">
        <v>4.4000000000000004</v>
      </c>
      <c r="L506" s="202">
        <v>4.3600000000000003</v>
      </c>
      <c r="M506" s="202">
        <v>4.1399999999999997</v>
      </c>
      <c r="N506" s="202">
        <v>4.26</v>
      </c>
      <c r="O506" s="202">
        <v>4.1399999999999997</v>
      </c>
      <c r="P506" s="202">
        <v>3.78</v>
      </c>
      <c r="Q506" s="202">
        <f t="shared" si="15"/>
        <v>4.3291666666666666</v>
      </c>
      <c r="R506" s="202" t="s">
        <v>1019</v>
      </c>
    </row>
    <row r="507" spans="1:18" x14ac:dyDescent="0.15">
      <c r="A507" s="202" t="str">
        <f t="shared" si="14"/>
        <v>Saltillo_Optimal Year Round_112.5</v>
      </c>
      <c r="B507" s="202" t="s">
        <v>1035</v>
      </c>
      <c r="C507" s="202">
        <v>25</v>
      </c>
      <c r="D507" s="202">
        <v>112.5</v>
      </c>
      <c r="E507" s="202">
        <v>4.2</v>
      </c>
      <c r="F507" s="202">
        <v>4.8099999999999996</v>
      </c>
      <c r="G507" s="202">
        <v>5.42</v>
      </c>
      <c r="H507" s="202">
        <v>5.07</v>
      </c>
      <c r="I507" s="202">
        <v>5.04</v>
      </c>
      <c r="J507" s="202">
        <v>4.8499999999999996</v>
      </c>
      <c r="K507" s="202">
        <v>4.8099999999999996</v>
      </c>
      <c r="L507" s="202">
        <v>4.7699999999999996</v>
      </c>
      <c r="M507" s="202">
        <v>4.53</v>
      </c>
      <c r="N507" s="202">
        <v>4.66</v>
      </c>
      <c r="O507" s="202">
        <v>4.53</v>
      </c>
      <c r="P507" s="202">
        <v>4.13</v>
      </c>
      <c r="Q507" s="202">
        <f t="shared" si="15"/>
        <v>4.7350000000000003</v>
      </c>
      <c r="R507" s="202" t="s">
        <v>1019</v>
      </c>
    </row>
    <row r="508" spans="1:18" x14ac:dyDescent="0.15">
      <c r="A508" s="202" t="str">
        <f t="shared" si="14"/>
        <v>Saltillo_Optimal Year Round_135</v>
      </c>
      <c r="B508" s="202" t="s">
        <v>1035</v>
      </c>
      <c r="C508" s="202">
        <v>25</v>
      </c>
      <c r="D508" s="202">
        <v>135</v>
      </c>
      <c r="E508" s="202">
        <v>4.5599999999999996</v>
      </c>
      <c r="F508" s="202">
        <v>5.22</v>
      </c>
      <c r="G508" s="202">
        <v>5.89</v>
      </c>
      <c r="H508" s="202">
        <v>5.5</v>
      </c>
      <c r="I508" s="202">
        <v>5.47</v>
      </c>
      <c r="J508" s="202">
        <v>5.26</v>
      </c>
      <c r="K508" s="202">
        <v>5.22</v>
      </c>
      <c r="L508" s="202">
        <v>5.18</v>
      </c>
      <c r="M508" s="202">
        <v>4.92</v>
      </c>
      <c r="N508" s="202">
        <v>5.0599999999999996</v>
      </c>
      <c r="O508" s="202">
        <v>4.92</v>
      </c>
      <c r="P508" s="202">
        <v>4.4800000000000004</v>
      </c>
      <c r="Q508" s="202">
        <f t="shared" si="15"/>
        <v>5.1400000000000006</v>
      </c>
      <c r="R508" s="202" t="s">
        <v>1019</v>
      </c>
    </row>
    <row r="509" spans="1:18" x14ac:dyDescent="0.15">
      <c r="A509" s="202" t="str">
        <f t="shared" si="14"/>
        <v>Saltillo_Optimal Year Round_157.5</v>
      </c>
      <c r="B509" s="202" t="s">
        <v>1035</v>
      </c>
      <c r="C509" s="202">
        <v>25</v>
      </c>
      <c r="D509" s="202">
        <v>157.5</v>
      </c>
      <c r="E509" s="202">
        <v>4.68</v>
      </c>
      <c r="F509" s="202">
        <v>5.36</v>
      </c>
      <c r="G509" s="202">
        <v>6.04</v>
      </c>
      <c r="H509" s="202">
        <v>5.65</v>
      </c>
      <c r="I509" s="202">
        <v>5.62</v>
      </c>
      <c r="J509" s="202">
        <v>5.4</v>
      </c>
      <c r="K509" s="202">
        <v>5.36</v>
      </c>
      <c r="L509" s="202">
        <v>5.31</v>
      </c>
      <c r="M509" s="202">
        <v>5.05</v>
      </c>
      <c r="N509" s="202">
        <v>5.2</v>
      </c>
      <c r="O509" s="202">
        <v>5.05</v>
      </c>
      <c r="P509" s="202">
        <v>4.5999999999999996</v>
      </c>
      <c r="Q509" s="202">
        <f t="shared" si="15"/>
        <v>5.2766666666666664</v>
      </c>
      <c r="R509" s="202" t="s">
        <v>1019</v>
      </c>
    </row>
    <row r="510" spans="1:18" x14ac:dyDescent="0.15">
      <c r="A510" s="202" t="str">
        <f t="shared" si="14"/>
        <v>Saltillo_Optimal Year Round_180</v>
      </c>
      <c r="B510" s="202" t="s">
        <v>1035</v>
      </c>
      <c r="C510" s="202">
        <v>25</v>
      </c>
      <c r="D510" s="202">
        <v>180</v>
      </c>
      <c r="E510" s="202">
        <v>4.8</v>
      </c>
      <c r="F510" s="202">
        <v>5.5</v>
      </c>
      <c r="G510" s="202">
        <v>6.2</v>
      </c>
      <c r="H510" s="202">
        <v>5.79</v>
      </c>
      <c r="I510" s="202">
        <v>5.76</v>
      </c>
      <c r="J510" s="202">
        <v>5.54</v>
      </c>
      <c r="K510" s="202">
        <v>5.5</v>
      </c>
      <c r="L510" s="202">
        <v>5.45</v>
      </c>
      <c r="M510" s="202">
        <v>5.18</v>
      </c>
      <c r="N510" s="202">
        <v>5.33</v>
      </c>
      <c r="O510" s="202">
        <v>5.18</v>
      </c>
      <c r="P510" s="202">
        <v>4.72</v>
      </c>
      <c r="Q510" s="202">
        <f t="shared" si="15"/>
        <v>5.4125000000000005</v>
      </c>
      <c r="R510" s="202" t="s">
        <v>1019</v>
      </c>
    </row>
    <row r="511" spans="1:18" x14ac:dyDescent="0.15">
      <c r="A511" s="202" t="str">
        <f t="shared" si="14"/>
        <v>Saltillo_Optimal Year Round_202.5</v>
      </c>
      <c r="B511" s="202" t="s">
        <v>1035</v>
      </c>
      <c r="C511" s="202">
        <v>25</v>
      </c>
      <c r="D511" s="202">
        <v>202.5</v>
      </c>
      <c r="E511" s="202">
        <v>4.68</v>
      </c>
      <c r="F511" s="202">
        <v>5.36</v>
      </c>
      <c r="G511" s="202">
        <v>6.04</v>
      </c>
      <c r="H511" s="202">
        <v>5.65</v>
      </c>
      <c r="I511" s="202">
        <v>5.62</v>
      </c>
      <c r="J511" s="202">
        <v>5.4</v>
      </c>
      <c r="K511" s="202">
        <v>5.36</v>
      </c>
      <c r="L511" s="202">
        <v>5.31</v>
      </c>
      <c r="M511" s="202">
        <v>5.05</v>
      </c>
      <c r="N511" s="202">
        <v>5.2</v>
      </c>
      <c r="O511" s="202">
        <v>5.05</v>
      </c>
      <c r="P511" s="202">
        <v>4.5999999999999996</v>
      </c>
      <c r="Q511" s="202">
        <f t="shared" si="15"/>
        <v>5.2766666666666664</v>
      </c>
      <c r="R511" s="202" t="s">
        <v>1019</v>
      </c>
    </row>
    <row r="512" spans="1:18" x14ac:dyDescent="0.15">
      <c r="A512" s="202" t="str">
        <f t="shared" si="14"/>
        <v>Saltillo_Optimal Year Round_225</v>
      </c>
      <c r="B512" s="202" t="s">
        <v>1035</v>
      </c>
      <c r="C512" s="202">
        <v>25</v>
      </c>
      <c r="D512" s="202">
        <v>225</v>
      </c>
      <c r="E512" s="202">
        <v>4.5599999999999996</v>
      </c>
      <c r="F512" s="202">
        <v>5.22</v>
      </c>
      <c r="G512" s="202">
        <v>5.89</v>
      </c>
      <c r="H512" s="202">
        <v>5.5</v>
      </c>
      <c r="I512" s="202">
        <v>5.47</v>
      </c>
      <c r="J512" s="202">
        <v>5.26</v>
      </c>
      <c r="K512" s="202">
        <v>5.22</v>
      </c>
      <c r="L512" s="202">
        <v>5.18</v>
      </c>
      <c r="M512" s="202">
        <v>4.92</v>
      </c>
      <c r="N512" s="202">
        <v>5.0599999999999996</v>
      </c>
      <c r="O512" s="202">
        <v>4.92</v>
      </c>
      <c r="P512" s="202">
        <v>4.4800000000000004</v>
      </c>
      <c r="Q512" s="202">
        <f t="shared" si="15"/>
        <v>5.1400000000000006</v>
      </c>
      <c r="R512" s="202" t="s">
        <v>1019</v>
      </c>
    </row>
    <row r="513" spans="1:18" x14ac:dyDescent="0.15">
      <c r="A513" s="202" t="str">
        <f t="shared" si="14"/>
        <v>Saltillo_Optimal Year Round_247.5</v>
      </c>
      <c r="B513" s="202" t="s">
        <v>1035</v>
      </c>
      <c r="C513" s="202">
        <v>25</v>
      </c>
      <c r="D513" s="202">
        <v>247.5</v>
      </c>
      <c r="E513" s="202">
        <v>4.2</v>
      </c>
      <c r="F513" s="202">
        <v>4.8099999999999996</v>
      </c>
      <c r="G513" s="202">
        <v>5.42</v>
      </c>
      <c r="H513" s="202">
        <v>5.07</v>
      </c>
      <c r="I513" s="202">
        <v>5.04</v>
      </c>
      <c r="J513" s="202">
        <v>4.8499999999999996</v>
      </c>
      <c r="K513" s="202">
        <v>4.8099999999999996</v>
      </c>
      <c r="L513" s="202">
        <v>4.7699999999999996</v>
      </c>
      <c r="M513" s="202">
        <v>4.53</v>
      </c>
      <c r="N513" s="202">
        <v>4.66</v>
      </c>
      <c r="O513" s="202">
        <v>4.53</v>
      </c>
      <c r="P513" s="202">
        <v>4.13</v>
      </c>
      <c r="Q513" s="202">
        <f t="shared" si="15"/>
        <v>4.7350000000000003</v>
      </c>
      <c r="R513" s="202" t="s">
        <v>1019</v>
      </c>
    </row>
    <row r="514" spans="1:18" x14ac:dyDescent="0.15">
      <c r="A514" s="202" t="str">
        <f t="shared" ref="A514:A577" si="16">B514&amp;"_"&amp;R514&amp;"_"&amp;D514</f>
        <v>Saltillo_Optimal Year Round_270</v>
      </c>
      <c r="B514" s="202" t="s">
        <v>1035</v>
      </c>
      <c r="C514" s="202">
        <v>25</v>
      </c>
      <c r="D514" s="202">
        <v>270</v>
      </c>
      <c r="E514" s="202">
        <v>3.84</v>
      </c>
      <c r="F514" s="202">
        <v>4.4000000000000004</v>
      </c>
      <c r="G514" s="202">
        <v>4.96</v>
      </c>
      <c r="H514" s="202">
        <v>4.63</v>
      </c>
      <c r="I514" s="202">
        <v>4.6100000000000003</v>
      </c>
      <c r="J514" s="202">
        <v>4.43</v>
      </c>
      <c r="K514" s="202">
        <v>4.4000000000000004</v>
      </c>
      <c r="L514" s="202">
        <v>4.3600000000000003</v>
      </c>
      <c r="M514" s="202">
        <v>4.1399999999999997</v>
      </c>
      <c r="N514" s="202">
        <v>4.26</v>
      </c>
      <c r="O514" s="202">
        <v>4.1399999999999997</v>
      </c>
      <c r="P514" s="202">
        <v>3.78</v>
      </c>
      <c r="Q514" s="202">
        <f t="shared" ref="Q514:Q577" si="17">AVERAGE(E514:P514)</f>
        <v>4.3291666666666666</v>
      </c>
      <c r="R514" s="202" t="s">
        <v>1019</v>
      </c>
    </row>
    <row r="515" spans="1:18" x14ac:dyDescent="0.15">
      <c r="A515" s="202" t="str">
        <f t="shared" si="16"/>
        <v>San Luis Potosi_Flat Surface_90</v>
      </c>
      <c r="B515" s="580" t="s">
        <v>1018</v>
      </c>
      <c r="C515" s="495">
        <v>0</v>
      </c>
      <c r="D515" s="495">
        <v>90</v>
      </c>
      <c r="E515" s="497">
        <v>4.1100000000000003</v>
      </c>
      <c r="F515" s="497">
        <v>5.07</v>
      </c>
      <c r="G515" s="497">
        <v>6.03</v>
      </c>
      <c r="H515" s="497">
        <v>6.32</v>
      </c>
      <c r="I515" s="497">
        <v>6.63</v>
      </c>
      <c r="J515" s="497">
        <v>6.36</v>
      </c>
      <c r="K515" s="497">
        <v>6.03</v>
      </c>
      <c r="L515" s="497">
        <v>5.9</v>
      </c>
      <c r="M515" s="497">
        <v>5.07</v>
      </c>
      <c r="N515" s="497">
        <v>4.95</v>
      </c>
      <c r="O515" s="497">
        <v>4.58</v>
      </c>
      <c r="P515" s="497">
        <v>3.95</v>
      </c>
      <c r="Q515" s="202">
        <f t="shared" si="17"/>
        <v>5.416666666666667</v>
      </c>
      <c r="R515" s="202" t="s">
        <v>1020</v>
      </c>
    </row>
    <row r="516" spans="1:18" x14ac:dyDescent="0.15">
      <c r="A516" s="202" t="str">
        <f t="shared" si="16"/>
        <v>San Luis Potosi_Flat Surface_112.5</v>
      </c>
      <c r="B516" s="580" t="s">
        <v>1018</v>
      </c>
      <c r="C516" s="495">
        <v>0</v>
      </c>
      <c r="D516" s="495">
        <v>112.5</v>
      </c>
      <c r="E516" s="497">
        <v>4.1100000000000003</v>
      </c>
      <c r="F516" s="497">
        <v>5.07</v>
      </c>
      <c r="G516" s="497">
        <v>6.03</v>
      </c>
      <c r="H516" s="497">
        <v>6.32</v>
      </c>
      <c r="I516" s="497">
        <v>6.63</v>
      </c>
      <c r="J516" s="497">
        <v>6.36</v>
      </c>
      <c r="K516" s="497">
        <v>6.03</v>
      </c>
      <c r="L516" s="497">
        <v>5.9</v>
      </c>
      <c r="M516" s="497">
        <v>5.07</v>
      </c>
      <c r="N516" s="497">
        <v>4.95</v>
      </c>
      <c r="O516" s="497">
        <v>4.58</v>
      </c>
      <c r="P516" s="497">
        <v>3.95</v>
      </c>
      <c r="Q516" s="202">
        <f t="shared" si="17"/>
        <v>5.416666666666667</v>
      </c>
      <c r="R516" s="202" t="s">
        <v>1020</v>
      </c>
    </row>
    <row r="517" spans="1:18" x14ac:dyDescent="0.15">
      <c r="A517" s="202" t="str">
        <f t="shared" si="16"/>
        <v>San Luis Potosi_Flat Surface_135</v>
      </c>
      <c r="B517" s="580" t="s">
        <v>1018</v>
      </c>
      <c r="C517" s="495">
        <v>0</v>
      </c>
      <c r="D517" s="495">
        <v>135</v>
      </c>
      <c r="E517" s="497">
        <v>4.1100000000000003</v>
      </c>
      <c r="F517" s="497">
        <v>5.07</v>
      </c>
      <c r="G517" s="497">
        <v>6.03</v>
      </c>
      <c r="H517" s="497">
        <v>6.32</v>
      </c>
      <c r="I517" s="497">
        <v>6.63</v>
      </c>
      <c r="J517" s="497">
        <v>6.36</v>
      </c>
      <c r="K517" s="497">
        <v>6.03</v>
      </c>
      <c r="L517" s="497">
        <v>5.9</v>
      </c>
      <c r="M517" s="497">
        <v>5.07</v>
      </c>
      <c r="N517" s="497">
        <v>4.95</v>
      </c>
      <c r="O517" s="497">
        <v>4.58</v>
      </c>
      <c r="P517" s="497">
        <v>3.95</v>
      </c>
      <c r="Q517" s="202">
        <f t="shared" si="17"/>
        <v>5.416666666666667</v>
      </c>
      <c r="R517" s="202" t="s">
        <v>1020</v>
      </c>
    </row>
    <row r="518" spans="1:18" x14ac:dyDescent="0.15">
      <c r="A518" s="202" t="str">
        <f t="shared" si="16"/>
        <v>San Luis Potosi_Flat Surface_157.5</v>
      </c>
      <c r="B518" s="580" t="s">
        <v>1018</v>
      </c>
      <c r="C518" s="495">
        <v>0</v>
      </c>
      <c r="D518" s="495">
        <v>157.5</v>
      </c>
      <c r="E518" s="497">
        <v>4.1100000000000003</v>
      </c>
      <c r="F518" s="497">
        <v>5.07</v>
      </c>
      <c r="G518" s="497">
        <v>6.03</v>
      </c>
      <c r="H518" s="497">
        <v>6.32</v>
      </c>
      <c r="I518" s="497">
        <v>6.63</v>
      </c>
      <c r="J518" s="497">
        <v>6.36</v>
      </c>
      <c r="K518" s="497">
        <v>6.03</v>
      </c>
      <c r="L518" s="497">
        <v>5.9</v>
      </c>
      <c r="M518" s="497">
        <v>5.07</v>
      </c>
      <c r="N518" s="497">
        <v>4.95</v>
      </c>
      <c r="O518" s="497">
        <v>4.58</v>
      </c>
      <c r="P518" s="497">
        <v>3.95</v>
      </c>
      <c r="Q518" s="202">
        <f t="shared" si="17"/>
        <v>5.416666666666667</v>
      </c>
      <c r="R518" s="202" t="s">
        <v>1020</v>
      </c>
    </row>
    <row r="519" spans="1:18" x14ac:dyDescent="0.15">
      <c r="A519" s="202" t="str">
        <f t="shared" si="16"/>
        <v>San Luis Potosi_Flat Surface_180</v>
      </c>
      <c r="B519" s="580" t="s">
        <v>1018</v>
      </c>
      <c r="C519" s="495">
        <v>0</v>
      </c>
      <c r="D519" s="495">
        <v>180</v>
      </c>
      <c r="E519" s="497">
        <v>4.1100000000000003</v>
      </c>
      <c r="F519" s="497">
        <v>5.07</v>
      </c>
      <c r="G519" s="497">
        <v>6.03</v>
      </c>
      <c r="H519" s="497">
        <v>6.32</v>
      </c>
      <c r="I519" s="497">
        <v>6.63</v>
      </c>
      <c r="J519" s="497">
        <v>6.36</v>
      </c>
      <c r="K519" s="497">
        <v>6.03</v>
      </c>
      <c r="L519" s="497">
        <v>5.9</v>
      </c>
      <c r="M519" s="497">
        <v>5.07</v>
      </c>
      <c r="N519" s="497">
        <v>4.95</v>
      </c>
      <c r="O519" s="497">
        <v>4.58</v>
      </c>
      <c r="P519" s="497">
        <v>3.95</v>
      </c>
      <c r="Q519" s="202">
        <f t="shared" si="17"/>
        <v>5.416666666666667</v>
      </c>
      <c r="R519" s="202" t="s">
        <v>1020</v>
      </c>
    </row>
    <row r="520" spans="1:18" x14ac:dyDescent="0.15">
      <c r="A520" s="202" t="str">
        <f t="shared" si="16"/>
        <v>San Luis Potosi_Flat Surface_202.5</v>
      </c>
      <c r="B520" s="580" t="s">
        <v>1018</v>
      </c>
      <c r="C520" s="495">
        <v>0</v>
      </c>
      <c r="D520" s="495">
        <v>202.5</v>
      </c>
      <c r="E520" s="497">
        <v>4.1100000000000003</v>
      </c>
      <c r="F520" s="497">
        <v>5.07</v>
      </c>
      <c r="G520" s="497">
        <v>6.03</v>
      </c>
      <c r="H520" s="497">
        <v>6.32</v>
      </c>
      <c r="I520" s="497">
        <v>6.63</v>
      </c>
      <c r="J520" s="497">
        <v>6.36</v>
      </c>
      <c r="K520" s="497">
        <v>6.03</v>
      </c>
      <c r="L520" s="497">
        <v>5.9</v>
      </c>
      <c r="M520" s="497">
        <v>5.07</v>
      </c>
      <c r="N520" s="497">
        <v>4.95</v>
      </c>
      <c r="O520" s="497">
        <v>4.58</v>
      </c>
      <c r="P520" s="497">
        <v>3.95</v>
      </c>
      <c r="Q520" s="202">
        <f t="shared" si="17"/>
        <v>5.416666666666667</v>
      </c>
      <c r="R520" s="202" t="s">
        <v>1020</v>
      </c>
    </row>
    <row r="521" spans="1:18" x14ac:dyDescent="0.15">
      <c r="A521" s="202" t="str">
        <f t="shared" si="16"/>
        <v>San Luis Potosi_Flat Surface_225</v>
      </c>
      <c r="B521" s="580" t="s">
        <v>1018</v>
      </c>
      <c r="C521" s="495">
        <v>0</v>
      </c>
      <c r="D521" s="495">
        <v>225</v>
      </c>
      <c r="E521" s="497">
        <v>4.1100000000000003</v>
      </c>
      <c r="F521" s="497">
        <v>5.07</v>
      </c>
      <c r="G521" s="497">
        <v>6.03</v>
      </c>
      <c r="H521" s="497">
        <v>6.32</v>
      </c>
      <c r="I521" s="497">
        <v>6.63</v>
      </c>
      <c r="J521" s="497">
        <v>6.36</v>
      </c>
      <c r="K521" s="497">
        <v>6.03</v>
      </c>
      <c r="L521" s="497">
        <v>5.9</v>
      </c>
      <c r="M521" s="497">
        <v>5.07</v>
      </c>
      <c r="N521" s="497">
        <v>4.95</v>
      </c>
      <c r="O521" s="497">
        <v>4.58</v>
      </c>
      <c r="P521" s="497">
        <v>3.95</v>
      </c>
      <c r="Q521" s="202">
        <f t="shared" si="17"/>
        <v>5.416666666666667</v>
      </c>
      <c r="R521" s="202" t="s">
        <v>1020</v>
      </c>
    </row>
    <row r="522" spans="1:18" x14ac:dyDescent="0.15">
      <c r="A522" s="202" t="str">
        <f t="shared" si="16"/>
        <v>San Luis Potosi_Flat Surface_247.5</v>
      </c>
      <c r="B522" s="580" t="s">
        <v>1018</v>
      </c>
      <c r="C522" s="495">
        <v>0</v>
      </c>
      <c r="D522" s="495">
        <v>247.5</v>
      </c>
      <c r="E522" s="497">
        <v>4.1100000000000003</v>
      </c>
      <c r="F522" s="497">
        <v>5.07</v>
      </c>
      <c r="G522" s="497">
        <v>6.03</v>
      </c>
      <c r="H522" s="497">
        <v>6.32</v>
      </c>
      <c r="I522" s="497">
        <v>6.63</v>
      </c>
      <c r="J522" s="497">
        <v>6.36</v>
      </c>
      <c r="K522" s="497">
        <v>6.03</v>
      </c>
      <c r="L522" s="497">
        <v>5.9</v>
      </c>
      <c r="M522" s="497">
        <v>5.07</v>
      </c>
      <c r="N522" s="497">
        <v>4.95</v>
      </c>
      <c r="O522" s="497">
        <v>4.58</v>
      </c>
      <c r="P522" s="497">
        <v>3.95</v>
      </c>
      <c r="Q522" s="202">
        <f t="shared" si="17"/>
        <v>5.416666666666667</v>
      </c>
      <c r="R522" s="202" t="s">
        <v>1020</v>
      </c>
    </row>
    <row r="523" spans="1:18" x14ac:dyDescent="0.15">
      <c r="A523" s="202" t="str">
        <f t="shared" si="16"/>
        <v>San Luis Potosi_Flat Surface_270</v>
      </c>
      <c r="B523" s="580" t="s">
        <v>1018</v>
      </c>
      <c r="C523" s="495">
        <v>0</v>
      </c>
      <c r="D523" s="495">
        <v>270</v>
      </c>
      <c r="E523" s="497">
        <v>4.1100000000000003</v>
      </c>
      <c r="F523" s="497">
        <v>5.07</v>
      </c>
      <c r="G523" s="497">
        <v>6.03</v>
      </c>
      <c r="H523" s="497">
        <v>6.32</v>
      </c>
      <c r="I523" s="497">
        <v>6.63</v>
      </c>
      <c r="J523" s="497">
        <v>6.36</v>
      </c>
      <c r="K523" s="497">
        <v>6.03</v>
      </c>
      <c r="L523" s="497">
        <v>5.9</v>
      </c>
      <c r="M523" s="497">
        <v>5.07</v>
      </c>
      <c r="N523" s="497">
        <v>4.95</v>
      </c>
      <c r="O523" s="497">
        <v>4.58</v>
      </c>
      <c r="P523" s="497">
        <v>3.95</v>
      </c>
      <c r="Q523" s="202">
        <f t="shared" si="17"/>
        <v>5.416666666666667</v>
      </c>
      <c r="R523" s="202" t="s">
        <v>1020</v>
      </c>
    </row>
    <row r="524" spans="1:18" x14ac:dyDescent="0.15">
      <c r="A524" s="202" t="str">
        <f t="shared" si="16"/>
        <v>San Luis Potosi_Optimal Summer_90</v>
      </c>
      <c r="B524" s="580" t="s">
        <v>1018</v>
      </c>
      <c r="C524" s="495">
        <v>7</v>
      </c>
      <c r="D524" s="495">
        <v>90</v>
      </c>
      <c r="E524" s="497">
        <v>3.58</v>
      </c>
      <c r="F524" s="497">
        <v>4.33</v>
      </c>
      <c r="G524" s="497">
        <v>5</v>
      </c>
      <c r="H524" s="497">
        <v>5.0999999999999996</v>
      </c>
      <c r="I524" s="497">
        <v>5.23</v>
      </c>
      <c r="J524" s="497">
        <v>5.14</v>
      </c>
      <c r="K524" s="497">
        <v>4.74</v>
      </c>
      <c r="L524" s="497">
        <v>4.72</v>
      </c>
      <c r="M524" s="497">
        <v>4.1399999999999997</v>
      </c>
      <c r="N524" s="497">
        <v>4.18</v>
      </c>
      <c r="O524" s="497">
        <v>4.01</v>
      </c>
      <c r="P524" s="497">
        <v>3.47</v>
      </c>
      <c r="Q524" s="202">
        <f t="shared" si="17"/>
        <v>4.47</v>
      </c>
      <c r="R524" s="202" t="s">
        <v>984</v>
      </c>
    </row>
    <row r="525" spans="1:18" x14ac:dyDescent="0.15">
      <c r="A525" s="202" t="str">
        <f t="shared" si="16"/>
        <v>San Luis Potosi_Optimal Summer_112.5</v>
      </c>
      <c r="B525" s="580" t="s">
        <v>1018</v>
      </c>
      <c r="C525" s="495">
        <v>7</v>
      </c>
      <c r="D525" s="495">
        <v>112.5</v>
      </c>
      <c r="E525" s="497">
        <v>3.92</v>
      </c>
      <c r="F525" s="497">
        <v>4.7300000000000004</v>
      </c>
      <c r="G525" s="497">
        <v>5.47</v>
      </c>
      <c r="H525" s="497">
        <v>5.57</v>
      </c>
      <c r="I525" s="497">
        <v>5.72</v>
      </c>
      <c r="J525" s="497">
        <v>5.62</v>
      </c>
      <c r="K525" s="497">
        <v>5.19</v>
      </c>
      <c r="L525" s="497">
        <v>5.16</v>
      </c>
      <c r="M525" s="497">
        <v>4.5199999999999996</v>
      </c>
      <c r="N525" s="497">
        <v>4.57</v>
      </c>
      <c r="O525" s="497">
        <v>4.38</v>
      </c>
      <c r="P525" s="497">
        <v>3.8</v>
      </c>
      <c r="Q525" s="202">
        <f t="shared" si="17"/>
        <v>4.8874999999999993</v>
      </c>
      <c r="R525" s="202" t="s">
        <v>984</v>
      </c>
    </row>
    <row r="526" spans="1:18" x14ac:dyDescent="0.15">
      <c r="A526" s="202" t="str">
        <f t="shared" si="16"/>
        <v>San Luis Potosi_Optimal Summer_135</v>
      </c>
      <c r="B526" s="580" t="s">
        <v>1018</v>
      </c>
      <c r="C526" s="495">
        <v>7</v>
      </c>
      <c r="D526" s="495">
        <v>135</v>
      </c>
      <c r="E526" s="497">
        <v>4.26</v>
      </c>
      <c r="F526" s="497">
        <v>5.14</v>
      </c>
      <c r="G526" s="497">
        <v>5.94</v>
      </c>
      <c r="H526" s="497">
        <v>6.05</v>
      </c>
      <c r="I526" s="497">
        <v>6.21</v>
      </c>
      <c r="J526" s="497">
        <v>6.1</v>
      </c>
      <c r="K526" s="497">
        <v>5.63</v>
      </c>
      <c r="L526" s="497">
        <v>5.6</v>
      </c>
      <c r="M526" s="497">
        <v>4.91</v>
      </c>
      <c r="N526" s="497">
        <v>4.96</v>
      </c>
      <c r="O526" s="497">
        <v>4.76</v>
      </c>
      <c r="P526" s="497">
        <v>4.12</v>
      </c>
      <c r="Q526" s="202">
        <f t="shared" si="17"/>
        <v>5.3066666666666666</v>
      </c>
      <c r="R526" s="202" t="s">
        <v>984</v>
      </c>
    </row>
    <row r="527" spans="1:18" x14ac:dyDescent="0.15">
      <c r="A527" s="202" t="str">
        <f t="shared" si="16"/>
        <v>San Luis Potosi_Optimal Summer_157.5</v>
      </c>
      <c r="B527" s="580" t="s">
        <v>1018</v>
      </c>
      <c r="C527" s="495">
        <v>7</v>
      </c>
      <c r="D527" s="495">
        <v>157.5</v>
      </c>
      <c r="E527" s="497">
        <v>4.37</v>
      </c>
      <c r="F527" s="497">
        <v>5.27</v>
      </c>
      <c r="G527" s="497">
        <v>6.09</v>
      </c>
      <c r="H527" s="497">
        <v>6.21</v>
      </c>
      <c r="I527" s="497">
        <v>6.38</v>
      </c>
      <c r="J527" s="497">
        <v>6.26</v>
      </c>
      <c r="K527" s="497">
        <v>5.78</v>
      </c>
      <c r="L527" s="497">
        <v>5.75</v>
      </c>
      <c r="M527" s="497">
        <v>5.04</v>
      </c>
      <c r="N527" s="497">
        <v>5.09</v>
      </c>
      <c r="O527" s="497">
        <v>4.88</v>
      </c>
      <c r="P527" s="497">
        <v>4.2300000000000004</v>
      </c>
      <c r="Q527" s="202">
        <f t="shared" si="17"/>
        <v>5.4458333333333329</v>
      </c>
      <c r="R527" s="202" t="s">
        <v>984</v>
      </c>
    </row>
    <row r="528" spans="1:18" x14ac:dyDescent="0.15">
      <c r="A528" s="202" t="str">
        <f t="shared" si="16"/>
        <v>San Luis Potosi_Optimal Summer_180</v>
      </c>
      <c r="B528" s="580" t="s">
        <v>1018</v>
      </c>
      <c r="C528" s="495">
        <v>7</v>
      </c>
      <c r="D528" s="495">
        <v>180</v>
      </c>
      <c r="E528" s="497">
        <v>4.4800000000000004</v>
      </c>
      <c r="F528" s="497">
        <v>5.41</v>
      </c>
      <c r="G528" s="497">
        <v>6.25</v>
      </c>
      <c r="H528" s="497">
        <v>6.37</v>
      </c>
      <c r="I528" s="497">
        <v>6.54</v>
      </c>
      <c r="J528" s="497">
        <v>6.42</v>
      </c>
      <c r="K528" s="497">
        <v>5.93</v>
      </c>
      <c r="L528" s="497">
        <v>5.9</v>
      </c>
      <c r="M528" s="497">
        <v>5.17</v>
      </c>
      <c r="N528" s="497">
        <v>5.22</v>
      </c>
      <c r="O528" s="497">
        <v>5.01</v>
      </c>
      <c r="P528" s="497">
        <v>4.34</v>
      </c>
      <c r="Q528" s="202">
        <f t="shared" si="17"/>
        <v>5.586666666666666</v>
      </c>
      <c r="R528" s="202" t="s">
        <v>984</v>
      </c>
    </row>
    <row r="529" spans="1:18" x14ac:dyDescent="0.15">
      <c r="A529" s="202" t="str">
        <f t="shared" si="16"/>
        <v>San Luis Potosi_Optimal Summer_202.5</v>
      </c>
      <c r="B529" s="580" t="s">
        <v>1018</v>
      </c>
      <c r="C529" s="495">
        <v>7</v>
      </c>
      <c r="D529" s="495">
        <v>202.5</v>
      </c>
      <c r="E529" s="497">
        <v>4.37</v>
      </c>
      <c r="F529" s="497">
        <v>5.27</v>
      </c>
      <c r="G529" s="497">
        <v>6.09</v>
      </c>
      <c r="H529" s="497">
        <v>6.21</v>
      </c>
      <c r="I529" s="497">
        <v>6.38</v>
      </c>
      <c r="J529" s="497">
        <v>6.26</v>
      </c>
      <c r="K529" s="497">
        <v>5.78</v>
      </c>
      <c r="L529" s="497">
        <v>5.75</v>
      </c>
      <c r="M529" s="497">
        <v>5.04</v>
      </c>
      <c r="N529" s="497">
        <v>5.09</v>
      </c>
      <c r="O529" s="497">
        <v>4.88</v>
      </c>
      <c r="P529" s="497">
        <v>4.2300000000000004</v>
      </c>
      <c r="Q529" s="202">
        <f t="shared" si="17"/>
        <v>5.4458333333333329</v>
      </c>
      <c r="R529" s="202" t="s">
        <v>984</v>
      </c>
    </row>
    <row r="530" spans="1:18" x14ac:dyDescent="0.15">
      <c r="A530" s="202" t="str">
        <f t="shared" si="16"/>
        <v>San Luis Potosi_Optimal Summer_225</v>
      </c>
      <c r="B530" s="580" t="s">
        <v>1018</v>
      </c>
      <c r="C530" s="495">
        <v>7</v>
      </c>
      <c r="D530" s="495">
        <v>225</v>
      </c>
      <c r="E530" s="495">
        <v>4.26</v>
      </c>
      <c r="F530" s="495">
        <v>5.14</v>
      </c>
      <c r="G530" s="495">
        <v>5.94</v>
      </c>
      <c r="H530" s="495">
        <v>6.05</v>
      </c>
      <c r="I530" s="495">
        <v>6.21</v>
      </c>
      <c r="J530" s="495">
        <v>6.1</v>
      </c>
      <c r="K530" s="495">
        <v>5.63</v>
      </c>
      <c r="L530" s="495">
        <v>5.6</v>
      </c>
      <c r="M530" s="495">
        <v>4.91</v>
      </c>
      <c r="N530" s="495">
        <v>4.96</v>
      </c>
      <c r="O530" s="495">
        <v>4.76</v>
      </c>
      <c r="P530" s="495">
        <v>4.12</v>
      </c>
      <c r="Q530" s="202">
        <f t="shared" si="17"/>
        <v>5.3066666666666666</v>
      </c>
      <c r="R530" s="202" t="s">
        <v>984</v>
      </c>
    </row>
    <row r="531" spans="1:18" x14ac:dyDescent="0.15">
      <c r="A531" s="202" t="str">
        <f t="shared" si="16"/>
        <v>San Luis Potosi_Optimal Summer_247.5</v>
      </c>
      <c r="B531" s="580" t="s">
        <v>1018</v>
      </c>
      <c r="C531" s="495">
        <v>7</v>
      </c>
      <c r="D531" s="495">
        <v>247.5</v>
      </c>
      <c r="E531" s="495">
        <v>3.92</v>
      </c>
      <c r="F531" s="495">
        <v>4.7300000000000004</v>
      </c>
      <c r="G531" s="495">
        <v>5.47</v>
      </c>
      <c r="H531" s="495">
        <v>5.57</v>
      </c>
      <c r="I531" s="495">
        <v>5.72</v>
      </c>
      <c r="J531" s="495">
        <v>5.62</v>
      </c>
      <c r="K531" s="495">
        <v>5.19</v>
      </c>
      <c r="L531" s="495">
        <v>5.16</v>
      </c>
      <c r="M531" s="495">
        <v>4.5199999999999996</v>
      </c>
      <c r="N531" s="495">
        <v>4.57</v>
      </c>
      <c r="O531" s="495">
        <v>4.38</v>
      </c>
      <c r="P531" s="495">
        <v>3.8</v>
      </c>
      <c r="Q531" s="202">
        <f t="shared" si="17"/>
        <v>4.8874999999999993</v>
      </c>
      <c r="R531" s="202" t="s">
        <v>984</v>
      </c>
    </row>
    <row r="532" spans="1:18" x14ac:dyDescent="0.15">
      <c r="A532" s="202" t="str">
        <f t="shared" si="16"/>
        <v>San Luis Potosi_Optimal Summer_270</v>
      </c>
      <c r="B532" s="580" t="s">
        <v>1018</v>
      </c>
      <c r="C532" s="495">
        <v>7</v>
      </c>
      <c r="D532" s="495">
        <v>270</v>
      </c>
      <c r="E532" s="495">
        <v>3.58</v>
      </c>
      <c r="F532" s="495">
        <v>4.33</v>
      </c>
      <c r="G532" s="495">
        <v>5</v>
      </c>
      <c r="H532" s="495">
        <v>5.0999999999999996</v>
      </c>
      <c r="I532" s="495">
        <v>5.23</v>
      </c>
      <c r="J532" s="495">
        <v>5.14</v>
      </c>
      <c r="K532" s="495">
        <v>4.74</v>
      </c>
      <c r="L532" s="495">
        <v>4.72</v>
      </c>
      <c r="M532" s="495">
        <v>4.1399999999999997</v>
      </c>
      <c r="N532" s="495">
        <v>4.18</v>
      </c>
      <c r="O532" s="495">
        <v>4.01</v>
      </c>
      <c r="P532" s="495">
        <v>3.47</v>
      </c>
      <c r="Q532" s="202">
        <f t="shared" si="17"/>
        <v>4.47</v>
      </c>
      <c r="R532" s="202" t="s">
        <v>984</v>
      </c>
    </row>
    <row r="533" spans="1:18" x14ac:dyDescent="0.15">
      <c r="A533" s="202" t="str">
        <f t="shared" si="16"/>
        <v>San Luis Potosi_Optimal Year Round_90</v>
      </c>
      <c r="B533" s="580" t="s">
        <v>1018</v>
      </c>
      <c r="C533" s="495">
        <v>22</v>
      </c>
      <c r="D533" s="495">
        <v>90</v>
      </c>
      <c r="E533" s="497">
        <v>4.07</v>
      </c>
      <c r="F533" s="497">
        <v>4.74</v>
      </c>
      <c r="G533" s="497">
        <v>5.19</v>
      </c>
      <c r="H533" s="497">
        <v>5</v>
      </c>
      <c r="I533" s="497">
        <v>4.9000000000000004</v>
      </c>
      <c r="J533" s="497">
        <v>5.05</v>
      </c>
      <c r="K533" s="497">
        <v>4.42</v>
      </c>
      <c r="L533" s="497">
        <v>4.55</v>
      </c>
      <c r="M533" s="497">
        <v>4.17</v>
      </c>
      <c r="N533" s="497">
        <v>4.46</v>
      </c>
      <c r="O533" s="497">
        <v>4.5599999999999996</v>
      </c>
      <c r="P533" s="497">
        <v>4.01</v>
      </c>
      <c r="Q533" s="202">
        <f t="shared" si="17"/>
        <v>4.5933333333333328</v>
      </c>
      <c r="R533" s="202" t="s">
        <v>1019</v>
      </c>
    </row>
    <row r="534" spans="1:18" x14ac:dyDescent="0.15">
      <c r="A534" s="202" t="str">
        <f t="shared" si="16"/>
        <v>San Luis Potosi_Optimal Year Round_112.5</v>
      </c>
      <c r="B534" s="580" t="s">
        <v>1018</v>
      </c>
      <c r="C534" s="495">
        <v>22</v>
      </c>
      <c r="D534" s="495">
        <v>112.5</v>
      </c>
      <c r="E534" s="497">
        <v>4.45</v>
      </c>
      <c r="F534" s="497">
        <v>5.19</v>
      </c>
      <c r="G534" s="497">
        <v>5.68</v>
      </c>
      <c r="H534" s="497">
        <v>5.47</v>
      </c>
      <c r="I534" s="497">
        <v>5.36</v>
      </c>
      <c r="J534" s="497">
        <v>5.52</v>
      </c>
      <c r="K534" s="497">
        <v>4.83</v>
      </c>
      <c r="L534" s="497">
        <v>4.9800000000000004</v>
      </c>
      <c r="M534" s="497">
        <v>4.5599999999999996</v>
      </c>
      <c r="N534" s="497">
        <v>4.88</v>
      </c>
      <c r="O534" s="497">
        <v>4.99</v>
      </c>
      <c r="P534" s="497">
        <v>4.38</v>
      </c>
      <c r="Q534" s="202">
        <f t="shared" si="17"/>
        <v>5.0241666666666678</v>
      </c>
      <c r="R534" s="202" t="s">
        <v>1019</v>
      </c>
    </row>
    <row r="535" spans="1:18" x14ac:dyDescent="0.15">
      <c r="A535" s="202" t="str">
        <f t="shared" si="16"/>
        <v>San Luis Potosi_Optimal Year Round_135</v>
      </c>
      <c r="B535" s="580" t="s">
        <v>1018</v>
      </c>
      <c r="C535" s="495">
        <v>22</v>
      </c>
      <c r="D535" s="495">
        <v>135</v>
      </c>
      <c r="E535" s="497">
        <v>4.84</v>
      </c>
      <c r="F535" s="497">
        <v>5.63</v>
      </c>
      <c r="G535" s="497">
        <v>6.17</v>
      </c>
      <c r="H535" s="497">
        <v>5.94</v>
      </c>
      <c r="I535" s="497">
        <v>5.81</v>
      </c>
      <c r="J535" s="497">
        <v>5.99</v>
      </c>
      <c r="K535" s="497">
        <v>5.24</v>
      </c>
      <c r="L535" s="497">
        <v>5.41</v>
      </c>
      <c r="M535" s="497">
        <v>4.95</v>
      </c>
      <c r="N535" s="497">
        <v>5.3</v>
      </c>
      <c r="O535" s="497">
        <v>5.42</v>
      </c>
      <c r="P535" s="497">
        <v>4.76</v>
      </c>
      <c r="Q535" s="202">
        <f t="shared" si="17"/>
        <v>5.455000000000001</v>
      </c>
      <c r="R535" s="202" t="s">
        <v>1019</v>
      </c>
    </row>
    <row r="536" spans="1:18" x14ac:dyDescent="0.15">
      <c r="A536" s="202" t="str">
        <f t="shared" si="16"/>
        <v>San Luis Potosi_Optimal Year Round_157.5</v>
      </c>
      <c r="B536" s="580" t="s">
        <v>1018</v>
      </c>
      <c r="C536" s="495">
        <v>22</v>
      </c>
      <c r="D536" s="495">
        <v>157.5</v>
      </c>
      <c r="E536" s="497">
        <v>4.96</v>
      </c>
      <c r="F536" s="497">
        <v>5.78</v>
      </c>
      <c r="G536" s="497">
        <v>6.33</v>
      </c>
      <c r="H536" s="497">
        <v>6.09</v>
      </c>
      <c r="I536" s="497">
        <v>5.97</v>
      </c>
      <c r="J536" s="497">
        <v>6.15</v>
      </c>
      <c r="K536" s="497">
        <v>5.38</v>
      </c>
      <c r="L536" s="497">
        <v>5.55</v>
      </c>
      <c r="M536" s="497">
        <v>5.08</v>
      </c>
      <c r="N536" s="497">
        <v>5.44</v>
      </c>
      <c r="O536" s="497">
        <v>5.56</v>
      </c>
      <c r="P536" s="497">
        <v>4.88</v>
      </c>
      <c r="Q536" s="202">
        <f t="shared" si="17"/>
        <v>5.5975000000000001</v>
      </c>
      <c r="R536" s="202" t="s">
        <v>1019</v>
      </c>
    </row>
    <row r="537" spans="1:18" x14ac:dyDescent="0.15">
      <c r="A537" s="202" t="str">
        <f t="shared" si="16"/>
        <v>San Luis Potosi_Optimal Year Round_180</v>
      </c>
      <c r="B537" s="580" t="s">
        <v>1018</v>
      </c>
      <c r="C537" s="495">
        <v>22</v>
      </c>
      <c r="D537" s="495">
        <v>180</v>
      </c>
      <c r="E537" s="497">
        <v>5.09</v>
      </c>
      <c r="F537" s="497">
        <v>5.93</v>
      </c>
      <c r="G537" s="497">
        <v>6.49</v>
      </c>
      <c r="H537" s="497">
        <v>6.25</v>
      </c>
      <c r="I537" s="497">
        <v>6.12</v>
      </c>
      <c r="J537" s="497">
        <v>6.31</v>
      </c>
      <c r="K537" s="497">
        <v>5.52</v>
      </c>
      <c r="L537" s="497">
        <v>5.69</v>
      </c>
      <c r="M537" s="497">
        <v>5.21</v>
      </c>
      <c r="N537" s="497">
        <v>5.58</v>
      </c>
      <c r="O537" s="497">
        <v>5.7</v>
      </c>
      <c r="P537" s="497">
        <v>5.01</v>
      </c>
      <c r="Q537" s="202">
        <f t="shared" si="17"/>
        <v>5.7416666666666663</v>
      </c>
      <c r="R537" s="202" t="s">
        <v>1019</v>
      </c>
    </row>
    <row r="538" spans="1:18" x14ac:dyDescent="0.15">
      <c r="A538" s="202" t="str">
        <f t="shared" si="16"/>
        <v>San Luis Potosi_Optimal Year Round_202.5</v>
      </c>
      <c r="B538" s="580" t="s">
        <v>1018</v>
      </c>
      <c r="C538" s="495">
        <v>22</v>
      </c>
      <c r="D538" s="495">
        <v>202.5</v>
      </c>
      <c r="E538" s="497">
        <v>4.96</v>
      </c>
      <c r="F538" s="497">
        <v>5.78</v>
      </c>
      <c r="G538" s="497">
        <v>6.33</v>
      </c>
      <c r="H538" s="497">
        <v>6.09</v>
      </c>
      <c r="I538" s="497">
        <v>5.97</v>
      </c>
      <c r="J538" s="497">
        <v>6.15</v>
      </c>
      <c r="K538" s="497">
        <v>5.38</v>
      </c>
      <c r="L538" s="497">
        <v>5.55</v>
      </c>
      <c r="M538" s="497">
        <v>5.08</v>
      </c>
      <c r="N538" s="497">
        <v>5.44</v>
      </c>
      <c r="O538" s="497">
        <v>5.56</v>
      </c>
      <c r="P538" s="497">
        <v>4.88</v>
      </c>
      <c r="Q538" s="202">
        <f t="shared" si="17"/>
        <v>5.5975000000000001</v>
      </c>
      <c r="R538" s="202" t="s">
        <v>1019</v>
      </c>
    </row>
    <row r="539" spans="1:18" x14ac:dyDescent="0.15">
      <c r="A539" s="202" t="str">
        <f t="shared" si="16"/>
        <v>San Luis Potosi_Optimal Year Round_225</v>
      </c>
      <c r="B539" s="580" t="s">
        <v>1018</v>
      </c>
      <c r="C539" s="495">
        <v>22</v>
      </c>
      <c r="D539" s="495">
        <v>225</v>
      </c>
      <c r="E539" s="495">
        <v>4.84</v>
      </c>
      <c r="F539" s="495">
        <v>5.63</v>
      </c>
      <c r="G539" s="495">
        <v>6.17</v>
      </c>
      <c r="H539" s="495">
        <v>5.94</v>
      </c>
      <c r="I539" s="495">
        <v>5.81</v>
      </c>
      <c r="J539" s="495">
        <v>5.99</v>
      </c>
      <c r="K539" s="495">
        <v>5.24</v>
      </c>
      <c r="L539" s="495">
        <v>5.41</v>
      </c>
      <c r="M539" s="495">
        <v>4.95</v>
      </c>
      <c r="N539" s="495">
        <v>5.3</v>
      </c>
      <c r="O539" s="495">
        <v>5.42</v>
      </c>
      <c r="P539" s="495">
        <v>4.76</v>
      </c>
      <c r="Q539" s="202">
        <f t="shared" si="17"/>
        <v>5.455000000000001</v>
      </c>
      <c r="R539" s="202" t="s">
        <v>1019</v>
      </c>
    </row>
    <row r="540" spans="1:18" x14ac:dyDescent="0.15">
      <c r="A540" s="202" t="str">
        <f t="shared" si="16"/>
        <v>San Luis Potosi_Optimal Year Round_247.5</v>
      </c>
      <c r="B540" s="580" t="s">
        <v>1018</v>
      </c>
      <c r="C540" s="495">
        <v>22</v>
      </c>
      <c r="D540" s="495">
        <v>247.5</v>
      </c>
      <c r="E540" s="495">
        <v>4.45</v>
      </c>
      <c r="F540" s="495">
        <v>5.19</v>
      </c>
      <c r="G540" s="495">
        <v>5.68</v>
      </c>
      <c r="H540" s="495">
        <v>5.47</v>
      </c>
      <c r="I540" s="495">
        <v>5.36</v>
      </c>
      <c r="J540" s="495">
        <v>5.52</v>
      </c>
      <c r="K540" s="495">
        <v>4.83</v>
      </c>
      <c r="L540" s="495">
        <v>4.9800000000000004</v>
      </c>
      <c r="M540" s="495">
        <v>4.5599999999999996</v>
      </c>
      <c r="N540" s="495">
        <v>4.88</v>
      </c>
      <c r="O540" s="495">
        <v>4.99</v>
      </c>
      <c r="P540" s="495">
        <v>4.38</v>
      </c>
      <c r="Q540" s="202">
        <f t="shared" si="17"/>
        <v>5.0241666666666678</v>
      </c>
      <c r="R540" s="202" t="s">
        <v>1019</v>
      </c>
    </row>
    <row r="541" spans="1:18" x14ac:dyDescent="0.15">
      <c r="A541" s="202" t="str">
        <f t="shared" si="16"/>
        <v>San Luis Potosi_Optimal Year Round_270</v>
      </c>
      <c r="B541" s="580" t="s">
        <v>1018</v>
      </c>
      <c r="C541" s="495">
        <v>22</v>
      </c>
      <c r="D541" s="495">
        <v>270</v>
      </c>
      <c r="E541" s="495">
        <v>4.07</v>
      </c>
      <c r="F541" s="495">
        <v>4.74</v>
      </c>
      <c r="G541" s="495">
        <v>5.19</v>
      </c>
      <c r="H541" s="495">
        <v>5</v>
      </c>
      <c r="I541" s="495">
        <v>4.9000000000000004</v>
      </c>
      <c r="J541" s="495">
        <v>5.05</v>
      </c>
      <c r="K541" s="495">
        <v>4.42</v>
      </c>
      <c r="L541" s="495">
        <v>4.55</v>
      </c>
      <c r="M541" s="495">
        <v>4.17</v>
      </c>
      <c r="N541" s="495">
        <v>4.46</v>
      </c>
      <c r="O541" s="495">
        <v>4.5599999999999996</v>
      </c>
      <c r="P541" s="495">
        <v>4.01</v>
      </c>
      <c r="Q541" s="202">
        <f t="shared" si="17"/>
        <v>4.5933333333333328</v>
      </c>
      <c r="R541" s="202" t="s">
        <v>1019</v>
      </c>
    </row>
    <row r="542" spans="1:18" x14ac:dyDescent="0.15">
      <c r="A542" s="202" t="str">
        <f t="shared" si="16"/>
        <v>San Nicolas de los Garza_Flat Surface_90</v>
      </c>
      <c r="B542" s="202" t="s">
        <v>1036</v>
      </c>
      <c r="C542" s="202">
        <v>0</v>
      </c>
      <c r="D542" s="202">
        <v>90</v>
      </c>
      <c r="E542" s="202">
        <v>3.72</v>
      </c>
      <c r="F542" s="202">
        <v>4.57</v>
      </c>
      <c r="G542" s="202">
        <v>5.66</v>
      </c>
      <c r="H542" s="202">
        <v>5.82</v>
      </c>
      <c r="I542" s="202">
        <v>6.24</v>
      </c>
      <c r="J542" s="202">
        <v>6.16</v>
      </c>
      <c r="K542" s="202">
        <v>6.03</v>
      </c>
      <c r="L542" s="202">
        <v>5.71</v>
      </c>
      <c r="M542" s="202">
        <v>4.9800000000000004</v>
      </c>
      <c r="N542" s="202">
        <v>4.62</v>
      </c>
      <c r="O542" s="202">
        <v>4.07</v>
      </c>
      <c r="P542" s="202">
        <v>3.55</v>
      </c>
      <c r="Q542" s="202">
        <f t="shared" si="17"/>
        <v>5.0941666666666663</v>
      </c>
      <c r="R542" s="202" t="s">
        <v>1020</v>
      </c>
    </row>
    <row r="543" spans="1:18" x14ac:dyDescent="0.15">
      <c r="A543" s="202" t="str">
        <f t="shared" si="16"/>
        <v>San Nicolas de los Garza_Flat Surface_112.5</v>
      </c>
      <c r="B543" s="202" t="s">
        <v>1036</v>
      </c>
      <c r="C543" s="202">
        <v>0</v>
      </c>
      <c r="D543" s="202">
        <v>112.5</v>
      </c>
      <c r="E543" s="202">
        <v>3.72</v>
      </c>
      <c r="F543" s="202">
        <v>4.57</v>
      </c>
      <c r="G543" s="202">
        <v>5.66</v>
      </c>
      <c r="H543" s="202">
        <v>5.82</v>
      </c>
      <c r="I543" s="202">
        <v>6.24</v>
      </c>
      <c r="J543" s="202">
        <v>6.16</v>
      </c>
      <c r="K543" s="202">
        <v>6.03</v>
      </c>
      <c r="L543" s="202">
        <v>5.71</v>
      </c>
      <c r="M543" s="202">
        <v>4.9800000000000004</v>
      </c>
      <c r="N543" s="202">
        <v>4.62</v>
      </c>
      <c r="O543" s="202">
        <v>4.07</v>
      </c>
      <c r="P543" s="202">
        <v>3.55</v>
      </c>
      <c r="Q543" s="202">
        <f t="shared" si="17"/>
        <v>5.0941666666666663</v>
      </c>
      <c r="R543" s="202" t="s">
        <v>1020</v>
      </c>
    </row>
    <row r="544" spans="1:18" x14ac:dyDescent="0.15">
      <c r="A544" s="202" t="str">
        <f t="shared" si="16"/>
        <v>San Nicolas de los Garza_Flat Surface_135</v>
      </c>
      <c r="B544" s="202" t="s">
        <v>1036</v>
      </c>
      <c r="C544" s="202">
        <v>0</v>
      </c>
      <c r="D544" s="202">
        <v>135</v>
      </c>
      <c r="E544" s="202">
        <v>3.72</v>
      </c>
      <c r="F544" s="202">
        <v>4.57</v>
      </c>
      <c r="G544" s="202">
        <v>5.66</v>
      </c>
      <c r="H544" s="202">
        <v>5.82</v>
      </c>
      <c r="I544" s="202">
        <v>6.24</v>
      </c>
      <c r="J544" s="202">
        <v>6.16</v>
      </c>
      <c r="K544" s="202">
        <v>6.03</v>
      </c>
      <c r="L544" s="202">
        <v>5.71</v>
      </c>
      <c r="M544" s="202">
        <v>4.9800000000000004</v>
      </c>
      <c r="N544" s="202">
        <v>4.62</v>
      </c>
      <c r="O544" s="202">
        <v>4.07</v>
      </c>
      <c r="P544" s="202">
        <v>3.55</v>
      </c>
      <c r="Q544" s="202">
        <f t="shared" si="17"/>
        <v>5.0941666666666663</v>
      </c>
      <c r="R544" s="202" t="s">
        <v>1020</v>
      </c>
    </row>
    <row r="545" spans="1:18" x14ac:dyDescent="0.15">
      <c r="A545" s="202" t="str">
        <f t="shared" si="16"/>
        <v>San Nicolas de los Garza_Flat Surface_157.5</v>
      </c>
      <c r="B545" s="202" t="s">
        <v>1036</v>
      </c>
      <c r="C545" s="202">
        <v>0</v>
      </c>
      <c r="D545" s="202">
        <v>157.5</v>
      </c>
      <c r="E545" s="202">
        <v>3.72</v>
      </c>
      <c r="F545" s="202">
        <v>4.57</v>
      </c>
      <c r="G545" s="202">
        <v>5.66</v>
      </c>
      <c r="H545" s="202">
        <v>5.82</v>
      </c>
      <c r="I545" s="202">
        <v>6.24</v>
      </c>
      <c r="J545" s="202">
        <v>6.16</v>
      </c>
      <c r="K545" s="202">
        <v>6.03</v>
      </c>
      <c r="L545" s="202">
        <v>5.71</v>
      </c>
      <c r="M545" s="202">
        <v>4.9800000000000004</v>
      </c>
      <c r="N545" s="202">
        <v>4.62</v>
      </c>
      <c r="O545" s="202">
        <v>4.07</v>
      </c>
      <c r="P545" s="202">
        <v>3.55</v>
      </c>
      <c r="Q545" s="202">
        <f t="shared" si="17"/>
        <v>5.0941666666666663</v>
      </c>
      <c r="R545" s="202" t="s">
        <v>1020</v>
      </c>
    </row>
    <row r="546" spans="1:18" x14ac:dyDescent="0.15">
      <c r="A546" s="202" t="str">
        <f t="shared" si="16"/>
        <v>San Nicolas de los Garza_Flat Surface_180</v>
      </c>
      <c r="B546" s="202" t="s">
        <v>1036</v>
      </c>
      <c r="C546" s="202">
        <v>0</v>
      </c>
      <c r="D546" s="202">
        <v>180</v>
      </c>
      <c r="E546" s="202">
        <v>3.72</v>
      </c>
      <c r="F546" s="202">
        <v>4.57</v>
      </c>
      <c r="G546" s="202">
        <v>5.66</v>
      </c>
      <c r="H546" s="202">
        <v>5.82</v>
      </c>
      <c r="I546" s="202">
        <v>6.24</v>
      </c>
      <c r="J546" s="202">
        <v>6.16</v>
      </c>
      <c r="K546" s="202">
        <v>6.03</v>
      </c>
      <c r="L546" s="202">
        <v>5.71</v>
      </c>
      <c r="M546" s="202">
        <v>4.9800000000000004</v>
      </c>
      <c r="N546" s="202">
        <v>4.62</v>
      </c>
      <c r="O546" s="202">
        <v>4.07</v>
      </c>
      <c r="P546" s="202">
        <v>3.55</v>
      </c>
      <c r="Q546" s="202">
        <f t="shared" si="17"/>
        <v>5.0941666666666663</v>
      </c>
      <c r="R546" s="202" t="s">
        <v>1020</v>
      </c>
    </row>
    <row r="547" spans="1:18" x14ac:dyDescent="0.15">
      <c r="A547" s="202" t="str">
        <f t="shared" si="16"/>
        <v>San Nicolas de los Garza_Flat Surface_202.5</v>
      </c>
      <c r="B547" s="202" t="s">
        <v>1036</v>
      </c>
      <c r="C547" s="202">
        <v>0</v>
      </c>
      <c r="D547" s="202">
        <v>202.5</v>
      </c>
      <c r="E547" s="202">
        <v>3.72</v>
      </c>
      <c r="F547" s="202">
        <v>4.57</v>
      </c>
      <c r="G547" s="202">
        <v>5.66</v>
      </c>
      <c r="H547" s="202">
        <v>5.82</v>
      </c>
      <c r="I547" s="202">
        <v>6.24</v>
      </c>
      <c r="J547" s="202">
        <v>6.16</v>
      </c>
      <c r="K547" s="202">
        <v>6.03</v>
      </c>
      <c r="L547" s="202">
        <v>5.71</v>
      </c>
      <c r="M547" s="202">
        <v>4.9800000000000004</v>
      </c>
      <c r="N547" s="202">
        <v>4.62</v>
      </c>
      <c r="O547" s="202">
        <v>4.07</v>
      </c>
      <c r="P547" s="202">
        <v>3.55</v>
      </c>
      <c r="Q547" s="202">
        <f t="shared" si="17"/>
        <v>5.0941666666666663</v>
      </c>
      <c r="R547" s="202" t="s">
        <v>1020</v>
      </c>
    </row>
    <row r="548" spans="1:18" x14ac:dyDescent="0.15">
      <c r="A548" s="202" t="str">
        <f t="shared" si="16"/>
        <v>San Nicolas de los Garza_Flat Surface_225</v>
      </c>
      <c r="B548" s="202" t="s">
        <v>1036</v>
      </c>
      <c r="C548" s="202">
        <v>0</v>
      </c>
      <c r="D548" s="202">
        <v>225</v>
      </c>
      <c r="E548" s="202">
        <v>3.72</v>
      </c>
      <c r="F548" s="202">
        <v>4.57</v>
      </c>
      <c r="G548" s="202">
        <v>5.66</v>
      </c>
      <c r="H548" s="202">
        <v>5.82</v>
      </c>
      <c r="I548" s="202">
        <v>6.24</v>
      </c>
      <c r="J548" s="202">
        <v>6.16</v>
      </c>
      <c r="K548" s="202">
        <v>6.03</v>
      </c>
      <c r="L548" s="202">
        <v>5.71</v>
      </c>
      <c r="M548" s="202">
        <v>4.9800000000000004</v>
      </c>
      <c r="N548" s="202">
        <v>4.62</v>
      </c>
      <c r="O548" s="202">
        <v>4.07</v>
      </c>
      <c r="P548" s="202">
        <v>3.55</v>
      </c>
      <c r="Q548" s="202">
        <f t="shared" si="17"/>
        <v>5.0941666666666663</v>
      </c>
      <c r="R548" s="202" t="s">
        <v>1020</v>
      </c>
    </row>
    <row r="549" spans="1:18" x14ac:dyDescent="0.15">
      <c r="A549" s="202" t="str">
        <f t="shared" si="16"/>
        <v>San Nicolas de los Garza_Flat Surface_247.5</v>
      </c>
      <c r="B549" s="202" t="s">
        <v>1036</v>
      </c>
      <c r="C549" s="202">
        <v>0</v>
      </c>
      <c r="D549" s="202">
        <v>247.5</v>
      </c>
      <c r="E549" s="202">
        <v>3.72</v>
      </c>
      <c r="F549" s="202">
        <v>4.57</v>
      </c>
      <c r="G549" s="202">
        <v>5.66</v>
      </c>
      <c r="H549" s="202">
        <v>5.82</v>
      </c>
      <c r="I549" s="202">
        <v>6.24</v>
      </c>
      <c r="J549" s="202">
        <v>6.16</v>
      </c>
      <c r="K549" s="202">
        <v>6.03</v>
      </c>
      <c r="L549" s="202">
        <v>5.71</v>
      </c>
      <c r="M549" s="202">
        <v>4.9800000000000004</v>
      </c>
      <c r="N549" s="202">
        <v>4.62</v>
      </c>
      <c r="O549" s="202">
        <v>4.07</v>
      </c>
      <c r="P549" s="202">
        <v>3.55</v>
      </c>
      <c r="Q549" s="202">
        <f t="shared" si="17"/>
        <v>5.0941666666666663</v>
      </c>
      <c r="R549" s="202" t="s">
        <v>1020</v>
      </c>
    </row>
    <row r="550" spans="1:18" x14ac:dyDescent="0.15">
      <c r="A550" s="202" t="str">
        <f t="shared" si="16"/>
        <v>San Nicolas de los Garza_Flat Surface_270</v>
      </c>
      <c r="B550" s="202" t="s">
        <v>1036</v>
      </c>
      <c r="C550" s="202">
        <v>0</v>
      </c>
      <c r="D550" s="202">
        <v>270</v>
      </c>
      <c r="E550" s="202">
        <v>3.72</v>
      </c>
      <c r="F550" s="202">
        <v>4.57</v>
      </c>
      <c r="G550" s="202">
        <v>5.66</v>
      </c>
      <c r="H550" s="202">
        <v>5.82</v>
      </c>
      <c r="I550" s="202">
        <v>6.24</v>
      </c>
      <c r="J550" s="202">
        <v>6.16</v>
      </c>
      <c r="K550" s="202">
        <v>6.03</v>
      </c>
      <c r="L550" s="202">
        <v>5.71</v>
      </c>
      <c r="M550" s="202">
        <v>4.9800000000000004</v>
      </c>
      <c r="N550" s="202">
        <v>4.62</v>
      </c>
      <c r="O550" s="202">
        <v>4.07</v>
      </c>
      <c r="P550" s="202">
        <v>3.55</v>
      </c>
      <c r="Q550" s="202">
        <f t="shared" si="17"/>
        <v>5.0941666666666663</v>
      </c>
      <c r="R550" s="202" t="s">
        <v>1020</v>
      </c>
    </row>
    <row r="551" spans="1:18" x14ac:dyDescent="0.15">
      <c r="A551" s="202" t="str">
        <f t="shared" si="16"/>
        <v>San Nicolas de los Garza_Optimal Summer_90</v>
      </c>
      <c r="B551" s="202" t="s">
        <v>1036</v>
      </c>
      <c r="C551" s="202">
        <v>11</v>
      </c>
      <c r="D551" s="202">
        <v>90</v>
      </c>
      <c r="E551" s="202">
        <v>3.39</v>
      </c>
      <c r="F551" s="202">
        <v>4.03</v>
      </c>
      <c r="G551" s="202">
        <v>4.79</v>
      </c>
      <c r="H551" s="202">
        <v>4.7300000000000004</v>
      </c>
      <c r="I551" s="202">
        <v>4.92</v>
      </c>
      <c r="J551" s="202">
        <v>4.8099999999999996</v>
      </c>
      <c r="K551" s="202">
        <v>4.74</v>
      </c>
      <c r="L551" s="202">
        <v>4.57</v>
      </c>
      <c r="M551" s="202">
        <v>4.12</v>
      </c>
      <c r="N551" s="202">
        <v>4</v>
      </c>
      <c r="O551" s="202">
        <v>3.69</v>
      </c>
      <c r="P551" s="202">
        <v>3.28</v>
      </c>
      <c r="Q551" s="202">
        <f t="shared" si="17"/>
        <v>4.2558333333333325</v>
      </c>
      <c r="R551" s="202" t="s">
        <v>984</v>
      </c>
    </row>
    <row r="552" spans="1:18" x14ac:dyDescent="0.15">
      <c r="A552" s="202" t="str">
        <f t="shared" si="16"/>
        <v>San Nicolas de los Garza_Optimal Summer_112.5</v>
      </c>
      <c r="B552" s="202" t="s">
        <v>1036</v>
      </c>
      <c r="C552" s="202">
        <v>11</v>
      </c>
      <c r="D552" s="202">
        <v>112.5</v>
      </c>
      <c r="E552" s="202">
        <v>3.71</v>
      </c>
      <c r="F552" s="202">
        <v>4.41</v>
      </c>
      <c r="G552" s="202">
        <v>5.24</v>
      </c>
      <c r="H552" s="202">
        <v>5.17</v>
      </c>
      <c r="I552" s="202">
        <v>5.38</v>
      </c>
      <c r="J552" s="202">
        <v>5.26</v>
      </c>
      <c r="K552" s="202">
        <v>5.18</v>
      </c>
      <c r="L552" s="202">
        <v>5</v>
      </c>
      <c r="M552" s="202">
        <v>4.51</v>
      </c>
      <c r="N552" s="202">
        <v>4.38</v>
      </c>
      <c r="O552" s="202">
        <v>4.03</v>
      </c>
      <c r="P552" s="202">
        <v>3.59</v>
      </c>
      <c r="Q552" s="202">
        <f t="shared" si="17"/>
        <v>4.6550000000000002</v>
      </c>
      <c r="R552" s="202" t="s">
        <v>984</v>
      </c>
    </row>
    <row r="553" spans="1:18" x14ac:dyDescent="0.15">
      <c r="A553" s="202" t="str">
        <f t="shared" si="16"/>
        <v>San Nicolas de los Garza_Optimal Summer_135</v>
      </c>
      <c r="B553" s="202" t="s">
        <v>1036</v>
      </c>
      <c r="C553" s="202">
        <v>11</v>
      </c>
      <c r="D553" s="202">
        <v>135</v>
      </c>
      <c r="E553" s="202">
        <v>4.03</v>
      </c>
      <c r="F553" s="202">
        <v>4.79</v>
      </c>
      <c r="G553" s="202">
        <v>5.69</v>
      </c>
      <c r="H553" s="202">
        <v>5.61</v>
      </c>
      <c r="I553" s="202">
        <v>5.84</v>
      </c>
      <c r="J553" s="202">
        <v>5.71</v>
      </c>
      <c r="K553" s="202">
        <v>5.62</v>
      </c>
      <c r="L553" s="202">
        <v>5.42</v>
      </c>
      <c r="M553" s="202">
        <v>4.8899999999999997</v>
      </c>
      <c r="N553" s="202">
        <v>4.75</v>
      </c>
      <c r="O553" s="202">
        <v>4.38</v>
      </c>
      <c r="P553" s="202">
        <v>3.9</v>
      </c>
      <c r="Q553" s="202">
        <f t="shared" si="17"/>
        <v>5.0525000000000002</v>
      </c>
      <c r="R553" s="202" t="s">
        <v>984</v>
      </c>
    </row>
    <row r="554" spans="1:18" x14ac:dyDescent="0.15">
      <c r="A554" s="202" t="str">
        <f t="shared" si="16"/>
        <v>San Nicolas de los Garza_Optimal Summer_157.5</v>
      </c>
      <c r="B554" s="202" t="s">
        <v>1036</v>
      </c>
      <c r="C554" s="202">
        <v>11</v>
      </c>
      <c r="D554" s="202">
        <v>157.5</v>
      </c>
      <c r="E554" s="202">
        <v>4.13</v>
      </c>
      <c r="F554" s="202">
        <v>4.91</v>
      </c>
      <c r="G554" s="202">
        <v>5.84</v>
      </c>
      <c r="H554" s="202">
        <v>5.76</v>
      </c>
      <c r="I554" s="202">
        <v>6</v>
      </c>
      <c r="J554" s="202">
        <v>5.86</v>
      </c>
      <c r="K554" s="202">
        <v>5.77</v>
      </c>
      <c r="L554" s="202">
        <v>5.57</v>
      </c>
      <c r="M554" s="202">
        <v>5.0199999999999996</v>
      </c>
      <c r="N554" s="202">
        <v>4.88</v>
      </c>
      <c r="O554" s="202">
        <v>4.49</v>
      </c>
      <c r="P554" s="202">
        <v>4</v>
      </c>
      <c r="Q554" s="202">
        <f t="shared" si="17"/>
        <v>5.185833333333334</v>
      </c>
      <c r="R554" s="202" t="s">
        <v>984</v>
      </c>
    </row>
    <row r="555" spans="1:18" x14ac:dyDescent="0.15">
      <c r="A555" s="202" t="str">
        <f t="shared" si="16"/>
        <v>San Nicolas de los Garza_Optimal Summer_180</v>
      </c>
      <c r="B555" s="202" t="s">
        <v>1036</v>
      </c>
      <c r="C555" s="202">
        <v>11</v>
      </c>
      <c r="D555" s="202">
        <v>180</v>
      </c>
      <c r="E555" s="202">
        <v>4.24</v>
      </c>
      <c r="F555" s="202">
        <v>5.04</v>
      </c>
      <c r="G555" s="202">
        <v>5.99</v>
      </c>
      <c r="H555" s="202">
        <v>5.91</v>
      </c>
      <c r="I555" s="202">
        <v>6.15</v>
      </c>
      <c r="J555" s="202">
        <v>6.01</v>
      </c>
      <c r="K555" s="202">
        <v>5.92</v>
      </c>
      <c r="L555" s="202">
        <v>5.71</v>
      </c>
      <c r="M555" s="202">
        <v>5.15</v>
      </c>
      <c r="N555" s="202">
        <v>5</v>
      </c>
      <c r="O555" s="202">
        <v>4.6100000000000003</v>
      </c>
      <c r="P555" s="202">
        <v>4.0999999999999996</v>
      </c>
      <c r="Q555" s="202">
        <f t="shared" si="17"/>
        <v>5.3191666666666668</v>
      </c>
      <c r="R555" s="202" t="s">
        <v>984</v>
      </c>
    </row>
    <row r="556" spans="1:18" x14ac:dyDescent="0.15">
      <c r="A556" s="202" t="str">
        <f t="shared" si="16"/>
        <v>San Nicolas de los Garza_Optimal Summer_202.5</v>
      </c>
      <c r="B556" s="202" t="s">
        <v>1036</v>
      </c>
      <c r="C556" s="202">
        <v>11</v>
      </c>
      <c r="D556" s="202">
        <v>202.5</v>
      </c>
      <c r="E556" s="202">
        <v>4.13</v>
      </c>
      <c r="F556" s="202">
        <v>4.91</v>
      </c>
      <c r="G556" s="202">
        <v>5.84</v>
      </c>
      <c r="H556" s="202">
        <v>5.76</v>
      </c>
      <c r="I556" s="202">
        <v>6</v>
      </c>
      <c r="J556" s="202">
        <v>5.86</v>
      </c>
      <c r="K556" s="202">
        <v>5.77</v>
      </c>
      <c r="L556" s="202">
        <v>5.57</v>
      </c>
      <c r="M556" s="202">
        <v>5.0199999999999996</v>
      </c>
      <c r="N556" s="202">
        <v>4.88</v>
      </c>
      <c r="O556" s="202">
        <v>4.49</v>
      </c>
      <c r="P556" s="202">
        <v>4</v>
      </c>
      <c r="Q556" s="202">
        <f t="shared" si="17"/>
        <v>5.185833333333334</v>
      </c>
      <c r="R556" s="202" t="s">
        <v>984</v>
      </c>
    </row>
    <row r="557" spans="1:18" x14ac:dyDescent="0.15">
      <c r="A557" s="202" t="str">
        <f t="shared" si="16"/>
        <v>San Nicolas de los Garza_Optimal Summer_225</v>
      </c>
      <c r="B557" s="202" t="s">
        <v>1036</v>
      </c>
      <c r="C557" s="202">
        <v>11</v>
      </c>
      <c r="D557" s="202">
        <v>225</v>
      </c>
      <c r="E557" s="202">
        <v>4.03</v>
      </c>
      <c r="F557" s="202">
        <v>4.79</v>
      </c>
      <c r="G557" s="202">
        <v>5.69</v>
      </c>
      <c r="H557" s="202">
        <v>5.61</v>
      </c>
      <c r="I557" s="202">
        <v>5.84</v>
      </c>
      <c r="J557" s="202">
        <v>5.71</v>
      </c>
      <c r="K557" s="202">
        <v>5.62</v>
      </c>
      <c r="L557" s="202">
        <v>5.42</v>
      </c>
      <c r="M557" s="202">
        <v>4.8899999999999997</v>
      </c>
      <c r="N557" s="202">
        <v>4.75</v>
      </c>
      <c r="O557" s="202">
        <v>4.38</v>
      </c>
      <c r="P557" s="202">
        <v>3.9</v>
      </c>
      <c r="Q557" s="202">
        <f t="shared" si="17"/>
        <v>5.0525000000000002</v>
      </c>
      <c r="R557" s="202" t="s">
        <v>984</v>
      </c>
    </row>
    <row r="558" spans="1:18" x14ac:dyDescent="0.15">
      <c r="A558" s="202" t="str">
        <f t="shared" si="16"/>
        <v>San Nicolas de los Garza_Optimal Summer_247.5</v>
      </c>
      <c r="B558" s="202" t="s">
        <v>1036</v>
      </c>
      <c r="C558" s="202">
        <v>11</v>
      </c>
      <c r="D558" s="202">
        <v>247.5</v>
      </c>
      <c r="E558" s="202">
        <v>3.71</v>
      </c>
      <c r="F558" s="202">
        <v>4.41</v>
      </c>
      <c r="G558" s="202">
        <v>5.24</v>
      </c>
      <c r="H558" s="202">
        <v>5.17</v>
      </c>
      <c r="I558" s="202">
        <v>5.38</v>
      </c>
      <c r="J558" s="202">
        <v>5.26</v>
      </c>
      <c r="K558" s="202">
        <v>5.18</v>
      </c>
      <c r="L558" s="202">
        <v>5</v>
      </c>
      <c r="M558" s="202">
        <v>4.51</v>
      </c>
      <c r="N558" s="202">
        <v>4.38</v>
      </c>
      <c r="O558" s="202">
        <v>4.03</v>
      </c>
      <c r="P558" s="202">
        <v>3.59</v>
      </c>
      <c r="Q558" s="202">
        <f t="shared" si="17"/>
        <v>4.6550000000000002</v>
      </c>
      <c r="R558" s="202" t="s">
        <v>984</v>
      </c>
    </row>
    <row r="559" spans="1:18" x14ac:dyDescent="0.15">
      <c r="A559" s="202" t="str">
        <f t="shared" si="16"/>
        <v>San Nicolas de los Garza_Optimal Summer_270</v>
      </c>
      <c r="B559" s="202" t="s">
        <v>1036</v>
      </c>
      <c r="C559" s="202">
        <v>11</v>
      </c>
      <c r="D559" s="202">
        <v>270</v>
      </c>
      <c r="E559" s="202">
        <v>3.39</v>
      </c>
      <c r="F559" s="202">
        <v>4.03</v>
      </c>
      <c r="G559" s="202">
        <v>4.79</v>
      </c>
      <c r="H559" s="202">
        <v>4.7300000000000004</v>
      </c>
      <c r="I559" s="202">
        <v>4.92</v>
      </c>
      <c r="J559" s="202">
        <v>4.8099999999999996</v>
      </c>
      <c r="K559" s="202">
        <v>4.74</v>
      </c>
      <c r="L559" s="202">
        <v>4.57</v>
      </c>
      <c r="M559" s="202">
        <v>4.12</v>
      </c>
      <c r="N559" s="202">
        <v>4</v>
      </c>
      <c r="O559" s="202">
        <v>3.69</v>
      </c>
      <c r="P559" s="202">
        <v>3.28</v>
      </c>
      <c r="Q559" s="202">
        <f t="shared" si="17"/>
        <v>4.2558333333333325</v>
      </c>
      <c r="R559" s="202" t="s">
        <v>984</v>
      </c>
    </row>
    <row r="560" spans="1:18" x14ac:dyDescent="0.15">
      <c r="A560" s="202" t="str">
        <f t="shared" si="16"/>
        <v>San Nicolas de los Garza_Optimal Year Round_90</v>
      </c>
      <c r="B560" s="202" t="s">
        <v>1036</v>
      </c>
      <c r="C560" s="202">
        <v>26</v>
      </c>
      <c r="D560" s="202">
        <v>90</v>
      </c>
      <c r="E560" s="202">
        <v>3.86</v>
      </c>
      <c r="F560" s="202">
        <v>4.42</v>
      </c>
      <c r="G560" s="202">
        <v>4.9800000000000004</v>
      </c>
      <c r="H560" s="202">
        <v>4.6399999999999997</v>
      </c>
      <c r="I560" s="202">
        <v>4.62</v>
      </c>
      <c r="J560" s="202">
        <v>4.4400000000000004</v>
      </c>
      <c r="K560" s="202">
        <v>4.41</v>
      </c>
      <c r="L560" s="202">
        <v>4.3899999999999997</v>
      </c>
      <c r="M560" s="202">
        <v>4.1500000000000004</v>
      </c>
      <c r="N560" s="202">
        <v>4.28</v>
      </c>
      <c r="O560" s="202">
        <v>4.17</v>
      </c>
      <c r="P560" s="202">
        <v>3.79</v>
      </c>
      <c r="Q560" s="202">
        <f t="shared" si="17"/>
        <v>4.3458333333333332</v>
      </c>
      <c r="R560" s="202" t="s">
        <v>1019</v>
      </c>
    </row>
    <row r="561" spans="1:18" x14ac:dyDescent="0.15">
      <c r="A561" s="202" t="str">
        <f t="shared" si="16"/>
        <v>San Nicolas de los Garza_Optimal Year Round_112.5</v>
      </c>
      <c r="B561" s="202" t="s">
        <v>1036</v>
      </c>
      <c r="C561" s="202">
        <v>26</v>
      </c>
      <c r="D561" s="202">
        <v>112.5</v>
      </c>
      <c r="E561" s="202">
        <v>4.2300000000000004</v>
      </c>
      <c r="F561" s="202">
        <v>4.83</v>
      </c>
      <c r="G561" s="202">
        <v>5.44</v>
      </c>
      <c r="H561" s="202">
        <v>5.08</v>
      </c>
      <c r="I561" s="202">
        <v>5.0599999999999996</v>
      </c>
      <c r="J561" s="202">
        <v>4.8600000000000003</v>
      </c>
      <c r="K561" s="202">
        <v>4.82</v>
      </c>
      <c r="L561" s="202">
        <v>4.8</v>
      </c>
      <c r="M561" s="202">
        <v>4.54</v>
      </c>
      <c r="N561" s="202">
        <v>4.68</v>
      </c>
      <c r="O561" s="202">
        <v>4.5599999999999996</v>
      </c>
      <c r="P561" s="202">
        <v>4.1500000000000004</v>
      </c>
      <c r="Q561" s="202">
        <f t="shared" si="17"/>
        <v>4.7541666666666655</v>
      </c>
      <c r="R561" s="202" t="s">
        <v>1019</v>
      </c>
    </row>
    <row r="562" spans="1:18" x14ac:dyDescent="0.15">
      <c r="A562" s="202" t="str">
        <f t="shared" si="16"/>
        <v>San Nicolas de los Garza_Optimal Year Round_135</v>
      </c>
      <c r="B562" s="202" t="s">
        <v>1036</v>
      </c>
      <c r="C562" s="202">
        <v>26</v>
      </c>
      <c r="D562" s="202">
        <v>135</v>
      </c>
      <c r="E562" s="202">
        <v>4.59</v>
      </c>
      <c r="F562" s="202">
        <v>5.24</v>
      </c>
      <c r="G562" s="202">
        <v>5.91</v>
      </c>
      <c r="H562" s="202">
        <v>5.51</v>
      </c>
      <c r="I562" s="202">
        <v>5.49</v>
      </c>
      <c r="J562" s="202">
        <v>5.27</v>
      </c>
      <c r="K562" s="202">
        <v>5.23</v>
      </c>
      <c r="L562" s="202">
        <v>5.22</v>
      </c>
      <c r="M562" s="202">
        <v>4.93</v>
      </c>
      <c r="N562" s="202">
        <v>5.08</v>
      </c>
      <c r="O562" s="202">
        <v>4.95</v>
      </c>
      <c r="P562" s="202">
        <v>4.5</v>
      </c>
      <c r="Q562" s="202">
        <f t="shared" si="17"/>
        <v>5.160000000000001</v>
      </c>
      <c r="R562" s="202" t="s">
        <v>1019</v>
      </c>
    </row>
    <row r="563" spans="1:18" x14ac:dyDescent="0.15">
      <c r="A563" s="202" t="str">
        <f t="shared" si="16"/>
        <v>San Nicolas de los Garza_Optimal Year Round_157.5</v>
      </c>
      <c r="B563" s="202" t="s">
        <v>1036</v>
      </c>
      <c r="C563" s="202">
        <v>26</v>
      </c>
      <c r="D563" s="202">
        <v>157.5</v>
      </c>
      <c r="E563" s="202">
        <v>4.71</v>
      </c>
      <c r="F563" s="202">
        <v>5.38</v>
      </c>
      <c r="G563" s="202">
        <v>6.06</v>
      </c>
      <c r="H563" s="202">
        <v>5.66</v>
      </c>
      <c r="I563" s="202">
        <v>5.64</v>
      </c>
      <c r="J563" s="202">
        <v>5.41</v>
      </c>
      <c r="K563" s="202">
        <v>5.37</v>
      </c>
      <c r="L563" s="202">
        <v>5.35</v>
      </c>
      <c r="M563" s="202">
        <v>5.0599999999999996</v>
      </c>
      <c r="N563" s="202">
        <v>5.22</v>
      </c>
      <c r="O563" s="202">
        <v>5.08</v>
      </c>
      <c r="P563" s="202">
        <v>4.62</v>
      </c>
      <c r="Q563" s="202">
        <f t="shared" si="17"/>
        <v>5.296666666666666</v>
      </c>
      <c r="R563" s="202" t="s">
        <v>1019</v>
      </c>
    </row>
    <row r="564" spans="1:18" x14ac:dyDescent="0.15">
      <c r="A564" s="202" t="str">
        <f t="shared" si="16"/>
        <v>San Nicolas de los Garza_Optimal Year Round_180</v>
      </c>
      <c r="B564" s="202" t="s">
        <v>1036</v>
      </c>
      <c r="C564" s="202">
        <v>26</v>
      </c>
      <c r="D564" s="202">
        <v>180</v>
      </c>
      <c r="E564" s="202">
        <v>4.83</v>
      </c>
      <c r="F564" s="202">
        <v>5.52</v>
      </c>
      <c r="G564" s="202">
        <v>6.22</v>
      </c>
      <c r="H564" s="202">
        <v>5.8</v>
      </c>
      <c r="I564" s="202">
        <v>5.78</v>
      </c>
      <c r="J564" s="202">
        <v>5.55</v>
      </c>
      <c r="K564" s="202">
        <v>5.51</v>
      </c>
      <c r="L564" s="202">
        <v>5.49</v>
      </c>
      <c r="M564" s="202">
        <v>5.19</v>
      </c>
      <c r="N564" s="202">
        <v>5.35</v>
      </c>
      <c r="O564" s="202">
        <v>5.21</v>
      </c>
      <c r="P564" s="202">
        <v>4.74</v>
      </c>
      <c r="Q564" s="202">
        <f t="shared" si="17"/>
        <v>5.4325000000000001</v>
      </c>
      <c r="R564" s="202" t="s">
        <v>1019</v>
      </c>
    </row>
    <row r="565" spans="1:18" x14ac:dyDescent="0.15">
      <c r="A565" s="202" t="str">
        <f t="shared" si="16"/>
        <v>San Nicolas de los Garza_Optimal Year Round_202.5</v>
      </c>
      <c r="B565" s="202" t="s">
        <v>1036</v>
      </c>
      <c r="C565" s="202">
        <v>26</v>
      </c>
      <c r="D565" s="202">
        <v>202.5</v>
      </c>
      <c r="E565" s="202">
        <v>4.71</v>
      </c>
      <c r="F565" s="202">
        <v>5.38</v>
      </c>
      <c r="G565" s="202">
        <v>6.06</v>
      </c>
      <c r="H565" s="202">
        <v>5.66</v>
      </c>
      <c r="I565" s="202">
        <v>5.64</v>
      </c>
      <c r="J565" s="202">
        <v>5.41</v>
      </c>
      <c r="K565" s="202">
        <v>5.37</v>
      </c>
      <c r="L565" s="202">
        <v>5.35</v>
      </c>
      <c r="M565" s="202">
        <v>5.0599999999999996</v>
      </c>
      <c r="N565" s="202">
        <v>5.22</v>
      </c>
      <c r="O565" s="202">
        <v>5.08</v>
      </c>
      <c r="P565" s="202">
        <v>4.62</v>
      </c>
      <c r="Q565" s="202">
        <f t="shared" si="17"/>
        <v>5.296666666666666</v>
      </c>
      <c r="R565" s="202" t="s">
        <v>1019</v>
      </c>
    </row>
    <row r="566" spans="1:18" x14ac:dyDescent="0.15">
      <c r="A566" s="202" t="str">
        <f t="shared" si="16"/>
        <v>San Nicolas de los Garza_Optimal Year Round_225</v>
      </c>
      <c r="B566" s="202" t="s">
        <v>1036</v>
      </c>
      <c r="C566" s="202">
        <v>26</v>
      </c>
      <c r="D566" s="202">
        <v>225</v>
      </c>
      <c r="E566" s="202">
        <v>4.59</v>
      </c>
      <c r="F566" s="202">
        <v>5.24</v>
      </c>
      <c r="G566" s="202">
        <v>5.91</v>
      </c>
      <c r="H566" s="202">
        <v>5.51</v>
      </c>
      <c r="I566" s="202">
        <v>5.49</v>
      </c>
      <c r="J566" s="202">
        <v>5.27</v>
      </c>
      <c r="K566" s="202">
        <v>5.23</v>
      </c>
      <c r="L566" s="202">
        <v>5.22</v>
      </c>
      <c r="M566" s="202">
        <v>4.93</v>
      </c>
      <c r="N566" s="202">
        <v>5.08</v>
      </c>
      <c r="O566" s="202">
        <v>4.95</v>
      </c>
      <c r="P566" s="202">
        <v>4.5</v>
      </c>
      <c r="Q566" s="202">
        <f t="shared" si="17"/>
        <v>5.160000000000001</v>
      </c>
      <c r="R566" s="202" t="s">
        <v>1019</v>
      </c>
    </row>
    <row r="567" spans="1:18" x14ac:dyDescent="0.15">
      <c r="A567" s="202" t="str">
        <f t="shared" si="16"/>
        <v>San Nicolas de los Garza_Optimal Year Round_247.5</v>
      </c>
      <c r="B567" s="202" t="s">
        <v>1036</v>
      </c>
      <c r="C567" s="202">
        <v>26</v>
      </c>
      <c r="D567" s="202">
        <v>247.5</v>
      </c>
      <c r="E567" s="202">
        <v>4.2300000000000004</v>
      </c>
      <c r="F567" s="202">
        <v>4.83</v>
      </c>
      <c r="G567" s="202">
        <v>5.44</v>
      </c>
      <c r="H567" s="202">
        <v>5.08</v>
      </c>
      <c r="I567" s="202">
        <v>5.0599999999999996</v>
      </c>
      <c r="J567" s="202">
        <v>4.8600000000000003</v>
      </c>
      <c r="K567" s="202">
        <v>4.82</v>
      </c>
      <c r="L567" s="202">
        <v>4.8</v>
      </c>
      <c r="M567" s="202">
        <v>4.54</v>
      </c>
      <c r="N567" s="202">
        <v>4.68</v>
      </c>
      <c r="O567" s="202">
        <v>4.5599999999999996</v>
      </c>
      <c r="P567" s="202">
        <v>4.1500000000000004</v>
      </c>
      <c r="Q567" s="202">
        <f t="shared" si="17"/>
        <v>4.7541666666666655</v>
      </c>
      <c r="R567" s="202" t="s">
        <v>1019</v>
      </c>
    </row>
    <row r="568" spans="1:18" x14ac:dyDescent="0.15">
      <c r="A568" s="202" t="str">
        <f t="shared" si="16"/>
        <v>San Nicolas de los Garza_Optimal Year Round_270</v>
      </c>
      <c r="B568" s="202" t="s">
        <v>1036</v>
      </c>
      <c r="C568" s="202">
        <v>26</v>
      </c>
      <c r="D568" s="202">
        <v>270</v>
      </c>
      <c r="E568" s="202">
        <v>3.86</v>
      </c>
      <c r="F568" s="202">
        <v>4.42</v>
      </c>
      <c r="G568" s="202">
        <v>4.9800000000000004</v>
      </c>
      <c r="H568" s="202">
        <v>4.6399999999999997</v>
      </c>
      <c r="I568" s="202">
        <v>4.62</v>
      </c>
      <c r="J568" s="202">
        <v>4.4400000000000004</v>
      </c>
      <c r="K568" s="202">
        <v>4.41</v>
      </c>
      <c r="L568" s="202">
        <v>4.3899999999999997</v>
      </c>
      <c r="M568" s="202">
        <v>4.1500000000000004</v>
      </c>
      <c r="N568" s="202">
        <v>4.28</v>
      </c>
      <c r="O568" s="202">
        <v>4.17</v>
      </c>
      <c r="P568" s="202">
        <v>3.79</v>
      </c>
      <c r="Q568" s="202">
        <f t="shared" si="17"/>
        <v>4.3458333333333332</v>
      </c>
      <c r="R568" s="202" t="s">
        <v>1019</v>
      </c>
    </row>
    <row r="569" spans="1:18" x14ac:dyDescent="0.15">
      <c r="A569" s="202" t="str">
        <f t="shared" si="16"/>
        <v>Santa Catarina_Flat Surface_90</v>
      </c>
      <c r="B569" s="202" t="s">
        <v>1037</v>
      </c>
      <c r="C569" s="202">
        <v>0</v>
      </c>
      <c r="D569" s="202">
        <v>90</v>
      </c>
      <c r="E569" s="202">
        <v>3.72</v>
      </c>
      <c r="F569" s="202">
        <v>4.57</v>
      </c>
      <c r="G569" s="202">
        <v>5.66</v>
      </c>
      <c r="H569" s="202">
        <v>5.82</v>
      </c>
      <c r="I569" s="202">
        <v>6.24</v>
      </c>
      <c r="J569" s="202">
        <v>6.16</v>
      </c>
      <c r="K569" s="202">
        <v>6.03</v>
      </c>
      <c r="L569" s="202">
        <v>5.71</v>
      </c>
      <c r="M569" s="202">
        <v>4.9800000000000004</v>
      </c>
      <c r="N569" s="202">
        <v>4.62</v>
      </c>
      <c r="O569" s="202">
        <v>4.07</v>
      </c>
      <c r="P569" s="202">
        <v>3.55</v>
      </c>
      <c r="Q569" s="202">
        <f t="shared" si="17"/>
        <v>5.0941666666666663</v>
      </c>
      <c r="R569" s="202" t="s">
        <v>1020</v>
      </c>
    </row>
    <row r="570" spans="1:18" x14ac:dyDescent="0.15">
      <c r="A570" s="202" t="str">
        <f t="shared" si="16"/>
        <v>Santa Catarina_Flat Surface_112.5</v>
      </c>
      <c r="B570" s="202" t="s">
        <v>1037</v>
      </c>
      <c r="C570" s="202">
        <v>0</v>
      </c>
      <c r="D570" s="202">
        <v>112.5</v>
      </c>
      <c r="E570" s="202">
        <v>3.72</v>
      </c>
      <c r="F570" s="202">
        <v>4.57</v>
      </c>
      <c r="G570" s="202">
        <v>5.66</v>
      </c>
      <c r="H570" s="202">
        <v>5.82</v>
      </c>
      <c r="I570" s="202">
        <v>6.24</v>
      </c>
      <c r="J570" s="202">
        <v>6.16</v>
      </c>
      <c r="K570" s="202">
        <v>6.03</v>
      </c>
      <c r="L570" s="202">
        <v>5.71</v>
      </c>
      <c r="M570" s="202">
        <v>4.9800000000000004</v>
      </c>
      <c r="N570" s="202">
        <v>4.62</v>
      </c>
      <c r="O570" s="202">
        <v>4.07</v>
      </c>
      <c r="P570" s="202">
        <v>3.55</v>
      </c>
      <c r="Q570" s="202">
        <f t="shared" si="17"/>
        <v>5.0941666666666663</v>
      </c>
      <c r="R570" s="202" t="s">
        <v>1020</v>
      </c>
    </row>
    <row r="571" spans="1:18" x14ac:dyDescent="0.15">
      <c r="A571" s="202" t="str">
        <f t="shared" si="16"/>
        <v>Santa Catarina_Flat Surface_135</v>
      </c>
      <c r="B571" s="202" t="s">
        <v>1037</v>
      </c>
      <c r="C571" s="202">
        <v>0</v>
      </c>
      <c r="D571" s="202">
        <v>135</v>
      </c>
      <c r="E571" s="202">
        <v>3.72</v>
      </c>
      <c r="F571" s="202">
        <v>4.57</v>
      </c>
      <c r="G571" s="202">
        <v>5.66</v>
      </c>
      <c r="H571" s="202">
        <v>5.82</v>
      </c>
      <c r="I571" s="202">
        <v>6.24</v>
      </c>
      <c r="J571" s="202">
        <v>6.16</v>
      </c>
      <c r="K571" s="202">
        <v>6.03</v>
      </c>
      <c r="L571" s="202">
        <v>5.71</v>
      </c>
      <c r="M571" s="202">
        <v>4.9800000000000004</v>
      </c>
      <c r="N571" s="202">
        <v>4.62</v>
      </c>
      <c r="O571" s="202">
        <v>4.07</v>
      </c>
      <c r="P571" s="202">
        <v>3.55</v>
      </c>
      <c r="Q571" s="202">
        <f t="shared" si="17"/>
        <v>5.0941666666666663</v>
      </c>
      <c r="R571" s="202" t="s">
        <v>1020</v>
      </c>
    </row>
    <row r="572" spans="1:18" x14ac:dyDescent="0.15">
      <c r="A572" s="202" t="str">
        <f t="shared" si="16"/>
        <v>Santa Catarina_Flat Surface_157.5</v>
      </c>
      <c r="B572" s="202" t="s">
        <v>1037</v>
      </c>
      <c r="C572" s="202">
        <v>0</v>
      </c>
      <c r="D572" s="202">
        <v>157.5</v>
      </c>
      <c r="E572" s="202">
        <v>3.72</v>
      </c>
      <c r="F572" s="202">
        <v>4.57</v>
      </c>
      <c r="G572" s="202">
        <v>5.66</v>
      </c>
      <c r="H572" s="202">
        <v>5.82</v>
      </c>
      <c r="I572" s="202">
        <v>6.24</v>
      </c>
      <c r="J572" s="202">
        <v>6.16</v>
      </c>
      <c r="K572" s="202">
        <v>6.03</v>
      </c>
      <c r="L572" s="202">
        <v>5.71</v>
      </c>
      <c r="M572" s="202">
        <v>4.9800000000000004</v>
      </c>
      <c r="N572" s="202">
        <v>4.62</v>
      </c>
      <c r="O572" s="202">
        <v>4.07</v>
      </c>
      <c r="P572" s="202">
        <v>3.55</v>
      </c>
      <c r="Q572" s="202">
        <f t="shared" si="17"/>
        <v>5.0941666666666663</v>
      </c>
      <c r="R572" s="202" t="s">
        <v>1020</v>
      </c>
    </row>
    <row r="573" spans="1:18" x14ac:dyDescent="0.15">
      <c r="A573" s="202" t="str">
        <f t="shared" si="16"/>
        <v>Santa Catarina_Flat Surface_180</v>
      </c>
      <c r="B573" s="202" t="s">
        <v>1037</v>
      </c>
      <c r="C573" s="202">
        <v>0</v>
      </c>
      <c r="D573" s="202">
        <v>180</v>
      </c>
      <c r="E573" s="202">
        <v>3.72</v>
      </c>
      <c r="F573" s="202">
        <v>4.57</v>
      </c>
      <c r="G573" s="202">
        <v>5.66</v>
      </c>
      <c r="H573" s="202">
        <v>5.82</v>
      </c>
      <c r="I573" s="202">
        <v>6.24</v>
      </c>
      <c r="J573" s="202">
        <v>6.16</v>
      </c>
      <c r="K573" s="202">
        <v>6.03</v>
      </c>
      <c r="L573" s="202">
        <v>5.71</v>
      </c>
      <c r="M573" s="202">
        <v>4.9800000000000004</v>
      </c>
      <c r="N573" s="202">
        <v>4.62</v>
      </c>
      <c r="O573" s="202">
        <v>4.07</v>
      </c>
      <c r="P573" s="202">
        <v>3.55</v>
      </c>
      <c r="Q573" s="202">
        <f t="shared" si="17"/>
        <v>5.0941666666666663</v>
      </c>
      <c r="R573" s="202" t="s">
        <v>1020</v>
      </c>
    </row>
    <row r="574" spans="1:18" x14ac:dyDescent="0.15">
      <c r="A574" s="202" t="str">
        <f t="shared" si="16"/>
        <v>Santa Catarina_Flat Surface_202.5</v>
      </c>
      <c r="B574" s="202" t="s">
        <v>1037</v>
      </c>
      <c r="C574" s="202">
        <v>0</v>
      </c>
      <c r="D574" s="202">
        <v>202.5</v>
      </c>
      <c r="E574" s="202">
        <v>3.72</v>
      </c>
      <c r="F574" s="202">
        <v>4.57</v>
      </c>
      <c r="G574" s="202">
        <v>5.66</v>
      </c>
      <c r="H574" s="202">
        <v>5.82</v>
      </c>
      <c r="I574" s="202">
        <v>6.24</v>
      </c>
      <c r="J574" s="202">
        <v>6.16</v>
      </c>
      <c r="K574" s="202">
        <v>6.03</v>
      </c>
      <c r="L574" s="202">
        <v>5.71</v>
      </c>
      <c r="M574" s="202">
        <v>4.9800000000000004</v>
      </c>
      <c r="N574" s="202">
        <v>4.62</v>
      </c>
      <c r="O574" s="202">
        <v>4.07</v>
      </c>
      <c r="P574" s="202">
        <v>3.55</v>
      </c>
      <c r="Q574" s="202">
        <f t="shared" si="17"/>
        <v>5.0941666666666663</v>
      </c>
      <c r="R574" s="202" t="s">
        <v>1020</v>
      </c>
    </row>
    <row r="575" spans="1:18" x14ac:dyDescent="0.15">
      <c r="A575" s="202" t="str">
        <f t="shared" si="16"/>
        <v>Santa Catarina_Flat Surface_225</v>
      </c>
      <c r="B575" s="202" t="s">
        <v>1037</v>
      </c>
      <c r="C575" s="202">
        <v>0</v>
      </c>
      <c r="D575" s="202">
        <v>225</v>
      </c>
      <c r="E575" s="202">
        <v>3.72</v>
      </c>
      <c r="F575" s="202">
        <v>4.57</v>
      </c>
      <c r="G575" s="202">
        <v>5.66</v>
      </c>
      <c r="H575" s="202">
        <v>5.82</v>
      </c>
      <c r="I575" s="202">
        <v>6.24</v>
      </c>
      <c r="J575" s="202">
        <v>6.16</v>
      </c>
      <c r="K575" s="202">
        <v>6.03</v>
      </c>
      <c r="L575" s="202">
        <v>5.71</v>
      </c>
      <c r="M575" s="202">
        <v>4.9800000000000004</v>
      </c>
      <c r="N575" s="202">
        <v>4.62</v>
      </c>
      <c r="O575" s="202">
        <v>4.07</v>
      </c>
      <c r="P575" s="202">
        <v>3.55</v>
      </c>
      <c r="Q575" s="202">
        <f t="shared" si="17"/>
        <v>5.0941666666666663</v>
      </c>
      <c r="R575" s="202" t="s">
        <v>1020</v>
      </c>
    </row>
    <row r="576" spans="1:18" x14ac:dyDescent="0.15">
      <c r="A576" s="202" t="str">
        <f t="shared" si="16"/>
        <v>Santa Catarina_Flat Surface_247.5</v>
      </c>
      <c r="B576" s="202" t="s">
        <v>1037</v>
      </c>
      <c r="C576" s="202">
        <v>0</v>
      </c>
      <c r="D576" s="202">
        <v>247.5</v>
      </c>
      <c r="E576" s="202">
        <v>3.72</v>
      </c>
      <c r="F576" s="202">
        <v>4.57</v>
      </c>
      <c r="G576" s="202">
        <v>5.66</v>
      </c>
      <c r="H576" s="202">
        <v>5.82</v>
      </c>
      <c r="I576" s="202">
        <v>6.24</v>
      </c>
      <c r="J576" s="202">
        <v>6.16</v>
      </c>
      <c r="K576" s="202">
        <v>6.03</v>
      </c>
      <c r="L576" s="202">
        <v>5.71</v>
      </c>
      <c r="M576" s="202">
        <v>4.9800000000000004</v>
      </c>
      <c r="N576" s="202">
        <v>4.62</v>
      </c>
      <c r="O576" s="202">
        <v>4.07</v>
      </c>
      <c r="P576" s="202">
        <v>3.55</v>
      </c>
      <c r="Q576" s="202">
        <f t="shared" si="17"/>
        <v>5.0941666666666663</v>
      </c>
      <c r="R576" s="202" t="s">
        <v>1020</v>
      </c>
    </row>
    <row r="577" spans="1:18" x14ac:dyDescent="0.15">
      <c r="A577" s="202" t="str">
        <f t="shared" si="16"/>
        <v>Santa Catarina_Flat Surface_270</v>
      </c>
      <c r="B577" s="202" t="s">
        <v>1037</v>
      </c>
      <c r="C577" s="202">
        <v>0</v>
      </c>
      <c r="D577" s="202">
        <v>270</v>
      </c>
      <c r="E577" s="202">
        <v>3.72</v>
      </c>
      <c r="F577" s="202">
        <v>4.57</v>
      </c>
      <c r="G577" s="202">
        <v>5.66</v>
      </c>
      <c r="H577" s="202">
        <v>5.82</v>
      </c>
      <c r="I577" s="202">
        <v>6.24</v>
      </c>
      <c r="J577" s="202">
        <v>6.16</v>
      </c>
      <c r="K577" s="202">
        <v>6.03</v>
      </c>
      <c r="L577" s="202">
        <v>5.71</v>
      </c>
      <c r="M577" s="202">
        <v>4.9800000000000004</v>
      </c>
      <c r="N577" s="202">
        <v>4.62</v>
      </c>
      <c r="O577" s="202">
        <v>4.07</v>
      </c>
      <c r="P577" s="202">
        <v>3.55</v>
      </c>
      <c r="Q577" s="202">
        <f t="shared" si="17"/>
        <v>5.0941666666666663</v>
      </c>
      <c r="R577" s="202" t="s">
        <v>1020</v>
      </c>
    </row>
    <row r="578" spans="1:18" x14ac:dyDescent="0.15">
      <c r="A578" s="202" t="str">
        <f t="shared" ref="A578:A641" si="18">B578&amp;"_"&amp;R578&amp;"_"&amp;D578</f>
        <v>Santa Catarina_Optimal Summer_90</v>
      </c>
      <c r="B578" s="202" t="s">
        <v>1037</v>
      </c>
      <c r="C578" s="202">
        <v>11</v>
      </c>
      <c r="D578" s="202">
        <v>90</v>
      </c>
      <c r="E578" s="202">
        <v>3.39</v>
      </c>
      <c r="F578" s="202">
        <v>4.03</v>
      </c>
      <c r="G578" s="202">
        <v>4.79</v>
      </c>
      <c r="H578" s="202">
        <v>4.7300000000000004</v>
      </c>
      <c r="I578" s="202">
        <v>4.92</v>
      </c>
      <c r="J578" s="202">
        <v>4.8099999999999996</v>
      </c>
      <c r="K578" s="202">
        <v>4.7300000000000004</v>
      </c>
      <c r="L578" s="202">
        <v>4.57</v>
      </c>
      <c r="M578" s="202">
        <v>4.1100000000000003</v>
      </c>
      <c r="N578" s="202">
        <v>4</v>
      </c>
      <c r="O578" s="202">
        <v>3.69</v>
      </c>
      <c r="P578" s="202">
        <v>3.28</v>
      </c>
      <c r="Q578" s="202">
        <f t="shared" ref="Q578:Q641" si="19">AVERAGE(E578:P578)</f>
        <v>4.2541666666666664</v>
      </c>
      <c r="R578" s="202" t="s">
        <v>984</v>
      </c>
    </row>
    <row r="579" spans="1:18" x14ac:dyDescent="0.15">
      <c r="A579" s="202" t="str">
        <f t="shared" si="18"/>
        <v>Santa Catarina_Optimal Summer_112.5</v>
      </c>
      <c r="B579" s="202" t="s">
        <v>1037</v>
      </c>
      <c r="C579" s="202">
        <v>11</v>
      </c>
      <c r="D579" s="202">
        <v>112.5</v>
      </c>
      <c r="E579" s="202">
        <v>3.71</v>
      </c>
      <c r="F579" s="202">
        <v>4.41</v>
      </c>
      <c r="G579" s="202">
        <v>5.24</v>
      </c>
      <c r="H579" s="202">
        <v>5.17</v>
      </c>
      <c r="I579" s="202">
        <v>5.38</v>
      </c>
      <c r="J579" s="202">
        <v>5.26</v>
      </c>
      <c r="K579" s="202">
        <v>5.17</v>
      </c>
      <c r="L579" s="202">
        <v>5</v>
      </c>
      <c r="M579" s="202">
        <v>4.5</v>
      </c>
      <c r="N579" s="202">
        <v>4.38</v>
      </c>
      <c r="O579" s="202">
        <v>4.03</v>
      </c>
      <c r="P579" s="202">
        <v>3.59</v>
      </c>
      <c r="Q579" s="202">
        <f t="shared" si="19"/>
        <v>4.6533333333333333</v>
      </c>
      <c r="R579" s="202" t="s">
        <v>984</v>
      </c>
    </row>
    <row r="580" spans="1:18" x14ac:dyDescent="0.15">
      <c r="A580" s="202" t="str">
        <f t="shared" si="18"/>
        <v>Santa Catarina_Optimal Summer_135</v>
      </c>
      <c r="B580" s="202" t="s">
        <v>1037</v>
      </c>
      <c r="C580" s="202">
        <v>11</v>
      </c>
      <c r="D580" s="202">
        <v>135</v>
      </c>
      <c r="E580" s="202">
        <v>4.03</v>
      </c>
      <c r="F580" s="202">
        <v>4.79</v>
      </c>
      <c r="G580" s="202">
        <v>5.69</v>
      </c>
      <c r="H580" s="202">
        <v>5.61</v>
      </c>
      <c r="I580" s="202">
        <v>5.84</v>
      </c>
      <c r="J580" s="202">
        <v>5.71</v>
      </c>
      <c r="K580" s="202">
        <v>5.61</v>
      </c>
      <c r="L580" s="202">
        <v>5.42</v>
      </c>
      <c r="M580" s="202">
        <v>4.88</v>
      </c>
      <c r="N580" s="202">
        <v>4.75</v>
      </c>
      <c r="O580" s="202">
        <v>4.38</v>
      </c>
      <c r="P580" s="202">
        <v>3.9</v>
      </c>
      <c r="Q580" s="202">
        <f t="shared" si="19"/>
        <v>5.0508333333333342</v>
      </c>
      <c r="R580" s="202" t="s">
        <v>984</v>
      </c>
    </row>
    <row r="581" spans="1:18" x14ac:dyDescent="0.15">
      <c r="A581" s="202" t="str">
        <f t="shared" si="18"/>
        <v>Santa Catarina_Optimal Summer_157.5</v>
      </c>
      <c r="B581" s="202" t="s">
        <v>1037</v>
      </c>
      <c r="C581" s="202">
        <v>11</v>
      </c>
      <c r="D581" s="202">
        <v>157.5</v>
      </c>
      <c r="E581" s="202">
        <v>4.13</v>
      </c>
      <c r="F581" s="202">
        <v>4.91</v>
      </c>
      <c r="G581" s="202">
        <v>5.84</v>
      </c>
      <c r="H581" s="202">
        <v>5.76</v>
      </c>
      <c r="I581" s="202">
        <v>6</v>
      </c>
      <c r="J581" s="202">
        <v>5.86</v>
      </c>
      <c r="K581" s="202">
        <v>5.76</v>
      </c>
      <c r="L581" s="202">
        <v>5.57</v>
      </c>
      <c r="M581" s="202">
        <v>5.01</v>
      </c>
      <c r="N581" s="202">
        <v>4.88</v>
      </c>
      <c r="O581" s="202">
        <v>4.49</v>
      </c>
      <c r="P581" s="202">
        <v>4</v>
      </c>
      <c r="Q581" s="202">
        <f t="shared" si="19"/>
        <v>5.184166666666667</v>
      </c>
      <c r="R581" s="202" t="s">
        <v>984</v>
      </c>
    </row>
    <row r="582" spans="1:18" x14ac:dyDescent="0.15">
      <c r="A582" s="202" t="str">
        <f t="shared" si="18"/>
        <v>Santa Catarina_Optimal Summer_180</v>
      </c>
      <c r="B582" s="202" t="s">
        <v>1037</v>
      </c>
      <c r="C582" s="202">
        <v>11</v>
      </c>
      <c r="D582" s="202">
        <v>180</v>
      </c>
      <c r="E582" s="202">
        <v>4.24</v>
      </c>
      <c r="F582" s="202">
        <v>5.04</v>
      </c>
      <c r="G582" s="202">
        <v>5.99</v>
      </c>
      <c r="H582" s="202">
        <v>5.91</v>
      </c>
      <c r="I582" s="202">
        <v>6.15</v>
      </c>
      <c r="J582" s="202">
        <v>6.01</v>
      </c>
      <c r="K582" s="202">
        <v>5.91</v>
      </c>
      <c r="L582" s="202">
        <v>5.71</v>
      </c>
      <c r="M582" s="202">
        <v>5.14</v>
      </c>
      <c r="N582" s="202">
        <v>5</v>
      </c>
      <c r="O582" s="202">
        <v>4.6100000000000003</v>
      </c>
      <c r="P582" s="202">
        <v>4.0999999999999996</v>
      </c>
      <c r="Q582" s="202">
        <f t="shared" si="19"/>
        <v>5.3174999999999999</v>
      </c>
      <c r="R582" s="202" t="s">
        <v>984</v>
      </c>
    </row>
    <row r="583" spans="1:18" x14ac:dyDescent="0.15">
      <c r="A583" s="202" t="str">
        <f t="shared" si="18"/>
        <v>Santa Catarina_Optimal Summer_202.5</v>
      </c>
      <c r="B583" s="202" t="s">
        <v>1037</v>
      </c>
      <c r="C583" s="202">
        <v>11</v>
      </c>
      <c r="D583" s="202">
        <v>202.5</v>
      </c>
      <c r="E583" s="202">
        <v>4.13</v>
      </c>
      <c r="F583" s="202">
        <v>4.91</v>
      </c>
      <c r="G583" s="202">
        <v>5.84</v>
      </c>
      <c r="H583" s="202">
        <v>5.76</v>
      </c>
      <c r="I583" s="202">
        <v>6</v>
      </c>
      <c r="J583" s="202">
        <v>5.86</v>
      </c>
      <c r="K583" s="202">
        <v>5.76</v>
      </c>
      <c r="L583" s="202">
        <v>5.57</v>
      </c>
      <c r="M583" s="202">
        <v>5.01</v>
      </c>
      <c r="N583" s="202">
        <v>4.88</v>
      </c>
      <c r="O583" s="202">
        <v>4.49</v>
      </c>
      <c r="P583" s="202">
        <v>4</v>
      </c>
      <c r="Q583" s="202">
        <f t="shared" si="19"/>
        <v>5.184166666666667</v>
      </c>
      <c r="R583" s="202" t="s">
        <v>984</v>
      </c>
    </row>
    <row r="584" spans="1:18" x14ac:dyDescent="0.15">
      <c r="A584" s="202" t="str">
        <f t="shared" si="18"/>
        <v>Santa Catarina_Optimal Summer_225</v>
      </c>
      <c r="B584" s="202" t="s">
        <v>1037</v>
      </c>
      <c r="C584" s="202">
        <v>11</v>
      </c>
      <c r="D584" s="202">
        <v>225</v>
      </c>
      <c r="E584" s="202">
        <v>4.03</v>
      </c>
      <c r="F584" s="202">
        <v>4.79</v>
      </c>
      <c r="G584" s="202">
        <v>5.69</v>
      </c>
      <c r="H584" s="202">
        <v>5.61</v>
      </c>
      <c r="I584" s="202">
        <v>5.84</v>
      </c>
      <c r="J584" s="202">
        <v>5.71</v>
      </c>
      <c r="K584" s="202">
        <v>5.61</v>
      </c>
      <c r="L584" s="202">
        <v>5.42</v>
      </c>
      <c r="M584" s="202">
        <v>4.88</v>
      </c>
      <c r="N584" s="202">
        <v>4.75</v>
      </c>
      <c r="O584" s="202">
        <v>4.38</v>
      </c>
      <c r="P584" s="202">
        <v>3.9</v>
      </c>
      <c r="Q584" s="202">
        <f t="shared" si="19"/>
        <v>5.0508333333333342</v>
      </c>
      <c r="R584" s="202" t="s">
        <v>984</v>
      </c>
    </row>
    <row r="585" spans="1:18" x14ac:dyDescent="0.15">
      <c r="A585" s="202" t="str">
        <f t="shared" si="18"/>
        <v>Santa Catarina_Optimal Summer_247.5</v>
      </c>
      <c r="B585" s="202" t="s">
        <v>1037</v>
      </c>
      <c r="C585" s="202">
        <v>11</v>
      </c>
      <c r="D585" s="202">
        <v>247.5</v>
      </c>
      <c r="E585" s="202">
        <v>3.71</v>
      </c>
      <c r="F585" s="202">
        <v>4.41</v>
      </c>
      <c r="G585" s="202">
        <v>5.24</v>
      </c>
      <c r="H585" s="202">
        <v>5.17</v>
      </c>
      <c r="I585" s="202">
        <v>5.38</v>
      </c>
      <c r="J585" s="202">
        <v>5.26</v>
      </c>
      <c r="K585" s="202">
        <v>5.17</v>
      </c>
      <c r="L585" s="202">
        <v>5</v>
      </c>
      <c r="M585" s="202">
        <v>4.5</v>
      </c>
      <c r="N585" s="202">
        <v>4.38</v>
      </c>
      <c r="O585" s="202">
        <v>4.03</v>
      </c>
      <c r="P585" s="202">
        <v>3.59</v>
      </c>
      <c r="Q585" s="202">
        <f t="shared" si="19"/>
        <v>4.6533333333333333</v>
      </c>
      <c r="R585" s="202" t="s">
        <v>984</v>
      </c>
    </row>
    <row r="586" spans="1:18" x14ac:dyDescent="0.15">
      <c r="A586" s="202" t="str">
        <f t="shared" si="18"/>
        <v>Santa Catarina_Optimal Summer_270</v>
      </c>
      <c r="B586" s="202" t="s">
        <v>1037</v>
      </c>
      <c r="C586" s="202">
        <v>11</v>
      </c>
      <c r="D586" s="202">
        <v>270</v>
      </c>
      <c r="E586" s="202">
        <v>3.39</v>
      </c>
      <c r="F586" s="202">
        <v>4.03</v>
      </c>
      <c r="G586" s="202">
        <v>4.79</v>
      </c>
      <c r="H586" s="202">
        <v>4.7300000000000004</v>
      </c>
      <c r="I586" s="202">
        <v>4.92</v>
      </c>
      <c r="J586" s="202">
        <v>4.8099999999999996</v>
      </c>
      <c r="K586" s="202">
        <v>4.7300000000000004</v>
      </c>
      <c r="L586" s="202">
        <v>4.57</v>
      </c>
      <c r="M586" s="202">
        <v>4.1100000000000003</v>
      </c>
      <c r="N586" s="202">
        <v>4</v>
      </c>
      <c r="O586" s="202">
        <v>3.69</v>
      </c>
      <c r="P586" s="202">
        <v>3.28</v>
      </c>
      <c r="Q586" s="202">
        <f t="shared" si="19"/>
        <v>4.2541666666666664</v>
      </c>
      <c r="R586" s="202" t="s">
        <v>984</v>
      </c>
    </row>
    <row r="587" spans="1:18" x14ac:dyDescent="0.15">
      <c r="A587" s="202" t="str">
        <f t="shared" si="18"/>
        <v>Santa Catarina_Optimal Year Round_90</v>
      </c>
      <c r="B587" s="202" t="s">
        <v>1037</v>
      </c>
      <c r="C587" s="202">
        <v>26</v>
      </c>
      <c r="D587" s="202">
        <v>90</v>
      </c>
      <c r="E587" s="202">
        <v>3.86</v>
      </c>
      <c r="F587" s="202">
        <v>4.41</v>
      </c>
      <c r="G587" s="202">
        <v>4.9800000000000004</v>
      </c>
      <c r="H587" s="202">
        <v>4.6399999999999997</v>
      </c>
      <c r="I587" s="202">
        <v>4.62</v>
      </c>
      <c r="J587" s="202">
        <v>4.4400000000000004</v>
      </c>
      <c r="K587" s="202">
        <v>4.4000000000000004</v>
      </c>
      <c r="L587" s="202">
        <v>4.38</v>
      </c>
      <c r="M587" s="202">
        <v>4.1500000000000004</v>
      </c>
      <c r="N587" s="202">
        <v>4.2699999999999996</v>
      </c>
      <c r="O587" s="202">
        <v>4.16</v>
      </c>
      <c r="P587" s="202">
        <v>3.78</v>
      </c>
      <c r="Q587" s="202">
        <f t="shared" si="19"/>
        <v>4.3408333333333333</v>
      </c>
      <c r="R587" s="202" t="s">
        <v>1019</v>
      </c>
    </row>
    <row r="588" spans="1:18" x14ac:dyDescent="0.15">
      <c r="A588" s="202" t="str">
        <f t="shared" si="18"/>
        <v>Santa Catarina_Optimal Year Round_112.5</v>
      </c>
      <c r="B588" s="202" t="s">
        <v>1037</v>
      </c>
      <c r="C588" s="202">
        <v>26</v>
      </c>
      <c r="D588" s="202">
        <v>112.5</v>
      </c>
      <c r="E588" s="202">
        <v>4.22</v>
      </c>
      <c r="F588" s="202">
        <v>4.82</v>
      </c>
      <c r="G588" s="202">
        <v>5.44</v>
      </c>
      <c r="H588" s="202">
        <v>5.08</v>
      </c>
      <c r="I588" s="202">
        <v>5.05</v>
      </c>
      <c r="J588" s="202">
        <v>4.8600000000000003</v>
      </c>
      <c r="K588" s="202">
        <v>4.8099999999999996</v>
      </c>
      <c r="L588" s="202">
        <v>4.8</v>
      </c>
      <c r="M588" s="202">
        <v>4.54</v>
      </c>
      <c r="N588" s="202">
        <v>4.67</v>
      </c>
      <c r="O588" s="202">
        <v>4.55</v>
      </c>
      <c r="P588" s="202">
        <v>4.1399999999999997</v>
      </c>
      <c r="Q588" s="202">
        <f t="shared" si="19"/>
        <v>4.7483333333333331</v>
      </c>
      <c r="R588" s="202" t="s">
        <v>1019</v>
      </c>
    </row>
    <row r="589" spans="1:18" x14ac:dyDescent="0.15">
      <c r="A589" s="202" t="str">
        <f t="shared" si="18"/>
        <v>Santa Catarina_Optimal Year Round_135</v>
      </c>
      <c r="B589" s="202" t="s">
        <v>1037</v>
      </c>
      <c r="C589" s="202">
        <v>26</v>
      </c>
      <c r="D589" s="202">
        <v>135</v>
      </c>
      <c r="E589" s="202">
        <v>4.58</v>
      </c>
      <c r="F589" s="202">
        <v>5.23</v>
      </c>
      <c r="G589" s="202">
        <v>5.91</v>
      </c>
      <c r="H589" s="202">
        <v>5.51</v>
      </c>
      <c r="I589" s="202">
        <v>5.48</v>
      </c>
      <c r="J589" s="202">
        <v>5.27</v>
      </c>
      <c r="K589" s="202">
        <v>5.22</v>
      </c>
      <c r="L589" s="202">
        <v>5.21</v>
      </c>
      <c r="M589" s="202">
        <v>4.93</v>
      </c>
      <c r="N589" s="202">
        <v>5.07</v>
      </c>
      <c r="O589" s="202">
        <v>4.9400000000000004</v>
      </c>
      <c r="P589" s="202">
        <v>4.49</v>
      </c>
      <c r="Q589" s="202">
        <f t="shared" si="19"/>
        <v>5.1533333333333333</v>
      </c>
      <c r="R589" s="202" t="s">
        <v>1019</v>
      </c>
    </row>
    <row r="590" spans="1:18" x14ac:dyDescent="0.15">
      <c r="A590" s="202" t="str">
        <f t="shared" si="18"/>
        <v>Santa Catarina_Optimal Year Round_157.5</v>
      </c>
      <c r="B590" s="202" t="s">
        <v>1037</v>
      </c>
      <c r="C590" s="202">
        <v>26</v>
      </c>
      <c r="D590" s="202">
        <v>157.5</v>
      </c>
      <c r="E590" s="202">
        <v>4.7</v>
      </c>
      <c r="F590" s="202">
        <v>5.37</v>
      </c>
      <c r="G590" s="202">
        <v>6.06</v>
      </c>
      <c r="H590" s="202">
        <v>5.66</v>
      </c>
      <c r="I590" s="202">
        <v>5.63</v>
      </c>
      <c r="J590" s="202">
        <v>5.41</v>
      </c>
      <c r="K590" s="202">
        <v>5.36</v>
      </c>
      <c r="L590" s="202">
        <v>5.34</v>
      </c>
      <c r="M590" s="202">
        <v>5.0599999999999996</v>
      </c>
      <c r="N590" s="202">
        <v>5.21</v>
      </c>
      <c r="O590" s="202">
        <v>5.07</v>
      </c>
      <c r="P590" s="202">
        <v>4.6100000000000003</v>
      </c>
      <c r="Q590" s="202">
        <f t="shared" si="19"/>
        <v>5.29</v>
      </c>
      <c r="R590" s="202" t="s">
        <v>1019</v>
      </c>
    </row>
    <row r="591" spans="1:18" x14ac:dyDescent="0.15">
      <c r="A591" s="202" t="str">
        <f t="shared" si="18"/>
        <v>Santa Catarina_Optimal Year Round_180</v>
      </c>
      <c r="B591" s="202" t="s">
        <v>1037</v>
      </c>
      <c r="C591" s="202">
        <v>26</v>
      </c>
      <c r="D591" s="202">
        <v>180</v>
      </c>
      <c r="E591" s="202">
        <v>4.82</v>
      </c>
      <c r="F591" s="202">
        <v>5.51</v>
      </c>
      <c r="G591" s="202">
        <v>6.22</v>
      </c>
      <c r="H591" s="202">
        <v>5.8</v>
      </c>
      <c r="I591" s="202">
        <v>5.77</v>
      </c>
      <c r="J591" s="202">
        <v>5.55</v>
      </c>
      <c r="K591" s="202">
        <v>5.5</v>
      </c>
      <c r="L591" s="202">
        <v>5.48</v>
      </c>
      <c r="M591" s="202">
        <v>5.19</v>
      </c>
      <c r="N591" s="202">
        <v>5.34</v>
      </c>
      <c r="O591" s="202">
        <v>5.2</v>
      </c>
      <c r="P591" s="202">
        <v>4.7300000000000004</v>
      </c>
      <c r="Q591" s="202">
        <f t="shared" si="19"/>
        <v>5.4258333333333342</v>
      </c>
      <c r="R591" s="202" t="s">
        <v>1019</v>
      </c>
    </row>
    <row r="592" spans="1:18" x14ac:dyDescent="0.15">
      <c r="A592" s="202" t="str">
        <f t="shared" si="18"/>
        <v>Santa Catarina_Optimal Year Round_202.5</v>
      </c>
      <c r="B592" s="202" t="s">
        <v>1037</v>
      </c>
      <c r="C592" s="202">
        <v>26</v>
      </c>
      <c r="D592" s="202">
        <v>202.5</v>
      </c>
      <c r="E592" s="202">
        <v>4.7</v>
      </c>
      <c r="F592" s="202">
        <v>5.37</v>
      </c>
      <c r="G592" s="202">
        <v>6.06</v>
      </c>
      <c r="H592" s="202">
        <v>5.66</v>
      </c>
      <c r="I592" s="202">
        <v>5.63</v>
      </c>
      <c r="J592" s="202">
        <v>5.41</v>
      </c>
      <c r="K592" s="202">
        <v>5.36</v>
      </c>
      <c r="L592" s="202">
        <v>5.34</v>
      </c>
      <c r="M592" s="202">
        <v>5.0599999999999996</v>
      </c>
      <c r="N592" s="202">
        <v>5.21</v>
      </c>
      <c r="O592" s="202">
        <v>5.07</v>
      </c>
      <c r="P592" s="202">
        <v>4.6100000000000003</v>
      </c>
      <c r="Q592" s="202">
        <f t="shared" si="19"/>
        <v>5.29</v>
      </c>
      <c r="R592" s="202" t="s">
        <v>1019</v>
      </c>
    </row>
    <row r="593" spans="1:18" x14ac:dyDescent="0.15">
      <c r="A593" s="202" t="str">
        <f t="shared" si="18"/>
        <v>Santa Catarina_Optimal Year Round_225</v>
      </c>
      <c r="B593" s="202" t="s">
        <v>1037</v>
      </c>
      <c r="C593" s="202">
        <v>26</v>
      </c>
      <c r="D593" s="202">
        <v>225</v>
      </c>
      <c r="E593" s="202">
        <v>4.58</v>
      </c>
      <c r="F593" s="202">
        <v>5.23</v>
      </c>
      <c r="G593" s="202">
        <v>5.91</v>
      </c>
      <c r="H593" s="202">
        <v>5.51</v>
      </c>
      <c r="I593" s="202">
        <v>5.48</v>
      </c>
      <c r="J593" s="202">
        <v>5.27</v>
      </c>
      <c r="K593" s="202">
        <v>5.22</v>
      </c>
      <c r="L593" s="202">
        <v>5.21</v>
      </c>
      <c r="M593" s="202">
        <v>4.93</v>
      </c>
      <c r="N593" s="202">
        <v>5.07</v>
      </c>
      <c r="O593" s="202">
        <v>4.9400000000000004</v>
      </c>
      <c r="P593" s="202">
        <v>4.49</v>
      </c>
      <c r="Q593" s="202">
        <f t="shared" si="19"/>
        <v>5.1533333333333333</v>
      </c>
      <c r="R593" s="202" t="s">
        <v>1019</v>
      </c>
    </row>
    <row r="594" spans="1:18" x14ac:dyDescent="0.15">
      <c r="A594" s="202" t="str">
        <f t="shared" si="18"/>
        <v>Santa Catarina_Optimal Year Round_247.5</v>
      </c>
      <c r="B594" s="202" t="s">
        <v>1037</v>
      </c>
      <c r="C594" s="202">
        <v>26</v>
      </c>
      <c r="D594" s="202">
        <v>247.5</v>
      </c>
      <c r="E594" s="202">
        <v>4.22</v>
      </c>
      <c r="F594" s="202">
        <v>4.82</v>
      </c>
      <c r="G594" s="202">
        <v>5.44</v>
      </c>
      <c r="H594" s="202">
        <v>5.08</v>
      </c>
      <c r="I594" s="202">
        <v>5.05</v>
      </c>
      <c r="J594" s="202">
        <v>4.8600000000000003</v>
      </c>
      <c r="K594" s="202">
        <v>4.8099999999999996</v>
      </c>
      <c r="L594" s="202">
        <v>4.8</v>
      </c>
      <c r="M594" s="202">
        <v>4.54</v>
      </c>
      <c r="N594" s="202">
        <v>4.67</v>
      </c>
      <c r="O594" s="202">
        <v>4.55</v>
      </c>
      <c r="P594" s="202">
        <v>4.1399999999999997</v>
      </c>
      <c r="Q594" s="202">
        <f t="shared" si="19"/>
        <v>4.7483333333333331</v>
      </c>
      <c r="R594" s="202" t="s">
        <v>1019</v>
      </c>
    </row>
    <row r="595" spans="1:18" x14ac:dyDescent="0.15">
      <c r="A595" s="202" t="str">
        <f t="shared" si="18"/>
        <v>Santa Catarina_Optimal Year Round_270</v>
      </c>
      <c r="B595" s="202" t="s">
        <v>1037</v>
      </c>
      <c r="C595" s="202">
        <v>26</v>
      </c>
      <c r="D595" s="202">
        <v>270</v>
      </c>
      <c r="E595" s="202">
        <v>3.86</v>
      </c>
      <c r="F595" s="202">
        <v>4.41</v>
      </c>
      <c r="G595" s="202">
        <v>4.9800000000000004</v>
      </c>
      <c r="H595" s="202">
        <v>4.6399999999999997</v>
      </c>
      <c r="I595" s="202">
        <v>4.62</v>
      </c>
      <c r="J595" s="202">
        <v>4.4400000000000004</v>
      </c>
      <c r="K595" s="202">
        <v>4.4000000000000004</v>
      </c>
      <c r="L595" s="202">
        <v>4.38</v>
      </c>
      <c r="M595" s="202">
        <v>4.1500000000000004</v>
      </c>
      <c r="N595" s="202">
        <v>4.2699999999999996</v>
      </c>
      <c r="O595" s="202">
        <v>4.16</v>
      </c>
      <c r="P595" s="202">
        <v>3.78</v>
      </c>
      <c r="Q595" s="202">
        <f t="shared" si="19"/>
        <v>4.3408333333333333</v>
      </c>
      <c r="R595" s="202" t="s">
        <v>1019</v>
      </c>
    </row>
    <row r="596" spans="1:18" x14ac:dyDescent="0.15">
      <c r="A596" s="202" t="str">
        <f t="shared" si="18"/>
        <v>Tepic (PV)_Flat Surface_90</v>
      </c>
      <c r="B596" s="495" t="s">
        <v>888</v>
      </c>
      <c r="C596" s="495">
        <v>0</v>
      </c>
      <c r="D596" s="495">
        <v>90</v>
      </c>
      <c r="E596" s="497">
        <v>4.4800000000000004</v>
      </c>
      <c r="F596" s="497">
        <v>5.58</v>
      </c>
      <c r="G596" s="497">
        <v>6.74</v>
      </c>
      <c r="H596" s="497">
        <v>7.24</v>
      </c>
      <c r="I596" s="497">
        <v>7.62</v>
      </c>
      <c r="J596" s="497">
        <v>6.55</v>
      </c>
      <c r="K596" s="497">
        <v>5.83</v>
      </c>
      <c r="L596" s="497">
        <v>5.64</v>
      </c>
      <c r="M596" s="497">
        <v>5.25</v>
      </c>
      <c r="N596" s="497">
        <v>5.38</v>
      </c>
      <c r="O596" s="497">
        <v>5.0199999999999996</v>
      </c>
      <c r="P596" s="497">
        <v>4.2699999999999996</v>
      </c>
      <c r="Q596" s="202">
        <f t="shared" si="19"/>
        <v>5.8</v>
      </c>
      <c r="R596" s="202" t="s">
        <v>1020</v>
      </c>
    </row>
    <row r="597" spans="1:18" x14ac:dyDescent="0.15">
      <c r="A597" s="202" t="str">
        <f t="shared" si="18"/>
        <v>Tepic (PV)_Flat Surface_112.5</v>
      </c>
      <c r="B597" s="495" t="s">
        <v>888</v>
      </c>
      <c r="C597" s="495">
        <v>0</v>
      </c>
      <c r="D597" s="495">
        <v>112.5</v>
      </c>
      <c r="E597" s="497">
        <v>4.4800000000000004</v>
      </c>
      <c r="F597" s="497">
        <v>5.58</v>
      </c>
      <c r="G597" s="497">
        <v>6.74</v>
      </c>
      <c r="H597" s="497">
        <v>7.24</v>
      </c>
      <c r="I597" s="497">
        <v>7.62</v>
      </c>
      <c r="J597" s="497">
        <v>6.55</v>
      </c>
      <c r="K597" s="497">
        <v>5.83</v>
      </c>
      <c r="L597" s="497">
        <v>5.64</v>
      </c>
      <c r="M597" s="497">
        <v>5.25</v>
      </c>
      <c r="N597" s="497">
        <v>5.38</v>
      </c>
      <c r="O597" s="497">
        <v>5.0199999999999996</v>
      </c>
      <c r="P597" s="497">
        <v>4.2699999999999996</v>
      </c>
      <c r="Q597" s="202">
        <f t="shared" si="19"/>
        <v>5.8</v>
      </c>
      <c r="R597" s="202" t="s">
        <v>1020</v>
      </c>
    </row>
    <row r="598" spans="1:18" x14ac:dyDescent="0.15">
      <c r="A598" s="202" t="str">
        <f t="shared" si="18"/>
        <v>Tepic (PV)_Flat Surface_135</v>
      </c>
      <c r="B598" s="495" t="s">
        <v>888</v>
      </c>
      <c r="C598" s="495">
        <v>0</v>
      </c>
      <c r="D598" s="495">
        <v>135</v>
      </c>
      <c r="E598" s="497">
        <v>4.4800000000000004</v>
      </c>
      <c r="F598" s="497">
        <v>5.58</v>
      </c>
      <c r="G598" s="497">
        <v>6.74</v>
      </c>
      <c r="H598" s="497">
        <v>7.24</v>
      </c>
      <c r="I598" s="497">
        <v>7.62</v>
      </c>
      <c r="J598" s="497">
        <v>6.55</v>
      </c>
      <c r="K598" s="497">
        <v>5.83</v>
      </c>
      <c r="L598" s="497">
        <v>5.64</v>
      </c>
      <c r="M598" s="497">
        <v>5.25</v>
      </c>
      <c r="N598" s="497">
        <v>5.38</v>
      </c>
      <c r="O598" s="497">
        <v>5.0199999999999996</v>
      </c>
      <c r="P598" s="497">
        <v>4.2699999999999996</v>
      </c>
      <c r="Q598" s="202">
        <f t="shared" si="19"/>
        <v>5.8</v>
      </c>
      <c r="R598" s="202" t="s">
        <v>1020</v>
      </c>
    </row>
    <row r="599" spans="1:18" x14ac:dyDescent="0.15">
      <c r="A599" s="202" t="str">
        <f t="shared" si="18"/>
        <v>Tepic (PV)_Flat Surface_157.5</v>
      </c>
      <c r="B599" s="495" t="s">
        <v>888</v>
      </c>
      <c r="C599" s="495">
        <v>0</v>
      </c>
      <c r="D599" s="495">
        <v>157.5</v>
      </c>
      <c r="E599" s="497">
        <v>4.4800000000000004</v>
      </c>
      <c r="F599" s="497">
        <v>5.58</v>
      </c>
      <c r="G599" s="497">
        <v>6.74</v>
      </c>
      <c r="H599" s="497">
        <v>7.24</v>
      </c>
      <c r="I599" s="497">
        <v>7.62</v>
      </c>
      <c r="J599" s="497">
        <v>6.55</v>
      </c>
      <c r="K599" s="497">
        <v>5.83</v>
      </c>
      <c r="L599" s="497">
        <v>5.64</v>
      </c>
      <c r="M599" s="497">
        <v>5.25</v>
      </c>
      <c r="N599" s="497">
        <v>5.38</v>
      </c>
      <c r="O599" s="497">
        <v>5.0199999999999996</v>
      </c>
      <c r="P599" s="497">
        <v>4.2699999999999996</v>
      </c>
      <c r="Q599" s="202">
        <f t="shared" si="19"/>
        <v>5.8</v>
      </c>
      <c r="R599" s="202" t="s">
        <v>1020</v>
      </c>
    </row>
    <row r="600" spans="1:18" x14ac:dyDescent="0.15">
      <c r="A600" s="202" t="str">
        <f t="shared" si="18"/>
        <v>Tepic (PV)_Flat Surface_180</v>
      </c>
      <c r="B600" s="495" t="s">
        <v>888</v>
      </c>
      <c r="C600" s="495">
        <v>0</v>
      </c>
      <c r="D600" s="495">
        <v>180</v>
      </c>
      <c r="E600" s="497">
        <v>4.4800000000000004</v>
      </c>
      <c r="F600" s="497">
        <v>5.58</v>
      </c>
      <c r="G600" s="497">
        <v>6.74</v>
      </c>
      <c r="H600" s="497">
        <v>7.24</v>
      </c>
      <c r="I600" s="497">
        <v>7.62</v>
      </c>
      <c r="J600" s="497">
        <v>6.55</v>
      </c>
      <c r="K600" s="497">
        <v>5.83</v>
      </c>
      <c r="L600" s="497">
        <v>5.64</v>
      </c>
      <c r="M600" s="497">
        <v>5.25</v>
      </c>
      <c r="N600" s="497">
        <v>5.38</v>
      </c>
      <c r="O600" s="497">
        <v>5.0199999999999996</v>
      </c>
      <c r="P600" s="497">
        <v>4.2699999999999996</v>
      </c>
      <c r="Q600" s="202">
        <f t="shared" si="19"/>
        <v>5.8</v>
      </c>
      <c r="R600" s="202" t="s">
        <v>1020</v>
      </c>
    </row>
    <row r="601" spans="1:18" x14ac:dyDescent="0.15">
      <c r="A601" s="202" t="str">
        <f t="shared" si="18"/>
        <v>Tepic (PV)_Flat Surface_202.5</v>
      </c>
      <c r="B601" s="495" t="s">
        <v>888</v>
      </c>
      <c r="C601" s="495">
        <v>0</v>
      </c>
      <c r="D601" s="495">
        <v>202.5</v>
      </c>
      <c r="E601" s="497">
        <v>4.4800000000000004</v>
      </c>
      <c r="F601" s="497">
        <v>5.58</v>
      </c>
      <c r="G601" s="497">
        <v>6.74</v>
      </c>
      <c r="H601" s="497">
        <v>7.24</v>
      </c>
      <c r="I601" s="497">
        <v>7.62</v>
      </c>
      <c r="J601" s="497">
        <v>6.55</v>
      </c>
      <c r="K601" s="497">
        <v>5.83</v>
      </c>
      <c r="L601" s="497">
        <v>5.64</v>
      </c>
      <c r="M601" s="497">
        <v>5.25</v>
      </c>
      <c r="N601" s="497">
        <v>5.38</v>
      </c>
      <c r="O601" s="497">
        <v>5.0199999999999996</v>
      </c>
      <c r="P601" s="497">
        <v>4.2699999999999996</v>
      </c>
      <c r="Q601" s="202">
        <f t="shared" si="19"/>
        <v>5.8</v>
      </c>
      <c r="R601" s="202" t="s">
        <v>1020</v>
      </c>
    </row>
    <row r="602" spans="1:18" x14ac:dyDescent="0.15">
      <c r="A602" s="202" t="str">
        <f t="shared" si="18"/>
        <v>Tepic (PV)_Flat Surface_225</v>
      </c>
      <c r="B602" s="495" t="s">
        <v>888</v>
      </c>
      <c r="C602" s="495">
        <v>0</v>
      </c>
      <c r="D602" s="495">
        <v>225</v>
      </c>
      <c r="E602" s="497">
        <v>4.4800000000000004</v>
      </c>
      <c r="F602" s="497">
        <v>5.58</v>
      </c>
      <c r="G602" s="497">
        <v>6.74</v>
      </c>
      <c r="H602" s="497">
        <v>7.24</v>
      </c>
      <c r="I602" s="497">
        <v>7.62</v>
      </c>
      <c r="J602" s="497">
        <v>6.55</v>
      </c>
      <c r="K602" s="497">
        <v>5.83</v>
      </c>
      <c r="L602" s="497">
        <v>5.64</v>
      </c>
      <c r="M602" s="497">
        <v>5.25</v>
      </c>
      <c r="N602" s="497">
        <v>5.38</v>
      </c>
      <c r="O602" s="497">
        <v>5.0199999999999996</v>
      </c>
      <c r="P602" s="497">
        <v>4.2699999999999996</v>
      </c>
      <c r="Q602" s="202">
        <f t="shared" si="19"/>
        <v>5.8</v>
      </c>
      <c r="R602" s="202" t="s">
        <v>1020</v>
      </c>
    </row>
    <row r="603" spans="1:18" x14ac:dyDescent="0.15">
      <c r="A603" s="202" t="str">
        <f t="shared" si="18"/>
        <v>Tepic (PV)_Flat Surface_247.5</v>
      </c>
      <c r="B603" s="495" t="s">
        <v>888</v>
      </c>
      <c r="C603" s="495">
        <v>0</v>
      </c>
      <c r="D603" s="495">
        <v>247.5</v>
      </c>
      <c r="E603" s="497">
        <v>4.4800000000000004</v>
      </c>
      <c r="F603" s="497">
        <v>5.58</v>
      </c>
      <c r="G603" s="497">
        <v>6.74</v>
      </c>
      <c r="H603" s="497">
        <v>7.24</v>
      </c>
      <c r="I603" s="497">
        <v>7.62</v>
      </c>
      <c r="J603" s="497">
        <v>6.55</v>
      </c>
      <c r="K603" s="497">
        <v>5.83</v>
      </c>
      <c r="L603" s="497">
        <v>5.64</v>
      </c>
      <c r="M603" s="497">
        <v>5.25</v>
      </c>
      <c r="N603" s="497">
        <v>5.38</v>
      </c>
      <c r="O603" s="497">
        <v>5.0199999999999996</v>
      </c>
      <c r="P603" s="497">
        <v>4.2699999999999996</v>
      </c>
      <c r="Q603" s="202">
        <f t="shared" si="19"/>
        <v>5.8</v>
      </c>
      <c r="R603" s="202" t="s">
        <v>1020</v>
      </c>
    </row>
    <row r="604" spans="1:18" x14ac:dyDescent="0.15">
      <c r="A604" s="202" t="str">
        <f t="shared" si="18"/>
        <v>Tepic (PV)_Flat Surface_270</v>
      </c>
      <c r="B604" s="495" t="s">
        <v>888</v>
      </c>
      <c r="C604" s="495">
        <v>0</v>
      </c>
      <c r="D604" s="495">
        <v>270</v>
      </c>
      <c r="E604" s="497">
        <v>4.4800000000000004</v>
      </c>
      <c r="F604" s="497">
        <v>5.58</v>
      </c>
      <c r="G604" s="497">
        <v>6.74</v>
      </c>
      <c r="H604" s="497">
        <v>7.24</v>
      </c>
      <c r="I604" s="497">
        <v>7.62</v>
      </c>
      <c r="J604" s="497">
        <v>6.55</v>
      </c>
      <c r="K604" s="497">
        <v>5.83</v>
      </c>
      <c r="L604" s="497">
        <v>5.64</v>
      </c>
      <c r="M604" s="497">
        <v>5.25</v>
      </c>
      <c r="N604" s="497">
        <v>5.38</v>
      </c>
      <c r="O604" s="497">
        <v>5.0199999999999996</v>
      </c>
      <c r="P604" s="497">
        <v>4.2699999999999996</v>
      </c>
      <c r="Q604" s="202">
        <f t="shared" si="19"/>
        <v>5.8</v>
      </c>
      <c r="R604" s="202" t="s">
        <v>1020</v>
      </c>
    </row>
    <row r="605" spans="1:18" x14ac:dyDescent="0.15">
      <c r="A605" s="202" t="str">
        <f t="shared" si="18"/>
        <v>Tepic (PV)_Optimal Summer_90</v>
      </c>
      <c r="B605" s="495" t="s">
        <v>888</v>
      </c>
      <c r="C605" s="495">
        <v>7</v>
      </c>
      <c r="D605" s="495">
        <v>90</v>
      </c>
      <c r="E605" s="497">
        <v>3.87</v>
      </c>
      <c r="F605" s="497">
        <v>4.74</v>
      </c>
      <c r="G605" s="497">
        <v>5.58</v>
      </c>
      <c r="H605" s="497">
        <v>5.84</v>
      </c>
      <c r="I605" s="497">
        <v>6.02</v>
      </c>
      <c r="J605" s="497">
        <v>5.29</v>
      </c>
      <c r="K605" s="497">
        <v>4.5999999999999996</v>
      </c>
      <c r="L605" s="497">
        <v>4.51</v>
      </c>
      <c r="M605" s="497">
        <v>4.28</v>
      </c>
      <c r="N605" s="497">
        <v>4.51</v>
      </c>
      <c r="O605" s="497">
        <v>4.3499999999999996</v>
      </c>
      <c r="P605" s="497">
        <v>3.71</v>
      </c>
      <c r="Q605" s="202">
        <f t="shared" si="19"/>
        <v>4.7749999999999995</v>
      </c>
      <c r="R605" s="202" t="s">
        <v>984</v>
      </c>
    </row>
    <row r="606" spans="1:18" x14ac:dyDescent="0.15">
      <c r="A606" s="202" t="str">
        <f t="shared" si="18"/>
        <v>Tepic (PV)_Optimal Summer_112.5</v>
      </c>
      <c r="B606" s="495" t="s">
        <v>888</v>
      </c>
      <c r="C606" s="495">
        <v>7</v>
      </c>
      <c r="D606" s="495">
        <v>112.5</v>
      </c>
      <c r="E606" s="497">
        <v>4.24</v>
      </c>
      <c r="F606" s="497">
        <v>5.19</v>
      </c>
      <c r="G606" s="497">
        <v>6.11</v>
      </c>
      <c r="H606" s="497">
        <v>6.39</v>
      </c>
      <c r="I606" s="497">
        <v>6.58</v>
      </c>
      <c r="J606" s="497">
        <v>5.78</v>
      </c>
      <c r="K606" s="497">
        <v>5.03</v>
      </c>
      <c r="L606" s="497">
        <v>4.9400000000000004</v>
      </c>
      <c r="M606" s="497">
        <v>4.68</v>
      </c>
      <c r="N606" s="497">
        <v>4.9400000000000004</v>
      </c>
      <c r="O606" s="497">
        <v>4.76</v>
      </c>
      <c r="P606" s="497">
        <v>4.0599999999999996</v>
      </c>
      <c r="Q606" s="202">
        <f t="shared" si="19"/>
        <v>5.2249999999999996</v>
      </c>
      <c r="R606" s="202" t="s">
        <v>984</v>
      </c>
    </row>
    <row r="607" spans="1:18" x14ac:dyDescent="0.15">
      <c r="A607" s="202" t="str">
        <f t="shared" si="18"/>
        <v>Tepic (PV)_Optimal Summer_135</v>
      </c>
      <c r="B607" s="495" t="s">
        <v>888</v>
      </c>
      <c r="C607" s="495">
        <v>7</v>
      </c>
      <c r="D607" s="495">
        <v>135</v>
      </c>
      <c r="E607" s="497">
        <v>4.5999999999999996</v>
      </c>
      <c r="F607" s="497">
        <v>5.63</v>
      </c>
      <c r="G607" s="497">
        <v>6.63</v>
      </c>
      <c r="H607" s="497">
        <v>6.94</v>
      </c>
      <c r="I607" s="497">
        <v>7.14</v>
      </c>
      <c r="J607" s="497">
        <v>6.28</v>
      </c>
      <c r="K607" s="497">
        <v>5.46</v>
      </c>
      <c r="L607" s="497">
        <v>5.36</v>
      </c>
      <c r="M607" s="497">
        <v>5.08</v>
      </c>
      <c r="N607" s="497">
        <v>5.36</v>
      </c>
      <c r="O607" s="497">
        <v>5.17</v>
      </c>
      <c r="P607" s="497">
        <v>4.41</v>
      </c>
      <c r="Q607" s="202">
        <f t="shared" si="19"/>
        <v>5.6716666666666669</v>
      </c>
      <c r="R607" s="202" t="s">
        <v>984</v>
      </c>
    </row>
    <row r="608" spans="1:18" x14ac:dyDescent="0.15">
      <c r="A608" s="202" t="str">
        <f t="shared" si="18"/>
        <v>Tepic (PV)_Optimal Summer_157.5</v>
      </c>
      <c r="B608" s="495" t="s">
        <v>888</v>
      </c>
      <c r="C608" s="495">
        <v>7</v>
      </c>
      <c r="D608" s="495">
        <v>157.5</v>
      </c>
      <c r="E608" s="497">
        <v>4.72</v>
      </c>
      <c r="F608" s="497">
        <v>5.78</v>
      </c>
      <c r="G608" s="497">
        <v>6.81</v>
      </c>
      <c r="H608" s="497">
        <v>7.12</v>
      </c>
      <c r="I608" s="497">
        <v>7.33</v>
      </c>
      <c r="J608" s="497">
        <v>6.44</v>
      </c>
      <c r="K608" s="497">
        <v>5.61</v>
      </c>
      <c r="L608" s="497">
        <v>5.5</v>
      </c>
      <c r="M608" s="497">
        <v>5.22</v>
      </c>
      <c r="N608" s="497">
        <v>5.5</v>
      </c>
      <c r="O608" s="497">
        <v>5.3</v>
      </c>
      <c r="P608" s="497">
        <v>4.5199999999999996</v>
      </c>
      <c r="Q608" s="202">
        <f t="shared" si="19"/>
        <v>5.8208333333333329</v>
      </c>
      <c r="R608" s="202" t="s">
        <v>984</v>
      </c>
    </row>
    <row r="609" spans="1:18" x14ac:dyDescent="0.15">
      <c r="A609" s="202" t="str">
        <f t="shared" si="18"/>
        <v>Tepic (PV)_Optimal Summer_180</v>
      </c>
      <c r="B609" s="495" t="s">
        <v>888</v>
      </c>
      <c r="C609" s="495">
        <v>7</v>
      </c>
      <c r="D609" s="495">
        <v>180</v>
      </c>
      <c r="E609" s="497">
        <v>4.84</v>
      </c>
      <c r="F609" s="497">
        <v>5.93</v>
      </c>
      <c r="G609" s="497">
        <v>6.98</v>
      </c>
      <c r="H609" s="497">
        <v>7.3</v>
      </c>
      <c r="I609" s="497">
        <v>7.52</v>
      </c>
      <c r="J609" s="497">
        <v>6.61</v>
      </c>
      <c r="K609" s="497">
        <v>5.75</v>
      </c>
      <c r="L609" s="497">
        <v>5.64</v>
      </c>
      <c r="M609" s="497">
        <v>5.35</v>
      </c>
      <c r="N609" s="497">
        <v>5.64</v>
      </c>
      <c r="O609" s="497">
        <v>5.44</v>
      </c>
      <c r="P609" s="497">
        <v>4.6399999999999997</v>
      </c>
      <c r="Q609" s="202">
        <f t="shared" si="19"/>
        <v>5.97</v>
      </c>
      <c r="R609" s="202" t="s">
        <v>984</v>
      </c>
    </row>
    <row r="610" spans="1:18" x14ac:dyDescent="0.15">
      <c r="A610" s="202" t="str">
        <f t="shared" si="18"/>
        <v>Tepic (PV)_Optimal Summer_202.5</v>
      </c>
      <c r="B610" s="495" t="s">
        <v>888</v>
      </c>
      <c r="C610" s="495">
        <v>7</v>
      </c>
      <c r="D610" s="495">
        <v>202.5</v>
      </c>
      <c r="E610" s="497">
        <v>4.72</v>
      </c>
      <c r="F610" s="497">
        <v>5.78</v>
      </c>
      <c r="G610" s="497">
        <v>6.81</v>
      </c>
      <c r="H610" s="497">
        <v>7.12</v>
      </c>
      <c r="I610" s="497">
        <v>7.33</v>
      </c>
      <c r="J610" s="497">
        <v>6.44</v>
      </c>
      <c r="K610" s="497">
        <v>5.61</v>
      </c>
      <c r="L610" s="497">
        <v>5.5</v>
      </c>
      <c r="M610" s="497">
        <v>5.22</v>
      </c>
      <c r="N610" s="497">
        <v>5.5</v>
      </c>
      <c r="O610" s="497">
        <v>5.3</v>
      </c>
      <c r="P610" s="497">
        <v>4.5199999999999996</v>
      </c>
      <c r="Q610" s="202">
        <f t="shared" si="19"/>
        <v>5.8208333333333329</v>
      </c>
      <c r="R610" s="202" t="s">
        <v>984</v>
      </c>
    </row>
    <row r="611" spans="1:18" x14ac:dyDescent="0.15">
      <c r="A611" s="202" t="str">
        <f t="shared" si="18"/>
        <v>Tepic (PV)_Optimal Summer_225</v>
      </c>
      <c r="B611" s="495" t="s">
        <v>888</v>
      </c>
      <c r="C611" s="495">
        <v>7</v>
      </c>
      <c r="D611" s="495">
        <v>225</v>
      </c>
      <c r="E611" s="495">
        <v>4.5999999999999996</v>
      </c>
      <c r="F611" s="495">
        <v>5.63</v>
      </c>
      <c r="G611" s="495">
        <v>6.63</v>
      </c>
      <c r="H611" s="495">
        <v>6.94</v>
      </c>
      <c r="I611" s="495">
        <v>7.14</v>
      </c>
      <c r="J611" s="495">
        <v>6.28</v>
      </c>
      <c r="K611" s="495">
        <v>5.46</v>
      </c>
      <c r="L611" s="495">
        <v>5.36</v>
      </c>
      <c r="M611" s="495">
        <v>5.08</v>
      </c>
      <c r="N611" s="495">
        <v>5.36</v>
      </c>
      <c r="O611" s="495">
        <v>5.17</v>
      </c>
      <c r="P611" s="495">
        <v>4.41</v>
      </c>
      <c r="Q611" s="202">
        <f t="shared" si="19"/>
        <v>5.6716666666666669</v>
      </c>
      <c r="R611" s="202" t="s">
        <v>984</v>
      </c>
    </row>
    <row r="612" spans="1:18" x14ac:dyDescent="0.15">
      <c r="A612" s="202" t="str">
        <f t="shared" si="18"/>
        <v>Tepic (PV)_Optimal Summer_247.5</v>
      </c>
      <c r="B612" s="495" t="s">
        <v>888</v>
      </c>
      <c r="C612" s="495">
        <v>7</v>
      </c>
      <c r="D612" s="495">
        <v>247.5</v>
      </c>
      <c r="E612" s="495">
        <v>4.24</v>
      </c>
      <c r="F612" s="495">
        <v>5.19</v>
      </c>
      <c r="G612" s="495">
        <v>6.11</v>
      </c>
      <c r="H612" s="495">
        <v>6.39</v>
      </c>
      <c r="I612" s="495">
        <v>6.58</v>
      </c>
      <c r="J612" s="495">
        <v>5.78</v>
      </c>
      <c r="K612" s="495">
        <v>5.03</v>
      </c>
      <c r="L612" s="495">
        <v>4.9400000000000004</v>
      </c>
      <c r="M612" s="495">
        <v>4.68</v>
      </c>
      <c r="N612" s="495">
        <v>4.9400000000000004</v>
      </c>
      <c r="O612" s="495">
        <v>4.76</v>
      </c>
      <c r="P612" s="495">
        <v>4.0599999999999996</v>
      </c>
      <c r="Q612" s="202">
        <f t="shared" si="19"/>
        <v>5.2249999999999996</v>
      </c>
      <c r="R612" s="202" t="s">
        <v>984</v>
      </c>
    </row>
    <row r="613" spans="1:18" x14ac:dyDescent="0.15">
      <c r="A613" s="202" t="str">
        <f t="shared" si="18"/>
        <v>Tepic (PV)_Optimal Summer_270</v>
      </c>
      <c r="B613" s="495" t="s">
        <v>888</v>
      </c>
      <c r="C613" s="495">
        <v>7</v>
      </c>
      <c r="D613" s="495">
        <v>270</v>
      </c>
      <c r="E613" s="495">
        <v>3.87</v>
      </c>
      <c r="F613" s="495">
        <v>4.74</v>
      </c>
      <c r="G613" s="495">
        <v>5.58</v>
      </c>
      <c r="H613" s="495">
        <v>5.84</v>
      </c>
      <c r="I613" s="495">
        <v>6.02</v>
      </c>
      <c r="J613" s="495">
        <v>5.29</v>
      </c>
      <c r="K613" s="495">
        <v>4.5999999999999996</v>
      </c>
      <c r="L613" s="495">
        <v>4.51</v>
      </c>
      <c r="M613" s="495">
        <v>4.28</v>
      </c>
      <c r="N613" s="495">
        <v>4.51</v>
      </c>
      <c r="O613" s="495">
        <v>4.3499999999999996</v>
      </c>
      <c r="P613" s="495">
        <v>3.71</v>
      </c>
      <c r="Q613" s="202">
        <f t="shared" si="19"/>
        <v>4.7749999999999995</v>
      </c>
      <c r="R613" s="202" t="s">
        <v>984</v>
      </c>
    </row>
    <row r="614" spans="1:18" x14ac:dyDescent="0.15">
      <c r="A614" s="202" t="str">
        <f t="shared" si="18"/>
        <v>Tepic (PV)_Optimal Year Round_90</v>
      </c>
      <c r="B614" s="495" t="s">
        <v>888</v>
      </c>
      <c r="C614" s="495">
        <v>22</v>
      </c>
      <c r="D614" s="495">
        <v>90</v>
      </c>
      <c r="E614" s="497">
        <v>4.45</v>
      </c>
      <c r="F614" s="497">
        <v>5.25</v>
      </c>
      <c r="G614" s="497">
        <v>5.83</v>
      </c>
      <c r="H614" s="497">
        <v>5.74</v>
      </c>
      <c r="I614" s="497">
        <v>5.59</v>
      </c>
      <c r="J614" s="497">
        <v>5.23</v>
      </c>
      <c r="K614" s="497">
        <v>4.3</v>
      </c>
      <c r="L614" s="497">
        <v>4.3600000000000003</v>
      </c>
      <c r="M614" s="497">
        <v>4.32</v>
      </c>
      <c r="N614" s="497">
        <v>4.8600000000000003</v>
      </c>
      <c r="O614" s="497">
        <v>5.01</v>
      </c>
      <c r="P614" s="497">
        <v>4.32</v>
      </c>
      <c r="Q614" s="202">
        <f t="shared" si="19"/>
        <v>4.9383333333333335</v>
      </c>
      <c r="R614" s="202" t="s">
        <v>1019</v>
      </c>
    </row>
    <row r="615" spans="1:18" x14ac:dyDescent="0.15">
      <c r="A615" s="202" t="str">
        <f t="shared" si="18"/>
        <v>Tepic (PV)_Optimal Year Round_112.5</v>
      </c>
      <c r="B615" s="495" t="s">
        <v>888</v>
      </c>
      <c r="C615" s="495">
        <v>22</v>
      </c>
      <c r="D615" s="495">
        <v>112.5</v>
      </c>
      <c r="E615" s="497">
        <v>4.8600000000000003</v>
      </c>
      <c r="F615" s="497">
        <v>5.74</v>
      </c>
      <c r="G615" s="497">
        <v>6.38</v>
      </c>
      <c r="H615" s="497">
        <v>6.27</v>
      </c>
      <c r="I615" s="497">
        <v>6.12</v>
      </c>
      <c r="J615" s="497">
        <v>5.72</v>
      </c>
      <c r="K615" s="497">
        <v>4.7</v>
      </c>
      <c r="L615" s="497">
        <v>4.7699999999999996</v>
      </c>
      <c r="M615" s="497">
        <v>4.72</v>
      </c>
      <c r="N615" s="497">
        <v>5.31</v>
      </c>
      <c r="O615" s="497">
        <v>5.48</v>
      </c>
      <c r="P615" s="497">
        <v>4.72</v>
      </c>
      <c r="Q615" s="202">
        <f t="shared" si="19"/>
        <v>5.3991666666666669</v>
      </c>
      <c r="R615" s="202" t="s">
        <v>1019</v>
      </c>
    </row>
    <row r="616" spans="1:18" x14ac:dyDescent="0.15">
      <c r="A616" s="202" t="str">
        <f t="shared" si="18"/>
        <v>Tepic (PV)_Optimal Year Round_135</v>
      </c>
      <c r="B616" s="495" t="s">
        <v>888</v>
      </c>
      <c r="C616" s="495">
        <v>22</v>
      </c>
      <c r="D616" s="495">
        <v>135</v>
      </c>
      <c r="E616" s="497">
        <v>5.28</v>
      </c>
      <c r="F616" s="497">
        <v>6.23</v>
      </c>
      <c r="G616" s="497">
        <v>6.93</v>
      </c>
      <c r="H616" s="497">
        <v>6.81</v>
      </c>
      <c r="I616" s="497">
        <v>6.64</v>
      </c>
      <c r="J616" s="497">
        <v>6.21</v>
      </c>
      <c r="K616" s="497">
        <v>5.0999999999999996</v>
      </c>
      <c r="L616" s="497">
        <v>5.18</v>
      </c>
      <c r="M616" s="497">
        <v>5.13</v>
      </c>
      <c r="N616" s="497">
        <v>5.77</v>
      </c>
      <c r="O616" s="497">
        <v>5.95</v>
      </c>
      <c r="P616" s="497">
        <v>5.13</v>
      </c>
      <c r="Q616" s="202">
        <f t="shared" si="19"/>
        <v>5.8633333333333333</v>
      </c>
      <c r="R616" s="202" t="s">
        <v>1019</v>
      </c>
    </row>
    <row r="617" spans="1:18" x14ac:dyDescent="0.15">
      <c r="A617" s="202" t="str">
        <f t="shared" si="18"/>
        <v>Tepic (PV)_Optimal Year Round_157.5</v>
      </c>
      <c r="B617" s="495" t="s">
        <v>888</v>
      </c>
      <c r="C617" s="495">
        <v>22</v>
      </c>
      <c r="D617" s="495">
        <v>157.5</v>
      </c>
      <c r="E617" s="497">
        <v>5.42</v>
      </c>
      <c r="F617" s="497">
        <v>6.4</v>
      </c>
      <c r="G617" s="497">
        <v>7.11</v>
      </c>
      <c r="H617" s="497">
        <v>6.99</v>
      </c>
      <c r="I617" s="497">
        <v>6.82</v>
      </c>
      <c r="J617" s="497">
        <v>6.38</v>
      </c>
      <c r="K617" s="497">
        <v>5.24</v>
      </c>
      <c r="L617" s="497">
        <v>5.31</v>
      </c>
      <c r="M617" s="497">
        <v>5.26</v>
      </c>
      <c r="N617" s="497">
        <v>5.92</v>
      </c>
      <c r="O617" s="497">
        <v>6.1</v>
      </c>
      <c r="P617" s="497">
        <v>5.26</v>
      </c>
      <c r="Q617" s="202">
        <f t="shared" si="19"/>
        <v>6.017500000000001</v>
      </c>
      <c r="R617" s="202" t="s">
        <v>1019</v>
      </c>
    </row>
    <row r="618" spans="1:18" x14ac:dyDescent="0.15">
      <c r="A618" s="202" t="str">
        <f t="shared" si="18"/>
        <v>Tepic (PV)_Optimal Year Round_180</v>
      </c>
      <c r="B618" s="495" t="s">
        <v>888</v>
      </c>
      <c r="C618" s="495">
        <v>22</v>
      </c>
      <c r="D618" s="495">
        <v>180</v>
      </c>
      <c r="E618" s="497">
        <v>5.56</v>
      </c>
      <c r="F618" s="497">
        <v>6.56</v>
      </c>
      <c r="G618" s="497">
        <v>7.29</v>
      </c>
      <c r="H618" s="497">
        <v>7.17</v>
      </c>
      <c r="I618" s="497">
        <v>6.99</v>
      </c>
      <c r="J618" s="497">
        <v>6.54</v>
      </c>
      <c r="K618" s="497">
        <v>5.37</v>
      </c>
      <c r="L618" s="497">
        <v>5.45</v>
      </c>
      <c r="M618" s="497">
        <v>5.4</v>
      </c>
      <c r="N618" s="497">
        <v>6.07</v>
      </c>
      <c r="O618" s="497">
        <v>6.26</v>
      </c>
      <c r="P618" s="497">
        <v>5.4</v>
      </c>
      <c r="Q618" s="202">
        <f t="shared" si="19"/>
        <v>6.1716666666666669</v>
      </c>
      <c r="R618" s="202" t="s">
        <v>1019</v>
      </c>
    </row>
    <row r="619" spans="1:18" x14ac:dyDescent="0.15">
      <c r="A619" s="202" t="str">
        <f t="shared" si="18"/>
        <v>Tepic (PV)_Optimal Year Round_202.5</v>
      </c>
      <c r="B619" s="495" t="s">
        <v>888</v>
      </c>
      <c r="C619" s="495">
        <v>22</v>
      </c>
      <c r="D619" s="495">
        <v>202.5</v>
      </c>
      <c r="E619" s="497">
        <v>5.42</v>
      </c>
      <c r="F619" s="497">
        <v>6.4</v>
      </c>
      <c r="G619" s="497">
        <v>7.11</v>
      </c>
      <c r="H619" s="497">
        <v>6.99</v>
      </c>
      <c r="I619" s="497">
        <v>6.82</v>
      </c>
      <c r="J619" s="497">
        <v>6.38</v>
      </c>
      <c r="K619" s="497">
        <v>5.24</v>
      </c>
      <c r="L619" s="497">
        <v>5.31</v>
      </c>
      <c r="M619" s="497">
        <v>5.26</v>
      </c>
      <c r="N619" s="497">
        <v>5.92</v>
      </c>
      <c r="O619" s="497">
        <v>6.1</v>
      </c>
      <c r="P619" s="497">
        <v>5.26</v>
      </c>
      <c r="Q619" s="202">
        <f t="shared" si="19"/>
        <v>6.017500000000001</v>
      </c>
      <c r="R619" s="202" t="s">
        <v>1019</v>
      </c>
    </row>
    <row r="620" spans="1:18" x14ac:dyDescent="0.15">
      <c r="A620" s="202" t="str">
        <f t="shared" si="18"/>
        <v>Tepic (PV)_Optimal Year Round_225</v>
      </c>
      <c r="B620" s="495" t="s">
        <v>888</v>
      </c>
      <c r="C620" s="495">
        <v>22</v>
      </c>
      <c r="D620" s="495">
        <v>225</v>
      </c>
      <c r="E620" s="495">
        <v>5.28</v>
      </c>
      <c r="F620" s="495">
        <v>6.23</v>
      </c>
      <c r="G620" s="495">
        <v>6.93</v>
      </c>
      <c r="H620" s="495">
        <v>6.81</v>
      </c>
      <c r="I620" s="495">
        <v>6.64</v>
      </c>
      <c r="J620" s="495">
        <v>6.21</v>
      </c>
      <c r="K620" s="495">
        <v>5.0999999999999996</v>
      </c>
      <c r="L620" s="495">
        <v>5.18</v>
      </c>
      <c r="M620" s="495">
        <v>5.13</v>
      </c>
      <c r="N620" s="495">
        <v>5.77</v>
      </c>
      <c r="O620" s="495">
        <v>5.95</v>
      </c>
      <c r="P620" s="495">
        <v>5.13</v>
      </c>
      <c r="Q620" s="202">
        <f t="shared" si="19"/>
        <v>5.8633333333333333</v>
      </c>
      <c r="R620" s="202" t="s">
        <v>1019</v>
      </c>
    </row>
    <row r="621" spans="1:18" x14ac:dyDescent="0.15">
      <c r="A621" s="202" t="str">
        <f t="shared" si="18"/>
        <v>Tepic (PV)_Optimal Year Round_247.5</v>
      </c>
      <c r="B621" s="495" t="s">
        <v>888</v>
      </c>
      <c r="C621" s="495">
        <v>22</v>
      </c>
      <c r="D621" s="495">
        <v>247.5</v>
      </c>
      <c r="E621" s="495">
        <v>4.8600000000000003</v>
      </c>
      <c r="F621" s="495">
        <v>5.74</v>
      </c>
      <c r="G621" s="495">
        <v>6.38</v>
      </c>
      <c r="H621" s="495">
        <v>6.27</v>
      </c>
      <c r="I621" s="495">
        <v>6.12</v>
      </c>
      <c r="J621" s="495">
        <v>5.72</v>
      </c>
      <c r="K621" s="495">
        <v>4.7</v>
      </c>
      <c r="L621" s="495">
        <v>4.7699999999999996</v>
      </c>
      <c r="M621" s="495">
        <v>4.72</v>
      </c>
      <c r="N621" s="495">
        <v>5.31</v>
      </c>
      <c r="O621" s="495">
        <v>5.48</v>
      </c>
      <c r="P621" s="495">
        <v>4.72</v>
      </c>
      <c r="Q621" s="202">
        <f t="shared" si="19"/>
        <v>5.3991666666666669</v>
      </c>
      <c r="R621" s="202" t="s">
        <v>1019</v>
      </c>
    </row>
    <row r="622" spans="1:18" x14ac:dyDescent="0.15">
      <c r="A622" s="202" t="str">
        <f t="shared" si="18"/>
        <v>Tepic (PV)_Optimal Year Round_270</v>
      </c>
      <c r="B622" s="495" t="s">
        <v>888</v>
      </c>
      <c r="C622" s="495">
        <v>22</v>
      </c>
      <c r="D622" s="495">
        <v>270</v>
      </c>
      <c r="E622" s="495">
        <v>4.45</v>
      </c>
      <c r="F622" s="495">
        <v>5.25</v>
      </c>
      <c r="G622" s="495">
        <v>5.83</v>
      </c>
      <c r="H622" s="495">
        <v>5.74</v>
      </c>
      <c r="I622" s="495">
        <v>5.59</v>
      </c>
      <c r="J622" s="495">
        <v>5.23</v>
      </c>
      <c r="K622" s="495">
        <v>4.3</v>
      </c>
      <c r="L622" s="495">
        <v>4.3600000000000003</v>
      </c>
      <c r="M622" s="495">
        <v>4.32</v>
      </c>
      <c r="N622" s="495">
        <v>4.8600000000000003</v>
      </c>
      <c r="O622" s="495">
        <v>5.01</v>
      </c>
      <c r="P622" s="495">
        <v>4.32</v>
      </c>
      <c r="Q622" s="202">
        <f t="shared" si="19"/>
        <v>4.9383333333333335</v>
      </c>
      <c r="R622" s="202" t="s">
        <v>1019</v>
      </c>
    </row>
    <row r="623" spans="1:18" x14ac:dyDescent="0.15">
      <c r="A623" s="202" t="str">
        <f t="shared" si="18"/>
        <v>Tijuana_Flat Surface_90</v>
      </c>
      <c r="B623" s="495" t="s">
        <v>889</v>
      </c>
      <c r="C623" s="495">
        <v>0</v>
      </c>
      <c r="D623" s="495">
        <v>90</v>
      </c>
      <c r="E623" s="497">
        <v>3.18</v>
      </c>
      <c r="F623" s="497">
        <v>3.99</v>
      </c>
      <c r="G623" s="497">
        <v>5.13</v>
      </c>
      <c r="H623" s="497">
        <v>6.39</v>
      </c>
      <c r="I623" s="497">
        <v>6.88</v>
      </c>
      <c r="J623" s="497">
        <v>7</v>
      </c>
      <c r="K623" s="497">
        <v>6.89</v>
      </c>
      <c r="L623" s="497">
        <v>6.43</v>
      </c>
      <c r="M623" s="497">
        <v>5.47</v>
      </c>
      <c r="N623" s="497">
        <v>4.3600000000000003</v>
      </c>
      <c r="O623" s="497">
        <v>3.45</v>
      </c>
      <c r="P623" s="497">
        <v>2.97</v>
      </c>
      <c r="Q623" s="202">
        <f t="shared" si="19"/>
        <v>5.1783333333333337</v>
      </c>
      <c r="R623" s="202" t="s">
        <v>1020</v>
      </c>
    </row>
    <row r="624" spans="1:18" x14ac:dyDescent="0.15">
      <c r="A624" s="202" t="str">
        <f t="shared" si="18"/>
        <v>Tijuana_Flat Surface_112.5</v>
      </c>
      <c r="B624" s="495" t="s">
        <v>889</v>
      </c>
      <c r="C624" s="495">
        <v>0</v>
      </c>
      <c r="D624" s="495">
        <v>112.5</v>
      </c>
      <c r="E624" s="497">
        <v>3.18</v>
      </c>
      <c r="F624" s="497">
        <v>3.99</v>
      </c>
      <c r="G624" s="497">
        <v>5.13</v>
      </c>
      <c r="H624" s="497">
        <v>6.39</v>
      </c>
      <c r="I624" s="497">
        <v>6.88</v>
      </c>
      <c r="J624" s="497">
        <v>7</v>
      </c>
      <c r="K624" s="497">
        <v>6.89</v>
      </c>
      <c r="L624" s="497">
        <v>6.43</v>
      </c>
      <c r="M624" s="497">
        <v>5.47</v>
      </c>
      <c r="N624" s="497">
        <v>4.3600000000000003</v>
      </c>
      <c r="O624" s="497">
        <v>3.45</v>
      </c>
      <c r="P624" s="497">
        <v>2.97</v>
      </c>
      <c r="Q624" s="202">
        <f t="shared" si="19"/>
        <v>5.1783333333333337</v>
      </c>
      <c r="R624" s="202" t="s">
        <v>1020</v>
      </c>
    </row>
    <row r="625" spans="1:18" x14ac:dyDescent="0.15">
      <c r="A625" s="202" t="str">
        <f t="shared" si="18"/>
        <v>Tijuana_Flat Surface_135</v>
      </c>
      <c r="B625" s="495" t="s">
        <v>889</v>
      </c>
      <c r="C625" s="495">
        <v>0</v>
      </c>
      <c r="D625" s="495">
        <v>135</v>
      </c>
      <c r="E625" s="497">
        <v>3.18</v>
      </c>
      <c r="F625" s="497">
        <v>3.99</v>
      </c>
      <c r="G625" s="497">
        <v>5.13</v>
      </c>
      <c r="H625" s="497">
        <v>6.39</v>
      </c>
      <c r="I625" s="497">
        <v>6.88</v>
      </c>
      <c r="J625" s="497">
        <v>7</v>
      </c>
      <c r="K625" s="497">
        <v>6.89</v>
      </c>
      <c r="L625" s="497">
        <v>6.43</v>
      </c>
      <c r="M625" s="497">
        <v>5.47</v>
      </c>
      <c r="N625" s="497">
        <v>4.3600000000000003</v>
      </c>
      <c r="O625" s="497">
        <v>3.45</v>
      </c>
      <c r="P625" s="497">
        <v>2.97</v>
      </c>
      <c r="Q625" s="202">
        <f t="shared" si="19"/>
        <v>5.1783333333333337</v>
      </c>
      <c r="R625" s="202" t="s">
        <v>1020</v>
      </c>
    </row>
    <row r="626" spans="1:18" x14ac:dyDescent="0.15">
      <c r="A626" s="202" t="str">
        <f t="shared" si="18"/>
        <v>Tijuana_Flat Surface_157.5</v>
      </c>
      <c r="B626" s="495" t="s">
        <v>889</v>
      </c>
      <c r="C626" s="495">
        <v>0</v>
      </c>
      <c r="D626" s="495">
        <v>157.5</v>
      </c>
      <c r="E626" s="497">
        <v>3.18</v>
      </c>
      <c r="F626" s="497">
        <v>3.99</v>
      </c>
      <c r="G626" s="497">
        <v>5.13</v>
      </c>
      <c r="H626" s="497">
        <v>6.39</v>
      </c>
      <c r="I626" s="497">
        <v>6.88</v>
      </c>
      <c r="J626" s="497">
        <v>7</v>
      </c>
      <c r="K626" s="497">
        <v>6.89</v>
      </c>
      <c r="L626" s="497">
        <v>6.43</v>
      </c>
      <c r="M626" s="497">
        <v>5.47</v>
      </c>
      <c r="N626" s="497">
        <v>4.3600000000000003</v>
      </c>
      <c r="O626" s="497">
        <v>3.45</v>
      </c>
      <c r="P626" s="497">
        <v>2.97</v>
      </c>
      <c r="Q626" s="202">
        <f t="shared" si="19"/>
        <v>5.1783333333333337</v>
      </c>
      <c r="R626" s="202" t="s">
        <v>1020</v>
      </c>
    </row>
    <row r="627" spans="1:18" x14ac:dyDescent="0.15">
      <c r="A627" s="202" t="str">
        <f t="shared" si="18"/>
        <v>Tijuana_Flat Surface_180</v>
      </c>
      <c r="B627" s="495" t="s">
        <v>889</v>
      </c>
      <c r="C627" s="495">
        <v>0</v>
      </c>
      <c r="D627" s="495">
        <v>180</v>
      </c>
      <c r="E627" s="497">
        <v>3.18</v>
      </c>
      <c r="F627" s="497">
        <v>3.99</v>
      </c>
      <c r="G627" s="497">
        <v>5.13</v>
      </c>
      <c r="H627" s="497">
        <v>6.39</v>
      </c>
      <c r="I627" s="497">
        <v>6.88</v>
      </c>
      <c r="J627" s="497">
        <v>7</v>
      </c>
      <c r="K627" s="497">
        <v>6.89</v>
      </c>
      <c r="L627" s="497">
        <v>6.43</v>
      </c>
      <c r="M627" s="497">
        <v>5.47</v>
      </c>
      <c r="N627" s="497">
        <v>4.3600000000000003</v>
      </c>
      <c r="O627" s="497">
        <v>3.45</v>
      </c>
      <c r="P627" s="497">
        <v>2.97</v>
      </c>
      <c r="Q627" s="202">
        <f t="shared" si="19"/>
        <v>5.1783333333333337</v>
      </c>
      <c r="R627" s="202" t="s">
        <v>1020</v>
      </c>
    </row>
    <row r="628" spans="1:18" x14ac:dyDescent="0.15">
      <c r="A628" s="202" t="str">
        <f t="shared" si="18"/>
        <v>Tijuana_Flat Surface_202.5</v>
      </c>
      <c r="B628" s="495" t="s">
        <v>889</v>
      </c>
      <c r="C628" s="495">
        <v>0</v>
      </c>
      <c r="D628" s="495">
        <v>202.5</v>
      </c>
      <c r="E628" s="497">
        <v>3.18</v>
      </c>
      <c r="F628" s="497">
        <v>3.99</v>
      </c>
      <c r="G628" s="497">
        <v>5.13</v>
      </c>
      <c r="H628" s="497">
        <v>6.39</v>
      </c>
      <c r="I628" s="497">
        <v>6.88</v>
      </c>
      <c r="J628" s="497">
        <v>7</v>
      </c>
      <c r="K628" s="497">
        <v>6.89</v>
      </c>
      <c r="L628" s="497">
        <v>6.43</v>
      </c>
      <c r="M628" s="497">
        <v>5.47</v>
      </c>
      <c r="N628" s="497">
        <v>4.3600000000000003</v>
      </c>
      <c r="O628" s="497">
        <v>3.45</v>
      </c>
      <c r="P628" s="497">
        <v>2.97</v>
      </c>
      <c r="Q628" s="202">
        <f t="shared" si="19"/>
        <v>5.1783333333333337</v>
      </c>
      <c r="R628" s="202" t="s">
        <v>1020</v>
      </c>
    </row>
    <row r="629" spans="1:18" x14ac:dyDescent="0.15">
      <c r="A629" s="202" t="str">
        <f t="shared" si="18"/>
        <v>Tijuana_Flat Surface_225</v>
      </c>
      <c r="B629" s="495" t="s">
        <v>889</v>
      </c>
      <c r="C629" s="495">
        <v>0</v>
      </c>
      <c r="D629" s="495">
        <v>225</v>
      </c>
      <c r="E629" s="497">
        <v>3.18</v>
      </c>
      <c r="F629" s="497">
        <v>3.99</v>
      </c>
      <c r="G629" s="497">
        <v>5.13</v>
      </c>
      <c r="H629" s="497">
        <v>6.39</v>
      </c>
      <c r="I629" s="497">
        <v>6.88</v>
      </c>
      <c r="J629" s="497">
        <v>7</v>
      </c>
      <c r="K629" s="497">
        <v>6.89</v>
      </c>
      <c r="L629" s="497">
        <v>6.43</v>
      </c>
      <c r="M629" s="497">
        <v>5.47</v>
      </c>
      <c r="N629" s="497">
        <v>4.3600000000000003</v>
      </c>
      <c r="O629" s="497">
        <v>3.45</v>
      </c>
      <c r="P629" s="497">
        <v>2.97</v>
      </c>
      <c r="Q629" s="202">
        <f t="shared" si="19"/>
        <v>5.1783333333333337</v>
      </c>
      <c r="R629" s="202" t="s">
        <v>1020</v>
      </c>
    </row>
    <row r="630" spans="1:18" x14ac:dyDescent="0.15">
      <c r="A630" s="202" t="str">
        <f t="shared" si="18"/>
        <v>Tijuana_Flat Surface_247.5</v>
      </c>
      <c r="B630" s="495" t="s">
        <v>889</v>
      </c>
      <c r="C630" s="495">
        <v>0</v>
      </c>
      <c r="D630" s="495">
        <v>247.5</v>
      </c>
      <c r="E630" s="497">
        <v>3.18</v>
      </c>
      <c r="F630" s="497">
        <v>3.99</v>
      </c>
      <c r="G630" s="497">
        <v>5.13</v>
      </c>
      <c r="H630" s="497">
        <v>6.39</v>
      </c>
      <c r="I630" s="497">
        <v>6.88</v>
      </c>
      <c r="J630" s="497">
        <v>7</v>
      </c>
      <c r="K630" s="497">
        <v>6.89</v>
      </c>
      <c r="L630" s="497">
        <v>6.43</v>
      </c>
      <c r="M630" s="497">
        <v>5.47</v>
      </c>
      <c r="N630" s="497">
        <v>4.3600000000000003</v>
      </c>
      <c r="O630" s="497">
        <v>3.45</v>
      </c>
      <c r="P630" s="497">
        <v>2.97</v>
      </c>
      <c r="Q630" s="202">
        <f t="shared" si="19"/>
        <v>5.1783333333333337</v>
      </c>
      <c r="R630" s="202" t="s">
        <v>1020</v>
      </c>
    </row>
    <row r="631" spans="1:18" x14ac:dyDescent="0.15">
      <c r="A631" s="202" t="str">
        <f t="shared" si="18"/>
        <v>Tijuana_Flat Surface_270</v>
      </c>
      <c r="B631" s="495" t="s">
        <v>889</v>
      </c>
      <c r="C631" s="495">
        <v>0</v>
      </c>
      <c r="D631" s="495">
        <v>270</v>
      </c>
      <c r="E631" s="497">
        <v>3.18</v>
      </c>
      <c r="F631" s="497">
        <v>3.99</v>
      </c>
      <c r="G631" s="497">
        <v>5.13</v>
      </c>
      <c r="H631" s="497">
        <v>6.39</v>
      </c>
      <c r="I631" s="497">
        <v>6.88</v>
      </c>
      <c r="J631" s="497">
        <v>7</v>
      </c>
      <c r="K631" s="497">
        <v>6.89</v>
      </c>
      <c r="L631" s="497">
        <v>6.43</v>
      </c>
      <c r="M631" s="497">
        <v>5.47</v>
      </c>
      <c r="N631" s="497">
        <v>4.3600000000000003</v>
      </c>
      <c r="O631" s="497">
        <v>3.45</v>
      </c>
      <c r="P631" s="497">
        <v>2.97</v>
      </c>
      <c r="Q631" s="202">
        <f t="shared" si="19"/>
        <v>5.1783333333333337</v>
      </c>
      <c r="R631" s="202" t="s">
        <v>1020</v>
      </c>
    </row>
    <row r="632" spans="1:18" x14ac:dyDescent="0.15">
      <c r="A632" s="202" t="str">
        <f t="shared" si="18"/>
        <v>Tijuana_Optimal Summer_90</v>
      </c>
      <c r="B632" s="495" t="s">
        <v>889</v>
      </c>
      <c r="C632" s="495">
        <v>17</v>
      </c>
      <c r="D632" s="495">
        <v>90</v>
      </c>
      <c r="E632" s="497">
        <v>3.31</v>
      </c>
      <c r="F632" s="497">
        <v>3.86</v>
      </c>
      <c r="G632" s="497">
        <v>4.58</v>
      </c>
      <c r="H632" s="497">
        <v>5.34</v>
      </c>
      <c r="I632" s="497">
        <v>5.42</v>
      </c>
      <c r="J632" s="497">
        <v>5.4</v>
      </c>
      <c r="K632" s="497">
        <v>5.37</v>
      </c>
      <c r="L632" s="497">
        <v>5.21</v>
      </c>
      <c r="M632" s="497">
        <v>4.74</v>
      </c>
      <c r="N632" s="497">
        <v>4.0999999999999996</v>
      </c>
      <c r="O632" s="497">
        <v>3.53</v>
      </c>
      <c r="P632" s="497">
        <v>3.18</v>
      </c>
      <c r="Q632" s="202">
        <f t="shared" si="19"/>
        <v>4.503333333333333</v>
      </c>
      <c r="R632" s="202" t="s">
        <v>984</v>
      </c>
    </row>
    <row r="633" spans="1:18" x14ac:dyDescent="0.15">
      <c r="A633" s="202" t="str">
        <f t="shared" si="18"/>
        <v>Tijuana_Optimal Summer_112.5</v>
      </c>
      <c r="B633" s="495" t="s">
        <v>889</v>
      </c>
      <c r="C633" s="495">
        <v>17</v>
      </c>
      <c r="D633" s="495">
        <v>112.5</v>
      </c>
      <c r="E633" s="497">
        <v>3.62</v>
      </c>
      <c r="F633" s="497">
        <v>4.2300000000000004</v>
      </c>
      <c r="G633" s="497">
        <v>5.01</v>
      </c>
      <c r="H633" s="497">
        <v>5.84</v>
      </c>
      <c r="I633" s="497">
        <v>5.92</v>
      </c>
      <c r="J633" s="497">
        <v>5.91</v>
      </c>
      <c r="K633" s="497">
        <v>5.87</v>
      </c>
      <c r="L633" s="497">
        <v>5.7</v>
      </c>
      <c r="M633" s="497">
        <v>5.19</v>
      </c>
      <c r="N633" s="497">
        <v>4.49</v>
      </c>
      <c r="O633" s="497">
        <v>3.86</v>
      </c>
      <c r="P633" s="497">
        <v>3.47</v>
      </c>
      <c r="Q633" s="202">
        <f t="shared" si="19"/>
        <v>4.9258333333333333</v>
      </c>
      <c r="R633" s="202" t="s">
        <v>984</v>
      </c>
    </row>
    <row r="634" spans="1:18" x14ac:dyDescent="0.15">
      <c r="A634" s="202" t="str">
        <f t="shared" si="18"/>
        <v>Tijuana_Optimal Summer_135</v>
      </c>
      <c r="B634" s="495" t="s">
        <v>889</v>
      </c>
      <c r="C634" s="495">
        <v>17</v>
      </c>
      <c r="D634" s="495">
        <v>135</v>
      </c>
      <c r="E634" s="497">
        <v>3.93</v>
      </c>
      <c r="F634" s="497">
        <v>4.59</v>
      </c>
      <c r="G634" s="497">
        <v>5.44</v>
      </c>
      <c r="H634" s="497">
        <v>6.34</v>
      </c>
      <c r="I634" s="497">
        <v>6.43</v>
      </c>
      <c r="J634" s="497">
        <v>6.41</v>
      </c>
      <c r="K634" s="497">
        <v>6.37</v>
      </c>
      <c r="L634" s="497">
        <v>6.18</v>
      </c>
      <c r="M634" s="497">
        <v>5.63</v>
      </c>
      <c r="N634" s="497">
        <v>4.87</v>
      </c>
      <c r="O634" s="497">
        <v>4.1900000000000004</v>
      </c>
      <c r="P634" s="497">
        <v>3.77</v>
      </c>
      <c r="Q634" s="202">
        <f t="shared" si="19"/>
        <v>5.3458333333333323</v>
      </c>
      <c r="R634" s="202" t="s">
        <v>984</v>
      </c>
    </row>
    <row r="635" spans="1:18" x14ac:dyDescent="0.15">
      <c r="A635" s="202" t="str">
        <f t="shared" si="18"/>
        <v>Tijuana_Optimal Summer_157.5</v>
      </c>
      <c r="B635" s="495" t="s">
        <v>889</v>
      </c>
      <c r="C635" s="495">
        <v>17</v>
      </c>
      <c r="D635" s="495">
        <v>157.5</v>
      </c>
      <c r="E635" s="497">
        <v>4.04</v>
      </c>
      <c r="F635" s="497">
        <v>4.71</v>
      </c>
      <c r="G635" s="497">
        <v>5.59</v>
      </c>
      <c r="H635" s="497">
        <v>6.5</v>
      </c>
      <c r="I635" s="497">
        <v>6.6</v>
      </c>
      <c r="J635" s="497">
        <v>6.58</v>
      </c>
      <c r="K635" s="497">
        <v>6.54</v>
      </c>
      <c r="L635" s="497">
        <v>6.35</v>
      </c>
      <c r="M635" s="497">
        <v>5.78</v>
      </c>
      <c r="N635" s="497">
        <v>5</v>
      </c>
      <c r="O635" s="497">
        <v>4.3</v>
      </c>
      <c r="P635" s="497">
        <v>3.87</v>
      </c>
      <c r="Q635" s="202">
        <f t="shared" si="19"/>
        <v>5.4883333333333333</v>
      </c>
      <c r="R635" s="202" t="s">
        <v>984</v>
      </c>
    </row>
    <row r="636" spans="1:18" x14ac:dyDescent="0.15">
      <c r="A636" s="202" t="str">
        <f t="shared" si="18"/>
        <v>Tijuana_Optimal Summer_180</v>
      </c>
      <c r="B636" s="495" t="s">
        <v>889</v>
      </c>
      <c r="C636" s="495">
        <v>17</v>
      </c>
      <c r="D636" s="495">
        <v>180</v>
      </c>
      <c r="E636" s="497">
        <v>4.1399999999999997</v>
      </c>
      <c r="F636" s="497">
        <v>4.83</v>
      </c>
      <c r="G636" s="497">
        <v>5.73</v>
      </c>
      <c r="H636" s="497">
        <v>6.67</v>
      </c>
      <c r="I636" s="497">
        <v>6.77</v>
      </c>
      <c r="J636" s="497">
        <v>6.75</v>
      </c>
      <c r="K636" s="497">
        <v>6.71</v>
      </c>
      <c r="L636" s="497">
        <v>6.51</v>
      </c>
      <c r="M636" s="497">
        <v>5.93</v>
      </c>
      <c r="N636" s="497">
        <v>5.13</v>
      </c>
      <c r="O636" s="497">
        <v>4.41</v>
      </c>
      <c r="P636" s="497">
        <v>3.97</v>
      </c>
      <c r="Q636" s="202">
        <f t="shared" si="19"/>
        <v>5.6291666666666664</v>
      </c>
      <c r="R636" s="202" t="s">
        <v>984</v>
      </c>
    </row>
    <row r="637" spans="1:18" x14ac:dyDescent="0.15">
      <c r="A637" s="202" t="str">
        <f t="shared" si="18"/>
        <v>Tijuana_Optimal Summer_202.5</v>
      </c>
      <c r="B637" s="495" t="s">
        <v>889</v>
      </c>
      <c r="C637" s="495">
        <v>17</v>
      </c>
      <c r="D637" s="495">
        <v>202.5</v>
      </c>
      <c r="E637" s="497">
        <v>4.04</v>
      </c>
      <c r="F637" s="497">
        <v>4.71</v>
      </c>
      <c r="G637" s="497">
        <v>5.59</v>
      </c>
      <c r="H637" s="497">
        <v>6.5</v>
      </c>
      <c r="I637" s="497">
        <v>6.6</v>
      </c>
      <c r="J637" s="497">
        <v>6.58</v>
      </c>
      <c r="K637" s="497">
        <v>6.54</v>
      </c>
      <c r="L637" s="497">
        <v>6.35</v>
      </c>
      <c r="M637" s="497">
        <v>5.78</v>
      </c>
      <c r="N637" s="497">
        <v>5</v>
      </c>
      <c r="O637" s="497">
        <v>4.3</v>
      </c>
      <c r="P637" s="497">
        <v>3.87</v>
      </c>
      <c r="Q637" s="202">
        <f t="shared" si="19"/>
        <v>5.4883333333333333</v>
      </c>
      <c r="R637" s="202" t="s">
        <v>984</v>
      </c>
    </row>
    <row r="638" spans="1:18" x14ac:dyDescent="0.15">
      <c r="A638" s="202" t="str">
        <f t="shared" si="18"/>
        <v>Tijuana_Optimal Summer_225</v>
      </c>
      <c r="B638" s="495" t="s">
        <v>889</v>
      </c>
      <c r="C638" s="495">
        <v>17</v>
      </c>
      <c r="D638" s="495">
        <v>225</v>
      </c>
      <c r="E638" s="495">
        <v>3.93</v>
      </c>
      <c r="F638" s="495">
        <v>4.59</v>
      </c>
      <c r="G638" s="495">
        <v>5.44</v>
      </c>
      <c r="H638" s="495">
        <v>6.34</v>
      </c>
      <c r="I638" s="495">
        <v>6.43</v>
      </c>
      <c r="J638" s="495">
        <v>6.41</v>
      </c>
      <c r="K638" s="495">
        <v>6.37</v>
      </c>
      <c r="L638" s="495">
        <v>6.18</v>
      </c>
      <c r="M638" s="495">
        <v>5.63</v>
      </c>
      <c r="N638" s="495">
        <v>4.87</v>
      </c>
      <c r="O638" s="495">
        <v>4.1900000000000004</v>
      </c>
      <c r="P638" s="495">
        <v>3.77</v>
      </c>
      <c r="Q638" s="202">
        <f t="shared" si="19"/>
        <v>5.3458333333333323</v>
      </c>
      <c r="R638" s="202" t="s">
        <v>984</v>
      </c>
    </row>
    <row r="639" spans="1:18" x14ac:dyDescent="0.15">
      <c r="A639" s="202" t="str">
        <f t="shared" si="18"/>
        <v>Tijuana_Optimal Summer_247.5</v>
      </c>
      <c r="B639" s="495" t="s">
        <v>889</v>
      </c>
      <c r="C639" s="495">
        <v>17</v>
      </c>
      <c r="D639" s="495">
        <v>247.5</v>
      </c>
      <c r="E639" s="495">
        <v>3.62</v>
      </c>
      <c r="F639" s="495">
        <v>4.2300000000000004</v>
      </c>
      <c r="G639" s="495">
        <v>5.01</v>
      </c>
      <c r="H639" s="495">
        <v>5.84</v>
      </c>
      <c r="I639" s="495">
        <v>5.92</v>
      </c>
      <c r="J639" s="495">
        <v>5.91</v>
      </c>
      <c r="K639" s="495">
        <v>5.87</v>
      </c>
      <c r="L639" s="495">
        <v>5.7</v>
      </c>
      <c r="M639" s="495">
        <v>5.19</v>
      </c>
      <c r="N639" s="495">
        <v>4.49</v>
      </c>
      <c r="O639" s="495">
        <v>3.86</v>
      </c>
      <c r="P639" s="495">
        <v>3.47</v>
      </c>
      <c r="Q639" s="202">
        <f t="shared" si="19"/>
        <v>4.9258333333333333</v>
      </c>
      <c r="R639" s="202" t="s">
        <v>984</v>
      </c>
    </row>
    <row r="640" spans="1:18" x14ac:dyDescent="0.15">
      <c r="A640" s="202" t="str">
        <f t="shared" si="18"/>
        <v>Tijuana_Optimal Summer_270</v>
      </c>
      <c r="B640" s="495" t="s">
        <v>889</v>
      </c>
      <c r="C640" s="495">
        <v>17</v>
      </c>
      <c r="D640" s="495">
        <v>270</v>
      </c>
      <c r="E640" s="495">
        <v>3.31</v>
      </c>
      <c r="F640" s="495">
        <v>3.86</v>
      </c>
      <c r="G640" s="495">
        <v>4.58</v>
      </c>
      <c r="H640" s="495">
        <v>5.34</v>
      </c>
      <c r="I640" s="495">
        <v>5.42</v>
      </c>
      <c r="J640" s="495">
        <v>5.4</v>
      </c>
      <c r="K640" s="495">
        <v>5.37</v>
      </c>
      <c r="L640" s="495">
        <v>5.21</v>
      </c>
      <c r="M640" s="495">
        <v>4.74</v>
      </c>
      <c r="N640" s="495">
        <v>4.0999999999999996</v>
      </c>
      <c r="O640" s="495">
        <v>3.53</v>
      </c>
      <c r="P640" s="495">
        <v>3.18</v>
      </c>
      <c r="Q640" s="202">
        <f t="shared" si="19"/>
        <v>4.503333333333333</v>
      </c>
      <c r="R640" s="202" t="s">
        <v>984</v>
      </c>
    </row>
    <row r="641" spans="1:18" x14ac:dyDescent="0.15">
      <c r="A641" s="202" t="str">
        <f t="shared" si="18"/>
        <v>Tijuana_Optimal Year Round_90</v>
      </c>
      <c r="B641" s="495" t="s">
        <v>889</v>
      </c>
      <c r="C641" s="495">
        <v>32</v>
      </c>
      <c r="D641" s="495">
        <v>90</v>
      </c>
      <c r="E641" s="497">
        <v>3.79</v>
      </c>
      <c r="F641" s="497">
        <v>4.2300000000000004</v>
      </c>
      <c r="G641" s="497">
        <v>4.75</v>
      </c>
      <c r="H641" s="497">
        <v>5.23</v>
      </c>
      <c r="I641" s="497">
        <v>5.04</v>
      </c>
      <c r="J641" s="497">
        <v>4.93</v>
      </c>
      <c r="K641" s="497">
        <v>4.9400000000000004</v>
      </c>
      <c r="L641" s="497">
        <v>4.9800000000000004</v>
      </c>
      <c r="M641" s="497">
        <v>4.8099999999999996</v>
      </c>
      <c r="N641" s="497">
        <v>4.41</v>
      </c>
      <c r="O641" s="497">
        <v>4</v>
      </c>
      <c r="P641" s="497">
        <v>3.7</v>
      </c>
      <c r="Q641" s="202">
        <f t="shared" si="19"/>
        <v>4.5674999999999999</v>
      </c>
      <c r="R641" s="202" t="s">
        <v>1019</v>
      </c>
    </row>
    <row r="642" spans="1:18" x14ac:dyDescent="0.15">
      <c r="A642" s="202" t="str">
        <f t="shared" ref="A642:A649" si="20">B642&amp;"_"&amp;R642&amp;"_"&amp;D642</f>
        <v>Tijuana_Optimal Year Round_112.5</v>
      </c>
      <c r="B642" s="495" t="s">
        <v>889</v>
      </c>
      <c r="C642" s="495">
        <v>32</v>
      </c>
      <c r="D642" s="495">
        <v>112.5</v>
      </c>
      <c r="E642" s="497">
        <v>4.1500000000000004</v>
      </c>
      <c r="F642" s="497">
        <v>4.63</v>
      </c>
      <c r="G642" s="497">
        <v>5.2</v>
      </c>
      <c r="H642" s="497">
        <v>5.72</v>
      </c>
      <c r="I642" s="497">
        <v>5.51</v>
      </c>
      <c r="J642" s="497">
        <v>5.39</v>
      </c>
      <c r="K642" s="497">
        <v>5.41</v>
      </c>
      <c r="L642" s="497">
        <v>5.44</v>
      </c>
      <c r="M642" s="497">
        <v>5.26</v>
      </c>
      <c r="N642" s="497">
        <v>4.82</v>
      </c>
      <c r="O642" s="497">
        <v>4.38</v>
      </c>
      <c r="P642" s="497">
        <v>4.04</v>
      </c>
      <c r="Q642" s="202">
        <f t="shared" ref="Q642:Q649" si="21">AVERAGE(E642:P642)</f>
        <v>4.9958333333333336</v>
      </c>
      <c r="R642" s="202" t="s">
        <v>1019</v>
      </c>
    </row>
    <row r="643" spans="1:18" x14ac:dyDescent="0.15">
      <c r="A643" s="202" t="str">
        <f t="shared" si="20"/>
        <v>Tijuana_Optimal Year Round_135</v>
      </c>
      <c r="B643" s="495" t="s">
        <v>889</v>
      </c>
      <c r="C643" s="495">
        <v>32</v>
      </c>
      <c r="D643" s="495">
        <v>135</v>
      </c>
      <c r="E643" s="497">
        <v>4.5</v>
      </c>
      <c r="F643" s="497">
        <v>5.03</v>
      </c>
      <c r="G643" s="497">
        <v>5.64</v>
      </c>
      <c r="H643" s="497">
        <v>6.21</v>
      </c>
      <c r="I643" s="497">
        <v>5.98</v>
      </c>
      <c r="J643" s="497">
        <v>5.85</v>
      </c>
      <c r="K643" s="497">
        <v>5.87</v>
      </c>
      <c r="L643" s="497">
        <v>5.91</v>
      </c>
      <c r="M643" s="497">
        <v>5.71</v>
      </c>
      <c r="N643" s="497">
        <v>5.23</v>
      </c>
      <c r="O643" s="497">
        <v>4.75</v>
      </c>
      <c r="P643" s="497">
        <v>4.3899999999999997</v>
      </c>
      <c r="Q643" s="202">
        <f t="shared" si="21"/>
        <v>5.4224999999999994</v>
      </c>
      <c r="R643" s="202" t="s">
        <v>1019</v>
      </c>
    </row>
    <row r="644" spans="1:18" x14ac:dyDescent="0.15">
      <c r="A644" s="202" t="str">
        <f t="shared" si="20"/>
        <v>Tijuana_Optimal Year Round_157.5</v>
      </c>
      <c r="B644" s="495" t="s">
        <v>889</v>
      </c>
      <c r="C644" s="495">
        <v>32</v>
      </c>
      <c r="D644" s="495">
        <v>157.5</v>
      </c>
      <c r="E644" s="497">
        <v>4.62</v>
      </c>
      <c r="F644" s="497">
        <v>5.16</v>
      </c>
      <c r="G644" s="497">
        <v>5.79</v>
      </c>
      <c r="H644" s="497">
        <v>6.38</v>
      </c>
      <c r="I644" s="497">
        <v>6.14</v>
      </c>
      <c r="J644" s="497">
        <v>6.01</v>
      </c>
      <c r="K644" s="497">
        <v>6.03</v>
      </c>
      <c r="L644" s="497">
        <v>6.06</v>
      </c>
      <c r="M644" s="497">
        <v>5.86</v>
      </c>
      <c r="N644" s="497">
        <v>5.37</v>
      </c>
      <c r="O644" s="497">
        <v>4.88</v>
      </c>
      <c r="P644" s="497">
        <v>4.5</v>
      </c>
      <c r="Q644" s="202">
        <f t="shared" si="21"/>
        <v>5.5666666666666673</v>
      </c>
      <c r="R644" s="202" t="s">
        <v>1019</v>
      </c>
    </row>
    <row r="645" spans="1:18" x14ac:dyDescent="0.15">
      <c r="A645" s="202" t="str">
        <f t="shared" si="20"/>
        <v>Tijuana_Optimal Year Round_180</v>
      </c>
      <c r="B645" s="495" t="s">
        <v>889</v>
      </c>
      <c r="C645" s="495">
        <v>32</v>
      </c>
      <c r="D645" s="495">
        <v>180</v>
      </c>
      <c r="E645" s="497">
        <v>4.74</v>
      </c>
      <c r="F645" s="497">
        <v>5.29</v>
      </c>
      <c r="G645" s="497">
        <v>5.94</v>
      </c>
      <c r="H645" s="497">
        <v>6.54</v>
      </c>
      <c r="I645" s="497">
        <v>6.3</v>
      </c>
      <c r="J645" s="497">
        <v>6.16</v>
      </c>
      <c r="K645" s="497">
        <v>6.18</v>
      </c>
      <c r="L645" s="497">
        <v>6.22</v>
      </c>
      <c r="M645" s="497">
        <v>6.01</v>
      </c>
      <c r="N645" s="497">
        <v>5.51</v>
      </c>
      <c r="O645" s="497">
        <v>5</v>
      </c>
      <c r="P645" s="497">
        <v>4.62</v>
      </c>
      <c r="Q645" s="202">
        <f t="shared" si="21"/>
        <v>5.7091666666666656</v>
      </c>
      <c r="R645" s="202" t="s">
        <v>1019</v>
      </c>
    </row>
    <row r="646" spans="1:18" x14ac:dyDescent="0.15">
      <c r="A646" s="202" t="str">
        <f t="shared" si="20"/>
        <v>Tijuana_Optimal Year Round_202.5</v>
      </c>
      <c r="B646" s="495" t="s">
        <v>889</v>
      </c>
      <c r="C646" s="495">
        <v>32</v>
      </c>
      <c r="D646" s="495">
        <v>202.5</v>
      </c>
      <c r="E646" s="497">
        <v>4.62</v>
      </c>
      <c r="F646" s="497">
        <v>5.16</v>
      </c>
      <c r="G646" s="497">
        <v>5.79</v>
      </c>
      <c r="H646" s="497">
        <v>6.38</v>
      </c>
      <c r="I646" s="497">
        <v>6.14</v>
      </c>
      <c r="J646" s="497">
        <v>6.01</v>
      </c>
      <c r="K646" s="497">
        <v>6.03</v>
      </c>
      <c r="L646" s="497">
        <v>6.06</v>
      </c>
      <c r="M646" s="497">
        <v>5.86</v>
      </c>
      <c r="N646" s="497">
        <v>5.37</v>
      </c>
      <c r="O646" s="497">
        <v>4.88</v>
      </c>
      <c r="P646" s="497">
        <v>4.5</v>
      </c>
      <c r="Q646" s="202">
        <f t="shared" si="21"/>
        <v>5.5666666666666673</v>
      </c>
      <c r="R646" s="202" t="s">
        <v>1019</v>
      </c>
    </row>
    <row r="647" spans="1:18" x14ac:dyDescent="0.15">
      <c r="A647" s="202" t="str">
        <f t="shared" si="20"/>
        <v>Tijuana_Optimal Year Round_225</v>
      </c>
      <c r="B647" s="495" t="s">
        <v>889</v>
      </c>
      <c r="C647" s="495">
        <v>32</v>
      </c>
      <c r="D647" s="495">
        <v>225</v>
      </c>
      <c r="E647" s="495">
        <v>4.5</v>
      </c>
      <c r="F647" s="495">
        <v>5.03</v>
      </c>
      <c r="G647" s="495">
        <v>5.64</v>
      </c>
      <c r="H647" s="495">
        <v>6.21</v>
      </c>
      <c r="I647" s="495">
        <v>5.98</v>
      </c>
      <c r="J647" s="495">
        <v>5.85</v>
      </c>
      <c r="K647" s="495">
        <v>5.87</v>
      </c>
      <c r="L647" s="495">
        <v>5.91</v>
      </c>
      <c r="M647" s="495">
        <v>5.71</v>
      </c>
      <c r="N647" s="495">
        <v>5.23</v>
      </c>
      <c r="O647" s="495">
        <v>4.75</v>
      </c>
      <c r="P647" s="495">
        <v>4.3899999999999997</v>
      </c>
      <c r="Q647" s="202">
        <f t="shared" si="21"/>
        <v>5.4224999999999994</v>
      </c>
      <c r="R647" s="202" t="s">
        <v>1019</v>
      </c>
    </row>
    <row r="648" spans="1:18" x14ac:dyDescent="0.15">
      <c r="A648" s="202" t="str">
        <f t="shared" si="20"/>
        <v>Tijuana_Optimal Year Round_247.5</v>
      </c>
      <c r="B648" s="495" t="s">
        <v>889</v>
      </c>
      <c r="C648" s="495">
        <v>32</v>
      </c>
      <c r="D648" s="495">
        <v>247.5</v>
      </c>
      <c r="E648" s="495">
        <v>4.1500000000000004</v>
      </c>
      <c r="F648" s="495">
        <v>4.63</v>
      </c>
      <c r="G648" s="495">
        <v>5.2</v>
      </c>
      <c r="H648" s="495">
        <v>5.72</v>
      </c>
      <c r="I648" s="495">
        <v>5.51</v>
      </c>
      <c r="J648" s="495">
        <v>5.39</v>
      </c>
      <c r="K648" s="495">
        <v>5.41</v>
      </c>
      <c r="L648" s="495">
        <v>5.44</v>
      </c>
      <c r="M648" s="495">
        <v>5.26</v>
      </c>
      <c r="N648" s="495">
        <v>4.82</v>
      </c>
      <c r="O648" s="495">
        <v>4.38</v>
      </c>
      <c r="P648" s="495">
        <v>4.04</v>
      </c>
      <c r="Q648" s="202">
        <f t="shared" si="21"/>
        <v>4.9958333333333336</v>
      </c>
      <c r="R648" s="202" t="s">
        <v>1019</v>
      </c>
    </row>
    <row r="649" spans="1:18" x14ac:dyDescent="0.15">
      <c r="A649" s="202" t="str">
        <f t="shared" si="20"/>
        <v>Tijuana_Optimal Year Round_270</v>
      </c>
      <c r="B649" s="495" t="s">
        <v>889</v>
      </c>
      <c r="C649" s="495">
        <v>32</v>
      </c>
      <c r="D649" s="495">
        <v>270</v>
      </c>
      <c r="E649" s="495">
        <v>3.79</v>
      </c>
      <c r="F649" s="495">
        <v>4.2300000000000004</v>
      </c>
      <c r="G649" s="495">
        <v>4.75</v>
      </c>
      <c r="H649" s="495">
        <v>5.23</v>
      </c>
      <c r="I649" s="495">
        <v>5.04</v>
      </c>
      <c r="J649" s="495">
        <v>4.93</v>
      </c>
      <c r="K649" s="495">
        <v>4.9400000000000004</v>
      </c>
      <c r="L649" s="495">
        <v>4.9800000000000004</v>
      </c>
      <c r="M649" s="495">
        <v>4.8099999999999996</v>
      </c>
      <c r="N649" s="495">
        <v>4.41</v>
      </c>
      <c r="O649" s="495">
        <v>4</v>
      </c>
      <c r="P649" s="495">
        <v>3.7</v>
      </c>
      <c r="Q649" s="202">
        <f t="shared" si="21"/>
        <v>4.5674999999999999</v>
      </c>
      <c r="R649" s="202" t="s">
        <v>1019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27"/>
  <sheetViews>
    <sheetView workbookViewId="0">
      <selection sqref="A1:A8"/>
    </sheetView>
  </sheetViews>
  <sheetFormatPr defaultRowHeight="10.5" x14ac:dyDescent="0.15"/>
  <cols>
    <col min="1" max="1" width="3.5703125" style="68" bestFit="1" customWidth="1"/>
    <col min="2" max="2" width="21.7109375" style="26" bestFit="1" customWidth="1"/>
    <col min="3" max="3" width="27.7109375" style="26" bestFit="1" customWidth="1"/>
    <col min="4" max="4" width="17.7109375" style="26" bestFit="1" customWidth="1"/>
    <col min="5" max="5" width="10.28515625" style="26" bestFit="1" customWidth="1"/>
    <col min="6" max="6" width="16.7109375" style="26" bestFit="1" customWidth="1"/>
    <col min="7" max="16384" width="9.140625" style="26"/>
  </cols>
  <sheetData>
    <row r="1" spans="1:4" s="68" customFormat="1" ht="12.75" customHeight="1" x14ac:dyDescent="0.15">
      <c r="A1" s="746" t="s">
        <v>162</v>
      </c>
      <c r="B1" s="81" t="s">
        <v>163</v>
      </c>
      <c r="C1" s="82" t="s">
        <v>164</v>
      </c>
      <c r="D1" s="202"/>
    </row>
    <row r="2" spans="1:4" ht="10.5" customHeight="1" x14ac:dyDescent="0.15">
      <c r="A2" s="747"/>
      <c r="B2" s="225" t="s">
        <v>639</v>
      </c>
      <c r="C2" s="79" t="s">
        <v>866</v>
      </c>
      <c r="D2" s="202"/>
    </row>
    <row r="3" spans="1:4" x14ac:dyDescent="0.15">
      <c r="A3" s="747"/>
      <c r="B3" s="225" t="s">
        <v>641</v>
      </c>
      <c r="C3" s="79" t="s">
        <v>865</v>
      </c>
      <c r="D3" s="202"/>
    </row>
    <row r="4" spans="1:4" x14ac:dyDescent="0.15">
      <c r="A4" s="747"/>
      <c r="B4" s="225" t="s">
        <v>64</v>
      </c>
      <c r="C4" s="79" t="s">
        <v>51</v>
      </c>
      <c r="D4" s="202"/>
    </row>
    <row r="5" spans="1:4" x14ac:dyDescent="0.15">
      <c r="A5" s="747"/>
      <c r="B5" s="225" t="s">
        <v>138</v>
      </c>
      <c r="C5" s="79" t="s">
        <v>52</v>
      </c>
      <c r="D5" s="202"/>
    </row>
    <row r="6" spans="1:4" x14ac:dyDescent="0.15">
      <c r="A6" s="747"/>
      <c r="B6" s="225" t="s">
        <v>864</v>
      </c>
      <c r="C6" s="79" t="s">
        <v>54</v>
      </c>
      <c r="D6" s="202"/>
    </row>
    <row r="7" spans="1:4" x14ac:dyDescent="0.15">
      <c r="A7" s="747"/>
      <c r="B7" s="225" t="s">
        <v>819</v>
      </c>
      <c r="C7" s="79" t="s">
        <v>55</v>
      </c>
      <c r="D7" s="202"/>
    </row>
    <row r="8" spans="1:4" x14ac:dyDescent="0.15">
      <c r="A8" s="748"/>
      <c r="B8" s="226"/>
      <c r="C8" s="80"/>
      <c r="D8" s="202"/>
    </row>
    <row r="10" spans="1:4" x14ac:dyDescent="0.15">
      <c r="A10" s="746" t="s">
        <v>165</v>
      </c>
      <c r="B10" s="82" t="s">
        <v>163</v>
      </c>
    </row>
    <row r="11" spans="1:4" s="68" customFormat="1" x14ac:dyDescent="0.15">
      <c r="A11" s="747"/>
      <c r="B11" s="79" t="s">
        <v>114</v>
      </c>
    </row>
    <row r="12" spans="1:4" s="68" customFormat="1" x14ac:dyDescent="0.15">
      <c r="A12" s="747"/>
      <c r="B12" s="79" t="s">
        <v>56</v>
      </c>
    </row>
    <row r="13" spans="1:4" x14ac:dyDescent="0.15">
      <c r="A13" s="748"/>
      <c r="B13" s="80"/>
    </row>
    <row r="14" spans="1:4" s="202" customFormat="1" x14ac:dyDescent="0.15"/>
    <row r="15" spans="1:4" s="202" customFormat="1" x14ac:dyDescent="0.15">
      <c r="A15" s="746" t="s">
        <v>250</v>
      </c>
      <c r="B15" s="82" t="s">
        <v>163</v>
      </c>
    </row>
    <row r="16" spans="1:4" s="202" customFormat="1" x14ac:dyDescent="0.15">
      <c r="A16" s="747"/>
      <c r="B16" s="224">
        <v>1</v>
      </c>
    </row>
    <row r="17" spans="1:4" s="202" customFormat="1" x14ac:dyDescent="0.15">
      <c r="A17" s="747"/>
      <c r="B17" s="79" t="s">
        <v>40</v>
      </c>
    </row>
    <row r="18" spans="1:4" s="202" customFormat="1" x14ac:dyDescent="0.15">
      <c r="A18" s="747"/>
      <c r="B18" s="79" t="s">
        <v>41</v>
      </c>
    </row>
    <row r="19" spans="1:4" s="202" customFormat="1" x14ac:dyDescent="0.15">
      <c r="A19" s="747"/>
      <c r="B19" s="79" t="s">
        <v>42</v>
      </c>
    </row>
    <row r="20" spans="1:4" s="202" customFormat="1" x14ac:dyDescent="0.15">
      <c r="A20" s="747"/>
      <c r="B20" s="79" t="s">
        <v>43</v>
      </c>
    </row>
    <row r="21" spans="1:4" s="202" customFormat="1" x14ac:dyDescent="0.15">
      <c r="A21" s="747"/>
      <c r="B21" s="79" t="s">
        <v>44</v>
      </c>
    </row>
    <row r="22" spans="1:4" s="202" customFormat="1" x14ac:dyDescent="0.15">
      <c r="A22" s="747"/>
      <c r="B22" s="79" t="s">
        <v>45</v>
      </c>
    </row>
    <row r="23" spans="1:4" s="202" customFormat="1" x14ac:dyDescent="0.15">
      <c r="A23" s="748"/>
      <c r="B23" s="80"/>
    </row>
    <row r="25" spans="1:4" x14ac:dyDescent="0.15">
      <c r="A25" s="749" t="s">
        <v>240</v>
      </c>
      <c r="B25" s="200">
        <v>1</v>
      </c>
    </row>
    <row r="26" spans="1:4" x14ac:dyDescent="0.15">
      <c r="A26" s="750"/>
      <c r="B26" s="199">
        <v>2</v>
      </c>
    </row>
    <row r="27" spans="1:4" s="202" customFormat="1" x14ac:dyDescent="0.15">
      <c r="A27" s="751"/>
      <c r="B27" s="198">
        <v>3</v>
      </c>
    </row>
    <row r="29" spans="1:4" x14ac:dyDescent="0.15">
      <c r="A29" s="752" t="s">
        <v>597</v>
      </c>
      <c r="B29" s="419" t="s">
        <v>593</v>
      </c>
      <c r="C29" s="420" t="s">
        <v>595</v>
      </c>
      <c r="D29" s="420" t="s">
        <v>596</v>
      </c>
    </row>
    <row r="30" spans="1:4" x14ac:dyDescent="0.15">
      <c r="A30" s="754"/>
      <c r="B30" s="430">
        <v>1</v>
      </c>
      <c r="C30" s="421">
        <v>250</v>
      </c>
      <c r="D30" s="422">
        <f>C30*12</f>
        <v>3000</v>
      </c>
    </row>
    <row r="31" spans="1:4" x14ac:dyDescent="0.15">
      <c r="A31" s="754"/>
      <c r="B31" s="430" t="s">
        <v>40</v>
      </c>
      <c r="C31" s="421">
        <v>300</v>
      </c>
      <c r="D31" s="422">
        <f t="shared" ref="D31:D36" si="0">C31*12</f>
        <v>3600</v>
      </c>
    </row>
    <row r="32" spans="1:4" x14ac:dyDescent="0.15">
      <c r="A32" s="754"/>
      <c r="B32" s="430" t="s">
        <v>41</v>
      </c>
      <c r="C32" s="421">
        <v>400</v>
      </c>
      <c r="D32" s="422">
        <f t="shared" si="0"/>
        <v>4800</v>
      </c>
    </row>
    <row r="33" spans="1:4" x14ac:dyDescent="0.15">
      <c r="A33" s="754"/>
      <c r="B33" s="430" t="s">
        <v>42</v>
      </c>
      <c r="C33" s="421">
        <v>850</v>
      </c>
      <c r="D33" s="422">
        <f t="shared" si="0"/>
        <v>10200</v>
      </c>
    </row>
    <row r="34" spans="1:4" x14ac:dyDescent="0.15">
      <c r="A34" s="754"/>
      <c r="B34" s="430" t="s">
        <v>43</v>
      </c>
      <c r="C34" s="421">
        <v>1000</v>
      </c>
      <c r="D34" s="422">
        <f t="shared" si="0"/>
        <v>12000</v>
      </c>
    </row>
    <row r="35" spans="1:4" x14ac:dyDescent="0.15">
      <c r="A35" s="754"/>
      <c r="B35" s="430" t="s">
        <v>44</v>
      </c>
      <c r="C35" s="421">
        <v>2000</v>
      </c>
      <c r="D35" s="422">
        <f t="shared" si="0"/>
        <v>24000</v>
      </c>
    </row>
    <row r="36" spans="1:4" x14ac:dyDescent="0.15">
      <c r="A36" s="755"/>
      <c r="B36" s="431" t="s">
        <v>45</v>
      </c>
      <c r="C36" s="423">
        <v>2500</v>
      </c>
      <c r="D36" s="424">
        <f t="shared" si="0"/>
        <v>30000</v>
      </c>
    </row>
    <row r="38" spans="1:4" x14ac:dyDescent="0.15">
      <c r="A38" s="752" t="s">
        <v>24</v>
      </c>
      <c r="B38" s="81" t="s">
        <v>700</v>
      </c>
      <c r="C38" s="222" t="s">
        <v>24</v>
      </c>
      <c r="D38" s="82" t="s">
        <v>112</v>
      </c>
    </row>
    <row r="39" spans="1:4" s="202" customFormat="1" x14ac:dyDescent="0.15">
      <c r="A39" s="753"/>
      <c r="B39" s="225" t="s">
        <v>636</v>
      </c>
      <c r="C39" s="78" t="s">
        <v>637</v>
      </c>
      <c r="D39" s="79" t="s">
        <v>64</v>
      </c>
    </row>
    <row r="40" spans="1:4" x14ac:dyDescent="0.15">
      <c r="A40" s="754"/>
      <c r="B40" s="225" t="s">
        <v>638</v>
      </c>
      <c r="C40" s="78" t="s">
        <v>639</v>
      </c>
      <c r="D40" s="79" t="s">
        <v>639</v>
      </c>
    </row>
    <row r="41" spans="1:4" x14ac:dyDescent="0.15">
      <c r="A41" s="754"/>
      <c r="B41" s="225" t="s">
        <v>640</v>
      </c>
      <c r="C41" s="78" t="s">
        <v>641</v>
      </c>
      <c r="D41" s="79" t="s">
        <v>641</v>
      </c>
    </row>
    <row r="42" spans="1:4" x14ac:dyDescent="0.15">
      <c r="A42" s="754"/>
      <c r="B42" s="225" t="s">
        <v>642</v>
      </c>
      <c r="C42" s="78" t="s">
        <v>643</v>
      </c>
      <c r="D42" s="79" t="s">
        <v>819</v>
      </c>
    </row>
    <row r="43" spans="1:4" x14ac:dyDescent="0.15">
      <c r="A43" s="754"/>
      <c r="B43" s="225" t="s">
        <v>644</v>
      </c>
      <c r="C43" s="78" t="s">
        <v>645</v>
      </c>
      <c r="D43" s="79" t="s">
        <v>819</v>
      </c>
    </row>
    <row r="44" spans="1:4" x14ac:dyDescent="0.15">
      <c r="A44" s="754"/>
      <c r="B44" s="225" t="s">
        <v>646</v>
      </c>
      <c r="C44" s="78" t="s">
        <v>647</v>
      </c>
      <c r="D44" s="79" t="s">
        <v>864</v>
      </c>
    </row>
    <row r="45" spans="1:4" x14ac:dyDescent="0.15">
      <c r="A45" s="754"/>
      <c r="B45" s="225" t="s">
        <v>648</v>
      </c>
      <c r="C45" s="78" t="s">
        <v>649</v>
      </c>
      <c r="D45" s="79" t="s">
        <v>864</v>
      </c>
    </row>
    <row r="46" spans="1:4" x14ac:dyDescent="0.15">
      <c r="A46" s="754"/>
      <c r="B46" s="225" t="s">
        <v>650</v>
      </c>
      <c r="C46" s="78" t="s">
        <v>651</v>
      </c>
      <c r="D46" s="79" t="s">
        <v>64</v>
      </c>
    </row>
    <row r="47" spans="1:4" x14ac:dyDescent="0.15">
      <c r="A47" s="754"/>
      <c r="B47" s="225" t="s">
        <v>652</v>
      </c>
      <c r="C47" s="78" t="s">
        <v>653</v>
      </c>
      <c r="D47" s="79" t="s">
        <v>64</v>
      </c>
    </row>
    <row r="48" spans="1:4" x14ac:dyDescent="0.15">
      <c r="A48" s="754"/>
      <c r="B48" s="225" t="s">
        <v>654</v>
      </c>
      <c r="C48" s="78" t="s">
        <v>655</v>
      </c>
      <c r="D48" s="79" t="s">
        <v>864</v>
      </c>
    </row>
    <row r="49" spans="1:4" x14ac:dyDescent="0.15">
      <c r="A49" s="754"/>
      <c r="B49" s="225" t="s">
        <v>656</v>
      </c>
      <c r="C49" s="78" t="s">
        <v>657</v>
      </c>
      <c r="D49" s="79" t="s">
        <v>64</v>
      </c>
    </row>
    <row r="50" spans="1:4" x14ac:dyDescent="0.15">
      <c r="A50" s="754"/>
      <c r="B50" s="225" t="s">
        <v>658</v>
      </c>
      <c r="C50" s="78" t="s">
        <v>659</v>
      </c>
      <c r="D50" s="79" t="s">
        <v>819</v>
      </c>
    </row>
    <row r="51" spans="1:4" x14ac:dyDescent="0.15">
      <c r="A51" s="754"/>
      <c r="B51" s="225" t="s">
        <v>660</v>
      </c>
      <c r="C51" s="78" t="s">
        <v>661</v>
      </c>
      <c r="D51" s="79" t="s">
        <v>64</v>
      </c>
    </row>
    <row r="52" spans="1:4" x14ac:dyDescent="0.15">
      <c r="A52" s="754"/>
      <c r="B52" s="225" t="s">
        <v>662</v>
      </c>
      <c r="C52" s="78" t="s">
        <v>663</v>
      </c>
      <c r="D52" s="79" t="s">
        <v>64</v>
      </c>
    </row>
    <row r="53" spans="1:4" x14ac:dyDescent="0.15">
      <c r="A53" s="754"/>
      <c r="B53" s="225" t="s">
        <v>664</v>
      </c>
      <c r="C53" s="78" t="s">
        <v>665</v>
      </c>
      <c r="D53" s="79" t="s">
        <v>64</v>
      </c>
    </row>
    <row r="54" spans="1:4" x14ac:dyDescent="0.15">
      <c r="A54" s="754"/>
      <c r="B54" s="225" t="s">
        <v>666</v>
      </c>
      <c r="C54" s="78" t="s">
        <v>667</v>
      </c>
      <c r="D54" s="79" t="s">
        <v>64</v>
      </c>
    </row>
    <row r="55" spans="1:4" x14ac:dyDescent="0.15">
      <c r="A55" s="754"/>
      <c r="B55" s="225" t="s">
        <v>668</v>
      </c>
      <c r="C55" s="78" t="s">
        <v>669</v>
      </c>
      <c r="D55" s="79" t="s">
        <v>64</v>
      </c>
    </row>
    <row r="56" spans="1:4" x14ac:dyDescent="0.15">
      <c r="A56" s="754"/>
      <c r="B56" s="225" t="s">
        <v>670</v>
      </c>
      <c r="C56" s="78" t="s">
        <v>671</v>
      </c>
      <c r="D56" s="79" t="s">
        <v>64</v>
      </c>
    </row>
    <row r="57" spans="1:4" x14ac:dyDescent="0.15">
      <c r="A57" s="754"/>
      <c r="B57" s="225" t="s">
        <v>672</v>
      </c>
      <c r="C57" s="78" t="s">
        <v>673</v>
      </c>
      <c r="D57" s="79" t="s">
        <v>864</v>
      </c>
    </row>
    <row r="58" spans="1:4" x14ac:dyDescent="0.15">
      <c r="A58" s="754"/>
      <c r="B58" s="225" t="s">
        <v>674</v>
      </c>
      <c r="C58" s="78" t="s">
        <v>675</v>
      </c>
      <c r="D58" s="79" t="s">
        <v>819</v>
      </c>
    </row>
    <row r="59" spans="1:4" x14ac:dyDescent="0.15">
      <c r="A59" s="754"/>
      <c r="B59" s="225" t="s">
        <v>676</v>
      </c>
      <c r="C59" s="78" t="s">
        <v>677</v>
      </c>
      <c r="D59" s="79" t="s">
        <v>64</v>
      </c>
    </row>
    <row r="60" spans="1:4" x14ac:dyDescent="0.15">
      <c r="A60" s="754"/>
      <c r="B60" s="225" t="s">
        <v>678</v>
      </c>
      <c r="C60" s="78" t="s">
        <v>679</v>
      </c>
      <c r="D60" s="79" t="s">
        <v>64</v>
      </c>
    </row>
    <row r="61" spans="1:4" x14ac:dyDescent="0.15">
      <c r="A61" s="754"/>
      <c r="B61" s="225" t="s">
        <v>680</v>
      </c>
      <c r="C61" s="78" t="s">
        <v>681</v>
      </c>
      <c r="D61" s="79" t="s">
        <v>819</v>
      </c>
    </row>
    <row r="62" spans="1:4" x14ac:dyDescent="0.15">
      <c r="A62" s="754"/>
      <c r="B62" s="225" t="s">
        <v>682</v>
      </c>
      <c r="C62" s="78" t="s">
        <v>683</v>
      </c>
      <c r="D62" s="79" t="s">
        <v>64</v>
      </c>
    </row>
    <row r="63" spans="1:4" x14ac:dyDescent="0.15">
      <c r="A63" s="754"/>
      <c r="B63" s="225" t="s">
        <v>684</v>
      </c>
      <c r="C63" s="78" t="s">
        <v>685</v>
      </c>
      <c r="D63" s="79" t="s">
        <v>138</v>
      </c>
    </row>
    <row r="64" spans="1:4" x14ac:dyDescent="0.15">
      <c r="A64" s="754"/>
      <c r="B64" s="225" t="s">
        <v>686</v>
      </c>
      <c r="C64" s="78" t="s">
        <v>687</v>
      </c>
      <c r="D64" s="79" t="s">
        <v>138</v>
      </c>
    </row>
    <row r="65" spans="1:4" x14ac:dyDescent="0.15">
      <c r="A65" s="754"/>
      <c r="B65" s="225" t="s">
        <v>688</v>
      </c>
      <c r="C65" s="78" t="s">
        <v>689</v>
      </c>
      <c r="D65" s="79" t="s">
        <v>819</v>
      </c>
    </row>
    <row r="66" spans="1:4" x14ac:dyDescent="0.15">
      <c r="A66" s="754"/>
      <c r="B66" s="225" t="s">
        <v>690</v>
      </c>
      <c r="C66" s="78" t="s">
        <v>691</v>
      </c>
      <c r="D66" s="79" t="s">
        <v>864</v>
      </c>
    </row>
    <row r="67" spans="1:4" x14ac:dyDescent="0.15">
      <c r="A67" s="754"/>
      <c r="B67" s="225" t="s">
        <v>692</v>
      </c>
      <c r="C67" s="78" t="s">
        <v>693</v>
      </c>
      <c r="D67" s="79" t="s">
        <v>64</v>
      </c>
    </row>
    <row r="68" spans="1:4" x14ac:dyDescent="0.15">
      <c r="A68" s="754"/>
      <c r="B68" s="225" t="s">
        <v>694</v>
      </c>
      <c r="C68" s="78" t="s">
        <v>695</v>
      </c>
      <c r="D68" s="79" t="s">
        <v>819</v>
      </c>
    </row>
    <row r="69" spans="1:4" x14ac:dyDescent="0.15">
      <c r="A69" s="754"/>
      <c r="B69" s="225" t="s">
        <v>696</v>
      </c>
      <c r="C69" s="78" t="s">
        <v>697</v>
      </c>
      <c r="D69" s="79" t="s">
        <v>819</v>
      </c>
    </row>
    <row r="70" spans="1:4" x14ac:dyDescent="0.15">
      <c r="A70" s="755"/>
      <c r="B70" s="226" t="s">
        <v>698</v>
      </c>
      <c r="C70" s="32" t="s">
        <v>699</v>
      </c>
      <c r="D70" s="80" t="s">
        <v>64</v>
      </c>
    </row>
    <row r="72" spans="1:4" s="202" customFormat="1" ht="12.75" customHeight="1" x14ac:dyDescent="0.15">
      <c r="A72" s="746" t="s">
        <v>893</v>
      </c>
      <c r="B72" s="419" t="s">
        <v>163</v>
      </c>
    </row>
    <row r="73" spans="1:4" s="202" customFormat="1" ht="10.5" customHeight="1" x14ac:dyDescent="0.15">
      <c r="A73" s="747"/>
      <c r="B73" s="199" t="s">
        <v>1013</v>
      </c>
    </row>
    <row r="74" spans="1:4" s="202" customFormat="1" x14ac:dyDescent="0.15">
      <c r="A74" s="747"/>
      <c r="B74" s="199" t="s">
        <v>652</v>
      </c>
    </row>
    <row r="75" spans="1:4" s="202" customFormat="1" x14ac:dyDescent="0.15">
      <c r="A75" s="747"/>
      <c r="B75" s="199" t="s">
        <v>890</v>
      </c>
    </row>
    <row r="76" spans="1:4" s="202" customFormat="1" x14ac:dyDescent="0.15">
      <c r="A76" s="747"/>
      <c r="B76" s="199" t="s">
        <v>1014</v>
      </c>
    </row>
    <row r="77" spans="1:4" s="202" customFormat="1" x14ac:dyDescent="0.15">
      <c r="A77" s="747"/>
      <c r="B77" s="199" t="s">
        <v>1015</v>
      </c>
    </row>
    <row r="78" spans="1:4" s="202" customFormat="1" x14ac:dyDescent="0.15">
      <c r="A78" s="747"/>
      <c r="B78" s="199" t="s">
        <v>1016</v>
      </c>
    </row>
    <row r="79" spans="1:4" s="202" customFormat="1" x14ac:dyDescent="0.15">
      <c r="A79" s="747"/>
      <c r="B79" s="199" t="s">
        <v>1026</v>
      </c>
    </row>
    <row r="80" spans="1:4" s="202" customFormat="1" x14ac:dyDescent="0.15">
      <c r="A80" s="747"/>
      <c r="B80" s="199" t="s">
        <v>1027</v>
      </c>
    </row>
    <row r="81" spans="1:2" s="202" customFormat="1" x14ac:dyDescent="0.15">
      <c r="A81" s="747"/>
      <c r="B81" s="199" t="s">
        <v>887</v>
      </c>
    </row>
    <row r="82" spans="1:2" s="202" customFormat="1" x14ac:dyDescent="0.15">
      <c r="A82" s="747"/>
      <c r="B82" s="199" t="s">
        <v>1028</v>
      </c>
    </row>
    <row r="83" spans="1:2" s="202" customFormat="1" x14ac:dyDescent="0.15">
      <c r="A83" s="747"/>
      <c r="B83" s="199" t="s">
        <v>1029</v>
      </c>
    </row>
    <row r="84" spans="1:2" s="202" customFormat="1" x14ac:dyDescent="0.15">
      <c r="A84" s="747"/>
      <c r="B84" s="199" t="s">
        <v>1030</v>
      </c>
    </row>
    <row r="85" spans="1:2" s="202" customFormat="1" x14ac:dyDescent="0.15">
      <c r="A85" s="747"/>
      <c r="B85" s="199" t="s">
        <v>1031</v>
      </c>
    </row>
    <row r="86" spans="1:2" s="202" customFormat="1" x14ac:dyDescent="0.15">
      <c r="A86" s="747"/>
      <c r="B86" s="199" t="s">
        <v>1032</v>
      </c>
    </row>
    <row r="87" spans="1:2" s="202" customFormat="1" x14ac:dyDescent="0.15">
      <c r="A87" s="747"/>
      <c r="B87" s="199" t="s">
        <v>677</v>
      </c>
    </row>
    <row r="88" spans="1:2" s="202" customFormat="1" x14ac:dyDescent="0.15">
      <c r="A88" s="747"/>
      <c r="B88" s="199" t="s">
        <v>1033</v>
      </c>
    </row>
    <row r="89" spans="1:2" s="202" customFormat="1" x14ac:dyDescent="0.15">
      <c r="A89" s="747"/>
      <c r="B89" s="199" t="s">
        <v>1017</v>
      </c>
    </row>
    <row r="90" spans="1:2" s="202" customFormat="1" x14ac:dyDescent="0.15">
      <c r="A90" s="747"/>
      <c r="B90" s="199" t="s">
        <v>1034</v>
      </c>
    </row>
    <row r="91" spans="1:2" s="202" customFormat="1" x14ac:dyDescent="0.15">
      <c r="A91" s="747"/>
      <c r="B91" s="199" t="s">
        <v>1035</v>
      </c>
    </row>
    <row r="92" spans="1:2" s="202" customFormat="1" x14ac:dyDescent="0.15">
      <c r="A92" s="747"/>
      <c r="B92" s="199" t="s">
        <v>1018</v>
      </c>
    </row>
    <row r="93" spans="1:2" s="202" customFormat="1" x14ac:dyDescent="0.15">
      <c r="A93" s="747"/>
      <c r="B93" s="199" t="s">
        <v>1036</v>
      </c>
    </row>
    <row r="94" spans="1:2" s="202" customFormat="1" x14ac:dyDescent="0.15">
      <c r="A94" s="747"/>
      <c r="B94" s="199" t="s">
        <v>1037</v>
      </c>
    </row>
    <row r="95" spans="1:2" s="202" customFormat="1" x14ac:dyDescent="0.15">
      <c r="A95" s="747"/>
      <c r="B95" s="199" t="s">
        <v>888</v>
      </c>
    </row>
    <row r="96" spans="1:2" s="202" customFormat="1" x14ac:dyDescent="0.15">
      <c r="A96" s="747"/>
      <c r="B96" s="199" t="s">
        <v>889</v>
      </c>
    </row>
    <row r="97" spans="1:5" s="202" customFormat="1" x14ac:dyDescent="0.15">
      <c r="A97" s="748"/>
      <c r="B97" s="198"/>
    </row>
    <row r="98" spans="1:5" s="202" customFormat="1" x14ac:dyDescent="0.15">
      <c r="A98" s="581"/>
      <c r="B98" s="78"/>
      <c r="C98" s="78"/>
      <c r="D98" s="78"/>
      <c r="E98" s="78"/>
    </row>
    <row r="99" spans="1:5" s="202" customFormat="1" x14ac:dyDescent="0.15">
      <c r="A99" s="746" t="s">
        <v>885</v>
      </c>
      <c r="B99" s="82" t="s">
        <v>163</v>
      </c>
      <c r="C99" s="78"/>
      <c r="D99" s="78"/>
      <c r="E99" s="78"/>
    </row>
    <row r="100" spans="1:5" s="202" customFormat="1" x14ac:dyDescent="0.15">
      <c r="A100" s="747"/>
      <c r="B100" s="79" t="s">
        <v>1020</v>
      </c>
      <c r="C100" s="78"/>
      <c r="D100" s="78"/>
      <c r="E100" s="78"/>
    </row>
    <row r="101" spans="1:5" s="202" customFormat="1" x14ac:dyDescent="0.15">
      <c r="A101" s="747"/>
      <c r="B101" s="79" t="s">
        <v>984</v>
      </c>
      <c r="C101" s="78"/>
      <c r="D101" s="78"/>
      <c r="E101" s="78"/>
    </row>
    <row r="102" spans="1:5" s="202" customFormat="1" x14ac:dyDescent="0.15">
      <c r="A102" s="748"/>
      <c r="B102" s="80" t="s">
        <v>1019</v>
      </c>
      <c r="C102" s="78"/>
      <c r="D102" s="78"/>
      <c r="E102" s="78"/>
    </row>
    <row r="103" spans="1:5" s="202" customFormat="1" x14ac:dyDescent="0.15"/>
    <row r="104" spans="1:5" x14ac:dyDescent="0.15">
      <c r="A104" s="746" t="s">
        <v>886</v>
      </c>
      <c r="B104" s="82" t="s">
        <v>163</v>
      </c>
    </row>
    <row r="105" spans="1:5" x14ac:dyDescent="0.15">
      <c r="A105" s="747"/>
      <c r="B105" s="498">
        <v>90</v>
      </c>
    </row>
    <row r="106" spans="1:5" x14ac:dyDescent="0.15">
      <c r="A106" s="747"/>
      <c r="B106" s="498">
        <v>112.5</v>
      </c>
    </row>
    <row r="107" spans="1:5" x14ac:dyDescent="0.15">
      <c r="A107" s="747"/>
      <c r="B107" s="498">
        <v>135</v>
      </c>
    </row>
    <row r="108" spans="1:5" x14ac:dyDescent="0.15">
      <c r="A108" s="747"/>
      <c r="B108" s="498">
        <v>157.5</v>
      </c>
    </row>
    <row r="109" spans="1:5" x14ac:dyDescent="0.15">
      <c r="A109" s="747"/>
      <c r="B109" s="498">
        <v>180</v>
      </c>
    </row>
    <row r="110" spans="1:5" x14ac:dyDescent="0.15">
      <c r="A110" s="747"/>
      <c r="B110" s="498">
        <v>202.5</v>
      </c>
    </row>
    <row r="111" spans="1:5" s="202" customFormat="1" x14ac:dyDescent="0.15">
      <c r="A111" s="747"/>
      <c r="B111" s="498">
        <v>225</v>
      </c>
    </row>
    <row r="112" spans="1:5" s="202" customFormat="1" x14ac:dyDescent="0.15">
      <c r="A112" s="747"/>
      <c r="B112" s="498">
        <v>247.5</v>
      </c>
    </row>
    <row r="113" spans="1:3" x14ac:dyDescent="0.15">
      <c r="A113" s="748"/>
      <c r="B113" s="499">
        <v>270</v>
      </c>
    </row>
    <row r="115" spans="1:3" s="202" customFormat="1" x14ac:dyDescent="0.15">
      <c r="A115" s="746" t="s">
        <v>910</v>
      </c>
      <c r="B115" s="81" t="s">
        <v>312</v>
      </c>
      <c r="C115" s="82" t="s">
        <v>700</v>
      </c>
    </row>
    <row r="116" spans="1:3" x14ac:dyDescent="0.15">
      <c r="A116" s="747"/>
      <c r="B116" s="225">
        <v>1</v>
      </c>
      <c r="C116" s="79" t="s">
        <v>805</v>
      </c>
    </row>
    <row r="117" spans="1:3" x14ac:dyDescent="0.15">
      <c r="A117" s="747"/>
      <c r="B117" s="225">
        <v>2</v>
      </c>
      <c r="C117" s="79" t="s">
        <v>806</v>
      </c>
    </row>
    <row r="118" spans="1:3" s="202" customFormat="1" x14ac:dyDescent="0.15">
      <c r="A118" s="747"/>
      <c r="B118" s="225">
        <v>3</v>
      </c>
      <c r="C118" s="79" t="s">
        <v>807</v>
      </c>
    </row>
    <row r="119" spans="1:3" s="202" customFormat="1" x14ac:dyDescent="0.15">
      <c r="A119" s="747"/>
      <c r="B119" s="225">
        <v>4</v>
      </c>
      <c r="C119" s="79" t="s">
        <v>808</v>
      </c>
    </row>
    <row r="120" spans="1:3" s="202" customFormat="1" x14ac:dyDescent="0.15">
      <c r="A120" s="747"/>
      <c r="B120" s="225">
        <v>5</v>
      </c>
      <c r="C120" s="79" t="s">
        <v>809</v>
      </c>
    </row>
    <row r="121" spans="1:3" s="202" customFormat="1" x14ac:dyDescent="0.15">
      <c r="A121" s="747"/>
      <c r="B121" s="225">
        <v>6</v>
      </c>
      <c r="C121" s="79" t="s">
        <v>810</v>
      </c>
    </row>
    <row r="122" spans="1:3" s="202" customFormat="1" x14ac:dyDescent="0.15">
      <c r="A122" s="747"/>
      <c r="B122" s="225">
        <v>7</v>
      </c>
      <c r="C122" s="79" t="s">
        <v>811</v>
      </c>
    </row>
    <row r="123" spans="1:3" x14ac:dyDescent="0.15">
      <c r="A123" s="747"/>
      <c r="B123" s="225">
        <v>8</v>
      </c>
      <c r="C123" s="79" t="s">
        <v>812</v>
      </c>
    </row>
    <row r="124" spans="1:3" x14ac:dyDescent="0.15">
      <c r="A124" s="747"/>
      <c r="B124" s="225">
        <v>9</v>
      </c>
      <c r="C124" s="79" t="s">
        <v>813</v>
      </c>
    </row>
    <row r="125" spans="1:3" x14ac:dyDescent="0.15">
      <c r="A125" s="747"/>
      <c r="B125" s="225">
        <v>10</v>
      </c>
      <c r="C125" s="79" t="s">
        <v>814</v>
      </c>
    </row>
    <row r="126" spans="1:3" x14ac:dyDescent="0.15">
      <c r="A126" s="747"/>
      <c r="B126" s="225">
        <v>11</v>
      </c>
      <c r="C126" s="79" t="s">
        <v>815</v>
      </c>
    </row>
    <row r="127" spans="1:3" x14ac:dyDescent="0.15">
      <c r="A127" s="748"/>
      <c r="B127" s="226">
        <v>12</v>
      </c>
      <c r="C127" s="80" t="s">
        <v>816</v>
      </c>
    </row>
  </sheetData>
  <mergeCells count="10">
    <mergeCell ref="A1:A8"/>
    <mergeCell ref="A10:A13"/>
    <mergeCell ref="A25:A27"/>
    <mergeCell ref="A15:A23"/>
    <mergeCell ref="A115:A127"/>
    <mergeCell ref="A72:A97"/>
    <mergeCell ref="A104:A113"/>
    <mergeCell ref="A38:A70"/>
    <mergeCell ref="A29:A36"/>
    <mergeCell ref="A99:A10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153</vt:i4>
      </vt:variant>
    </vt:vector>
  </HeadingPairs>
  <TitlesOfParts>
    <vt:vector size="168" baseType="lpstr">
      <vt:lpstr>Inputs_MySOL</vt:lpstr>
      <vt:lpstr>Inputs</vt:lpstr>
      <vt:lpstr>Proposal_Eng</vt:lpstr>
      <vt:lpstr>Proposal_Esp</vt:lpstr>
      <vt:lpstr>ContractData</vt:lpstr>
      <vt:lpstr>SalesSupport</vt:lpstr>
      <vt:lpstr>Model</vt:lpstr>
      <vt:lpstr>Savings</vt:lpstr>
      <vt:lpstr>Unit_Internal</vt:lpstr>
      <vt:lpstr>Components</vt:lpstr>
      <vt:lpstr>CFE_History_DAC</vt:lpstr>
      <vt:lpstr>CFE_History_Tarifa2</vt:lpstr>
      <vt:lpstr>CFE_History_Tarifa1</vt:lpstr>
      <vt:lpstr>Irradiance</vt:lpstr>
      <vt:lpstr>ListData</vt:lpstr>
      <vt:lpstr>AddToFinalPymt_OM</vt:lpstr>
      <vt:lpstr>BlendedReqIRR</vt:lpstr>
      <vt:lpstr>CFE_CargoFijo</vt:lpstr>
      <vt:lpstr>CFE_Hilos</vt:lpstr>
      <vt:lpstr>CFE_Limite</vt:lpstr>
      <vt:lpstr>CFE_RateCategory</vt:lpstr>
      <vt:lpstr>CFE_RatePeriod</vt:lpstr>
      <vt:lpstr>CFE_RatePreTaxes</vt:lpstr>
      <vt:lpstr>CFE_RateWithDAP</vt:lpstr>
      <vt:lpstr>CFE_Region</vt:lpstr>
      <vt:lpstr>CFE_YrIncreasePct</vt:lpstr>
      <vt:lpstr>CorpTaxRate</vt:lpstr>
      <vt:lpstr>Cust_Address</vt:lpstr>
      <vt:lpstr>Cust_Bank</vt:lpstr>
      <vt:lpstr>Cust_BankAcct</vt:lpstr>
      <vt:lpstr>Cust_CC_Expiry</vt:lpstr>
      <vt:lpstr>Cust_CC_No</vt:lpstr>
      <vt:lpstr>Cust_CC_SecCode</vt:lpstr>
      <vt:lpstr>Cust_CC_Type</vt:lpstr>
      <vt:lpstr>Cust_CfeServNum</vt:lpstr>
      <vt:lpstr>Cust_City</vt:lpstr>
      <vt:lpstr>Cust_Co_DeedDated</vt:lpstr>
      <vt:lpstr>Cust_Co_DeedNo</vt:lpstr>
      <vt:lpstr>Cust_Co_DeedNotaryFolioNo</vt:lpstr>
      <vt:lpstr>Cust_Co_DeedNotaryLoc</vt:lpstr>
      <vt:lpstr>Cust_Co_DeedNotaryName</vt:lpstr>
      <vt:lpstr>Cust_Co_DeedNotaryNo</vt:lpstr>
      <vt:lpstr>Cust_Co_DeedNotaryRegLoc</vt:lpstr>
      <vt:lpstr>Cust_Co_Rep</vt:lpstr>
      <vt:lpstr>Cust_Co_Rep_DeedDated</vt:lpstr>
      <vt:lpstr>Cust_Co_Rep_DeedNo</vt:lpstr>
      <vt:lpstr>Cust_Co_Rep_DeedNotaryFolioNo</vt:lpstr>
      <vt:lpstr>Cust_Co_Rep_DeedNotaryLoc</vt:lpstr>
      <vt:lpstr>Cust_Co_Rep_DeedNotaryName</vt:lpstr>
      <vt:lpstr>Cust_Co_Rep_DeedNotaryNo</vt:lpstr>
      <vt:lpstr>Cust_Co_Rep_DeedNotaryRegLoc</vt:lpstr>
      <vt:lpstr>Cust_Colonia</vt:lpstr>
      <vt:lpstr>Cust_Company</vt:lpstr>
      <vt:lpstr>Cust_Email</vt:lpstr>
      <vt:lpstr>Cust_FirstName</vt:lpstr>
      <vt:lpstr>Cust_Ind_ID</vt:lpstr>
      <vt:lpstr>Cust_Ind_Natl</vt:lpstr>
      <vt:lpstr>Cust_InitialPymt</vt:lpstr>
      <vt:lpstr>Cust_LastName</vt:lpstr>
      <vt:lpstr>Cust_LastName2</vt:lpstr>
      <vt:lpstr>Cust_LeaseTermYears</vt:lpstr>
      <vt:lpstr>Cust_NominalPymtAtTermEnd</vt:lpstr>
      <vt:lpstr>Cust_SavingsRate</vt:lpstr>
      <vt:lpstr>Cust_State</vt:lpstr>
      <vt:lpstr>Cust_Telephone</vt:lpstr>
      <vt:lpstr>Cust_TotalPymtAtTermEnd</vt:lpstr>
      <vt:lpstr>Cust_Zip</vt:lpstr>
      <vt:lpstr>CustUsage_kWhPerYear</vt:lpstr>
      <vt:lpstr>CustUsage_LimitBasicoNonSummer</vt:lpstr>
      <vt:lpstr>CustUsage_LimitBasicoSummer</vt:lpstr>
      <vt:lpstr>CustUsage_LimitIntermedioNonSummer</vt:lpstr>
      <vt:lpstr>CustUsage_LimitIntermedioSummer</vt:lpstr>
      <vt:lpstr>DAP</vt:lpstr>
      <vt:lpstr>DebtInv_Pct</vt:lpstr>
      <vt:lpstr>DebtInv_PctCashFlow</vt:lpstr>
      <vt:lpstr>DebtInv_ReqIRR</vt:lpstr>
      <vt:lpstr>EqInv_Equity</vt:lpstr>
      <vt:lpstr>EqInv_Pct</vt:lpstr>
      <vt:lpstr>EqInv_PctCashFlow</vt:lpstr>
      <vt:lpstr>EqInv_ReqIRR</vt:lpstr>
      <vt:lpstr>FinYrIncr</vt:lpstr>
      <vt:lpstr>ImportDutyOnPVPanels</vt:lpstr>
      <vt:lpstr>InclUpfront_EGauge</vt:lpstr>
      <vt:lpstr>InclUpfront_OM</vt:lpstr>
      <vt:lpstr>InflationRate</vt:lpstr>
      <vt:lpstr>InverterLossPct</vt:lpstr>
      <vt:lpstr>IVA</vt:lpstr>
      <vt:lpstr>JO</vt:lpstr>
      <vt:lpstr>JO_Co_DeedDated</vt:lpstr>
      <vt:lpstr>JO_Co_DeedNo</vt:lpstr>
      <vt:lpstr>JO_Co_DeedNotaryFolioNo</vt:lpstr>
      <vt:lpstr>JO_Co_DeedNotaryLoc</vt:lpstr>
      <vt:lpstr>JO_Co_DeedNotaryName</vt:lpstr>
      <vt:lpstr>JO_Co_DeedNotaryNo</vt:lpstr>
      <vt:lpstr>JO_Co_DeedNotaryRegLoc</vt:lpstr>
      <vt:lpstr>JO_Co_Rep</vt:lpstr>
      <vt:lpstr>JO_Co_Rep_DeedDated</vt:lpstr>
      <vt:lpstr>JO_Co_Rep_DeedNo</vt:lpstr>
      <vt:lpstr>JO_Co_Rep_DeedNotaryLoc</vt:lpstr>
      <vt:lpstr>JO_Co_Rep_DeedNotaryName</vt:lpstr>
      <vt:lpstr>JO_Co_Rep_DeedNotaryNo</vt:lpstr>
      <vt:lpstr>JO_Email</vt:lpstr>
      <vt:lpstr>JO_Ind_ID</vt:lpstr>
      <vt:lpstr>JO_Ind_Natl</vt:lpstr>
      <vt:lpstr>MXNperUSD</vt:lpstr>
      <vt:lpstr>MySOL_Equity</vt:lpstr>
      <vt:lpstr>MySOL_Pct</vt:lpstr>
      <vt:lpstr>MySOL_PctCashFlow</vt:lpstr>
      <vt:lpstr>MySol_TotalRate</vt:lpstr>
      <vt:lpstr>OpExpenseAsPctOfCost</vt:lpstr>
      <vt:lpstr>OpExpensePerKwMXN</vt:lpstr>
      <vt:lpstr>OpExpensePerKwUSD</vt:lpstr>
      <vt:lpstr>Panel_PTC</vt:lpstr>
      <vt:lpstr>Panel_STC</vt:lpstr>
      <vt:lpstr>priceEGaugeUSD</vt:lpstr>
      <vt:lpstr>Proposal_Eng!Print_Area</vt:lpstr>
      <vt:lpstr>Proposal_Esp!Print_Area</vt:lpstr>
      <vt:lpstr>PVPanelDefault</vt:lpstr>
      <vt:lpstr>Rng_InverterLookupByPhase</vt:lpstr>
      <vt:lpstr>Rng_Inverters</vt:lpstr>
      <vt:lpstr>Rng_IrradianceCols</vt:lpstr>
      <vt:lpstr>Rng_IrradianceData</vt:lpstr>
      <vt:lpstr>Rng_IrradianceKeys</vt:lpstr>
      <vt:lpstr>Rng_LeaseTerms</vt:lpstr>
      <vt:lpstr>Rng_MonthlyUsage</vt:lpstr>
      <vt:lpstr>Rng_Optimizers</vt:lpstr>
      <vt:lpstr>Rng_PVPanels</vt:lpstr>
      <vt:lpstr>Rng_SavingsRates</vt:lpstr>
      <vt:lpstr>Rng_ScenarioData</vt:lpstr>
      <vt:lpstr>Rng_SysMon</vt:lpstr>
      <vt:lpstr>Rng_SysMon_NonMicro</vt:lpstr>
      <vt:lpstr>SavingsRate_Incr</vt:lpstr>
      <vt:lpstr>SavingsRate_Max</vt:lpstr>
      <vt:lpstr>SavingsRate_Min</vt:lpstr>
      <vt:lpstr>Scenario_InitialPymt</vt:lpstr>
      <vt:lpstr>Scenario_InitialPymt_Label</vt:lpstr>
      <vt:lpstr>Scenario_Variable</vt:lpstr>
      <vt:lpstr>Scenario_Variable_Label</vt:lpstr>
      <vt:lpstr>SolarSvcProvider</vt:lpstr>
      <vt:lpstr>Sys_Azimuth</vt:lpstr>
      <vt:lpstr>Sys_CostOfBOSElectricalMXN</vt:lpstr>
      <vt:lpstr>Sys_CostOfBOSMechanicalMXN</vt:lpstr>
      <vt:lpstr>Sys_CostOfComponentsMXN</vt:lpstr>
      <vt:lpstr>Sys_CostOfLaborMXN</vt:lpstr>
      <vt:lpstr>Sys_Factor</vt:lpstr>
      <vt:lpstr>Sys_FundPricePerWatt</vt:lpstr>
      <vt:lpstr>Sys_FundPriceTotal</vt:lpstr>
      <vt:lpstr>Sys_kWhPerYear</vt:lpstr>
      <vt:lpstr>Sys_NumPanels</vt:lpstr>
      <vt:lpstr>Sys_OtherLossPct</vt:lpstr>
      <vt:lpstr>Sys_SizeWatts</vt:lpstr>
      <vt:lpstr>Sys_SunHours</vt:lpstr>
      <vt:lpstr>Sys_SunHoursAvailableTilts</vt:lpstr>
      <vt:lpstr>Sys_SunHoursCity</vt:lpstr>
      <vt:lpstr>Sys_Tilt</vt:lpstr>
      <vt:lpstr>Sys_YrDegradationRate</vt:lpstr>
      <vt:lpstr>SysMonDefault_NonMicro</vt:lpstr>
      <vt:lpstr>SysSpec_CommAcc_Units</vt:lpstr>
      <vt:lpstr>SysSpec_Inverter</vt:lpstr>
      <vt:lpstr>SysSpec_Inverters_Units</vt:lpstr>
      <vt:lpstr>SysSpec_Optimizers_Units</vt:lpstr>
      <vt:lpstr>SysSpec_PV</vt:lpstr>
      <vt:lpstr>SysSpec_PV_Units</vt:lpstr>
      <vt:lpstr>SysSpec_SysMon_Units</vt:lpstr>
      <vt:lpstr>SysSpec_SysMonitor</vt:lpstr>
      <vt:lpstr>Table_DataStart</vt:lpstr>
      <vt:lpstr>Table_XAxisStart</vt:lpstr>
      <vt:lpstr>Table_YAxisStart</vt:lpstr>
    </vt:vector>
  </TitlesOfParts>
  <Company>Director General Mexenova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Vazquez</dc:creator>
  <cp:lastModifiedBy>Ben Rogers</cp:lastModifiedBy>
  <cp:lastPrinted>2017-08-10T19:26:38Z</cp:lastPrinted>
  <dcterms:created xsi:type="dcterms:W3CDTF">2017-04-20T00:13:46Z</dcterms:created>
  <dcterms:modified xsi:type="dcterms:W3CDTF">2017-08-16T17:19:43Z</dcterms:modified>
</cp:coreProperties>
</file>